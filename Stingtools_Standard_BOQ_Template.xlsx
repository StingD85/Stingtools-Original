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LIBRARY" sheetId="1" state="visible" r:id="rId1"/>
    <sheet xmlns:r="http://schemas.openxmlformats.org/officeDocument/2006/relationships" name="MATERIAL SCHEDULE" sheetId="2" state="visible" r:id="rId2"/>
    <sheet xmlns:r="http://schemas.openxmlformats.org/officeDocument/2006/relationships" name="DIV 06 - PROV SUMS" sheetId="3" state="visible" r:id="rId3"/>
    <sheet xmlns:r="http://schemas.openxmlformats.org/officeDocument/2006/relationships" name="DIV 05 - ELECTRICAL" sheetId="4" state="visible" r:id="rId4"/>
    <sheet xmlns:r="http://schemas.openxmlformats.org/officeDocument/2006/relationships" name="DIV 04 - MECHANICAL (MEP)" sheetId="5" state="visible" r:id="rId5"/>
    <sheet xmlns:r="http://schemas.openxmlformats.org/officeDocument/2006/relationships" name="DIV 03 - ARCH &amp; FINISHES" sheetId="6" state="visible" r:id="rId6"/>
    <sheet xmlns:r="http://schemas.openxmlformats.org/officeDocument/2006/relationships" name="DIV 02 - CIVIL &amp; STRUCT" sheetId="7" state="visible" r:id="rId7"/>
    <sheet xmlns:r="http://schemas.openxmlformats.org/officeDocument/2006/relationships" name="DIV 01 - PRELIM &amp; GENERAL" sheetId="8" state="visible" r:id="rId8"/>
    <sheet xmlns:r="http://schemas.openxmlformats.org/officeDocument/2006/relationships" name="PROJECT INFO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BDD7EE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8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color rgb="000000FF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F4B94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4" fontId="13" fillId="4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4" fontId="8" fillId="7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4" fontId="8" fillId="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/>
    </xf>
    <xf numFmtId="4" fontId="9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1" fillId="2" borderId="1" applyAlignment="1" pivotButton="0" quotePrefix="0" xfId="0">
      <alignment horizontal="right" vertical="center"/>
    </xf>
    <xf numFmtId="4" fontId="11" fillId="2" borderId="1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22" customHeight="1">
      <c r="A1" s="1" t="inlineStr">
        <is>
          <t>RATE LIBRARY  –  Unit Rates Reference (Update with current market prices)</t>
        </is>
      </c>
    </row>
    <row r="2" ht="28" customHeight="1">
      <c r="A2" s="2" t="inlineStr">
        <is>
          <t>Code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Material Rate</t>
        </is>
      </c>
      <c r="E2" s="2" t="inlineStr">
        <is>
          <t>Labour Rate</t>
        </is>
      </c>
      <c r="F2" s="2" t="inlineStr">
        <is>
          <t>Plant Rate</t>
        </is>
      </c>
      <c r="G2" s="2" t="inlineStr">
        <is>
          <t>Total Rate</t>
        </is>
      </c>
      <c r="H2" s="2" t="inlineStr">
        <is>
          <t>Source / Date</t>
        </is>
      </c>
    </row>
    <row r="3" ht="18" customHeight="1">
      <c r="A3" s="3" t="inlineStr">
        <is>
          <t>EXCV-01</t>
        </is>
      </c>
      <c r="B3" s="4" t="inlineStr">
        <is>
          <t>Bulk excavation in firm earth (inc disposal)</t>
        </is>
      </c>
      <c r="C3" s="3" t="inlineStr">
        <is>
          <t>m³</t>
        </is>
      </c>
      <c r="D3" s="5" t="n">
        <v>0</v>
      </c>
      <c r="E3" s="5" t="n">
        <v>0</v>
      </c>
      <c r="F3" s="5" t="n">
        <v>0</v>
      </c>
      <c r="G3" s="6">
        <f>D3+E3+F3</f>
        <v/>
      </c>
      <c r="H3" s="4" t="inlineStr">
        <is>
          <t>Market 2026</t>
        </is>
      </c>
    </row>
    <row r="4" ht="18" customHeight="1">
      <c r="A4" s="7" t="inlineStr">
        <is>
          <t>CONC-15</t>
        </is>
      </c>
      <c r="B4" s="8" t="inlineStr">
        <is>
          <t>Plain concrete C15 (supply only, exclude labour)</t>
        </is>
      </c>
      <c r="C4" s="7" t="inlineStr">
        <is>
          <t>m³</t>
        </is>
      </c>
      <c r="D4" s="5" t="n">
        <v>0</v>
      </c>
      <c r="E4" s="5" t="n">
        <v>0</v>
      </c>
      <c r="F4" s="5" t="n">
        <v>0</v>
      </c>
      <c r="G4" s="6">
        <f>D4+E4+F4</f>
        <v/>
      </c>
      <c r="H4" s="8" t="inlineStr">
        <is>
          <t>Market 2026</t>
        </is>
      </c>
    </row>
    <row r="5" ht="18" customHeight="1">
      <c r="A5" s="3" t="inlineStr">
        <is>
          <t>CONC-25</t>
        </is>
      </c>
      <c r="B5" s="4" t="inlineStr">
        <is>
          <t>Reinforced concrete C25 (supply only)</t>
        </is>
      </c>
      <c r="C5" s="3" t="inlineStr">
        <is>
          <t>m³</t>
        </is>
      </c>
      <c r="D5" s="5" t="n">
        <v>0</v>
      </c>
      <c r="E5" s="5" t="n">
        <v>0</v>
      </c>
      <c r="F5" s="5" t="n">
        <v>0</v>
      </c>
      <c r="G5" s="6">
        <f>D5+E5+F5</f>
        <v/>
      </c>
      <c r="H5" s="4" t="inlineStr">
        <is>
          <t>Market 2026</t>
        </is>
      </c>
    </row>
    <row r="6" ht="18" customHeight="1">
      <c r="A6" s="7" t="inlineStr">
        <is>
          <t>REBAR-01</t>
        </is>
      </c>
      <c r="B6" s="8" t="inlineStr">
        <is>
          <t>Deformed rebar Y-series, supply and fix</t>
        </is>
      </c>
      <c r="C6" s="7" t="inlineStr">
        <is>
          <t>ton</t>
        </is>
      </c>
      <c r="D6" s="5" t="n">
        <v>0</v>
      </c>
      <c r="E6" s="5" t="n">
        <v>0</v>
      </c>
      <c r="F6" s="5" t="n">
        <v>0</v>
      </c>
      <c r="G6" s="6">
        <f>D6+E6+F6</f>
        <v/>
      </c>
      <c r="H6" s="8" t="inlineStr">
        <is>
          <t>Market 2026</t>
        </is>
      </c>
    </row>
    <row r="7" ht="18" customHeight="1">
      <c r="A7" s="3" t="inlineStr">
        <is>
          <t>BLOCK-20</t>
        </is>
      </c>
      <c r="B7" s="4" t="inlineStr">
        <is>
          <t>200mm concrete block, laid</t>
        </is>
      </c>
      <c r="C7" s="3" t="inlineStr">
        <is>
          <t>m²</t>
        </is>
      </c>
      <c r="D7" s="5" t="n">
        <v>0</v>
      </c>
      <c r="E7" s="5" t="n">
        <v>0</v>
      </c>
      <c r="F7" s="5" t="n">
        <v>0</v>
      </c>
      <c r="G7" s="6">
        <f>D7+E7+F7</f>
        <v/>
      </c>
      <c r="H7" s="4" t="inlineStr">
        <is>
          <t>Market 2026</t>
        </is>
      </c>
    </row>
    <row r="8" ht="18" customHeight="1">
      <c r="A8" s="7" t="inlineStr">
        <is>
          <t>PLAS-INT</t>
        </is>
      </c>
      <c r="B8" s="8" t="inlineStr">
        <is>
          <t>Internal 3-coat plaster</t>
        </is>
      </c>
      <c r="C8" s="7" t="inlineStr">
        <is>
          <t>m²</t>
        </is>
      </c>
      <c r="D8" s="5" t="n">
        <v>0</v>
      </c>
      <c r="E8" s="5" t="n">
        <v>0</v>
      </c>
      <c r="F8" s="5" t="n">
        <v>0</v>
      </c>
      <c r="G8" s="6">
        <f>D8+E8+F8</f>
        <v/>
      </c>
      <c r="H8" s="8" t="inlineStr">
        <is>
          <t>Market 2026</t>
        </is>
      </c>
    </row>
    <row r="9" ht="18" customHeight="1">
      <c r="A9" s="3" t="inlineStr">
        <is>
          <t>TILE-POR</t>
        </is>
      </c>
      <c r="B9" s="4" t="inlineStr">
        <is>
          <t>Porcelain tile 600×600 (supply &amp; lay)</t>
        </is>
      </c>
      <c r="C9" s="3" t="inlineStr">
        <is>
          <t>m²</t>
        </is>
      </c>
      <c r="D9" s="5" t="n">
        <v>0</v>
      </c>
      <c r="E9" s="5" t="n">
        <v>0</v>
      </c>
      <c r="F9" s="5" t="n">
        <v>0</v>
      </c>
      <c r="G9" s="6">
        <f>D9+E9+F9</f>
        <v/>
      </c>
      <c r="H9" s="4" t="inlineStr">
        <is>
          <t>Market 2026</t>
        </is>
      </c>
    </row>
    <row r="10" ht="18" customHeight="1">
      <c r="A10" s="7" t="inlineStr">
        <is>
          <t>PAINT-IN</t>
        </is>
      </c>
      <c r="B10" s="8" t="inlineStr">
        <is>
          <t>Internal emulsion paint (2 coats)</t>
        </is>
      </c>
      <c r="C10" s="7" t="inlineStr">
        <is>
          <t>m²</t>
        </is>
      </c>
      <c r="D10" s="5" t="n">
        <v>0</v>
      </c>
      <c r="E10" s="5" t="n">
        <v>0</v>
      </c>
      <c r="F10" s="5" t="n">
        <v>0</v>
      </c>
      <c r="G10" s="6">
        <f>D10+E10+F10</f>
        <v/>
      </c>
      <c r="H10" s="8" t="inlineStr">
        <is>
          <t>Market 2026</t>
        </is>
      </c>
    </row>
    <row r="11" ht="18" customHeight="1">
      <c r="A11" s="3" t="inlineStr">
        <is>
          <t>DUCT-GI1</t>
        </is>
      </c>
      <c r="B11" s="4" t="inlineStr">
        <is>
          <t>GI ductwork 0.6mm gauge – supply, fab &amp; install</t>
        </is>
      </c>
      <c r="C11" s="3" t="inlineStr">
        <is>
          <t>kg</t>
        </is>
      </c>
      <c r="D11" s="5" t="n">
        <v>0</v>
      </c>
      <c r="E11" s="5" t="n">
        <v>0</v>
      </c>
      <c r="F11" s="5" t="n">
        <v>0</v>
      </c>
      <c r="G11" s="6">
        <f>D11+E11+F11</f>
        <v/>
      </c>
      <c r="H11" s="4" t="inlineStr">
        <is>
          <t>Market 2026</t>
        </is>
      </c>
    </row>
    <row r="12" ht="18" customHeight="1">
      <c r="A12" s="7" t="inlineStr">
        <is>
          <t>PIPE-15</t>
        </is>
      </c>
      <c r="B12" s="8" t="inlineStr">
        <is>
          <t>uPVC pipe 15mm dia (supply &amp; install)</t>
        </is>
      </c>
      <c r="C12" s="7" t="inlineStr">
        <is>
          <t>LM</t>
        </is>
      </c>
      <c r="D12" s="5" t="n">
        <v>0</v>
      </c>
      <c r="E12" s="5" t="n">
        <v>0</v>
      </c>
      <c r="F12" s="5" t="n">
        <v>0</v>
      </c>
      <c r="G12" s="6">
        <f>D12+E12+F12</f>
        <v/>
      </c>
      <c r="H12" s="8" t="inlineStr">
        <is>
          <t>Market 2026</t>
        </is>
      </c>
    </row>
    <row r="13" ht="18" customHeight="1">
      <c r="A13" s="3" t="inlineStr">
        <is>
          <t>PIPE-25</t>
        </is>
      </c>
      <c r="B13" s="4" t="inlineStr">
        <is>
          <t>uPVC pipe 25mm dia (supply &amp; install)</t>
        </is>
      </c>
      <c r="C13" s="3" t="inlineStr">
        <is>
          <t>LM</t>
        </is>
      </c>
      <c r="D13" s="5" t="n">
        <v>0</v>
      </c>
      <c r="E13" s="5" t="n">
        <v>0</v>
      </c>
      <c r="F13" s="5" t="n">
        <v>0</v>
      </c>
      <c r="G13" s="6">
        <f>D13+E13+F13</f>
        <v/>
      </c>
      <c r="H13" s="4" t="inlineStr">
        <is>
          <t>Market 2026</t>
        </is>
      </c>
    </row>
    <row r="14" ht="18" customHeight="1">
      <c r="A14" s="7" t="inlineStr">
        <is>
          <t>PIPE-50</t>
        </is>
      </c>
      <c r="B14" s="8" t="inlineStr">
        <is>
          <t>uPVC pipe 50mm dia (supply &amp; install)</t>
        </is>
      </c>
      <c r="C14" s="7" t="inlineStr">
        <is>
          <t>LM</t>
        </is>
      </c>
      <c r="D14" s="5" t="n">
        <v>0</v>
      </c>
      <c r="E14" s="5" t="n">
        <v>0</v>
      </c>
      <c r="F14" s="5" t="n">
        <v>0</v>
      </c>
      <c r="G14" s="6">
        <f>D14+E14+F14</f>
        <v/>
      </c>
      <c r="H14" s="8" t="inlineStr">
        <is>
          <t>Market 2026</t>
        </is>
      </c>
    </row>
    <row r="15" ht="18" customHeight="1">
      <c r="A15" s="3" t="inlineStr">
        <is>
          <t>CABLE-25</t>
        </is>
      </c>
      <c r="B15" s="4" t="inlineStr">
        <is>
          <t>2.5mm² twin+E cable in conduit</t>
        </is>
      </c>
      <c r="C15" s="3" t="inlineStr">
        <is>
          <t>LM</t>
        </is>
      </c>
      <c r="D15" s="5" t="n">
        <v>0</v>
      </c>
      <c r="E15" s="5" t="n">
        <v>0</v>
      </c>
      <c r="F15" s="5" t="n">
        <v>0</v>
      </c>
      <c r="G15" s="6">
        <f>D15+E15+F15</f>
        <v/>
      </c>
      <c r="H15" s="4" t="inlineStr">
        <is>
          <t>Market 2026</t>
        </is>
      </c>
    </row>
    <row r="16" ht="18" customHeight="1">
      <c r="A16" s="7" t="inlineStr">
        <is>
          <t>CABLE-95</t>
        </is>
      </c>
      <c r="B16" s="8" t="inlineStr">
        <is>
          <t>95mm² armoured cable (supply &amp; install)</t>
        </is>
      </c>
      <c r="C16" s="7" t="inlineStr">
        <is>
          <t>LM</t>
        </is>
      </c>
      <c r="D16" s="5" t="n">
        <v>0</v>
      </c>
      <c r="E16" s="5" t="n">
        <v>0</v>
      </c>
      <c r="F16" s="5" t="n">
        <v>0</v>
      </c>
      <c r="G16" s="6">
        <f>D16+E16+F16</f>
        <v/>
      </c>
      <c r="H16" s="8" t="inlineStr">
        <is>
          <t>Market 2026</t>
        </is>
      </c>
    </row>
    <row r="17" ht="18" customHeight="1">
      <c r="A17" s="3" t="inlineStr">
        <is>
          <t>WIRING</t>
        </is>
      </c>
      <c r="B17" s="4" t="inlineStr">
        <is>
          <t>Wiring from panel to outlet (15m circuit)</t>
        </is>
      </c>
      <c r="C17" s="3" t="inlineStr">
        <is>
          <t>No</t>
        </is>
      </c>
      <c r="D17" s="5" t="n">
        <v>0</v>
      </c>
      <c r="E17" s="5" t="n">
        <v>0</v>
      </c>
      <c r="F17" s="5" t="n">
        <v>0</v>
      </c>
      <c r="G17" s="6">
        <f>D17+E17+F17</f>
        <v/>
      </c>
      <c r="H17" s="4" t="inlineStr">
        <is>
          <t>Market 2026</t>
        </is>
      </c>
    </row>
    <row r="18" ht="18" customHeight="1">
      <c r="A18" s="7" t="inlineStr">
        <is>
          <t>LAB-ELEC</t>
        </is>
      </c>
      <c r="B18" s="8" t="inlineStr">
        <is>
          <t>Electrician labour (per hour)</t>
        </is>
      </c>
      <c r="C18" s="7" t="inlineStr">
        <is>
          <t>hr</t>
        </is>
      </c>
      <c r="D18" s="5" t="n">
        <v>0</v>
      </c>
      <c r="E18" s="5" t="n">
        <v>0</v>
      </c>
      <c r="F18" s="5" t="n">
        <v>0</v>
      </c>
      <c r="G18" s="6">
        <f>D18+E18+F18</f>
        <v/>
      </c>
      <c r="H18" s="8" t="inlineStr">
        <is>
          <t>Market 2026</t>
        </is>
      </c>
    </row>
    <row r="19" ht="18" customHeight="1">
      <c r="A19" s="3" t="inlineStr">
        <is>
          <t>LAB-MECH</t>
        </is>
      </c>
      <c r="B19" s="4" t="inlineStr">
        <is>
          <t>Mechanical fitter labour (per hour)</t>
        </is>
      </c>
      <c r="C19" s="3" t="inlineStr">
        <is>
          <t>hr</t>
        </is>
      </c>
      <c r="D19" s="5" t="n">
        <v>0</v>
      </c>
      <c r="E19" s="5" t="n">
        <v>0</v>
      </c>
      <c r="F19" s="5" t="n">
        <v>0</v>
      </c>
      <c r="G19" s="6">
        <f>D19+E19+F19</f>
        <v/>
      </c>
      <c r="H19" s="4" t="inlineStr">
        <is>
          <t>Market 2026</t>
        </is>
      </c>
    </row>
    <row r="20" ht="18" customHeight="1">
      <c r="A20" s="7" t="inlineStr">
        <is>
          <t>LAB-CIVIL</t>
        </is>
      </c>
      <c r="B20" s="8" t="inlineStr">
        <is>
          <t>Mason / concretor labour (per hour)</t>
        </is>
      </c>
      <c r="C20" s="7" t="inlineStr">
        <is>
          <t>hr</t>
        </is>
      </c>
      <c r="D20" s="5" t="n">
        <v>0</v>
      </c>
      <c r="E20" s="5" t="n">
        <v>0</v>
      </c>
      <c r="F20" s="5" t="n">
        <v>0</v>
      </c>
      <c r="G20" s="6">
        <f>D20+E20+F20</f>
        <v/>
      </c>
      <c r="H20" s="8" t="inlineStr">
        <is>
          <t>Market 2026</t>
        </is>
      </c>
    </row>
    <row r="22">
      <c r="A22" s="9" t="inlineStr">
        <is>
          <t>INSTRUCTIONS:  Enter current market unit rates above (blue = editable input).  Column G (Total Rate) is auto-calculated.  BOQ division sheets reference this library — update rates here to refresh all amounts.  Rate source should be documented (e.g., 'URSB Price Index 2026', 'Supplier quote ref. XYZ', etc.).</t>
        </is>
      </c>
    </row>
    <row r="23"/>
    <row r="24"/>
  </sheetData>
  <mergeCells count="2">
    <mergeCell ref="A22:H24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8" customWidth="1" min="4" max="4"/>
    <col width="16" customWidth="1" min="5" max="5"/>
    <col width="8" customWidth="1" min="6" max="6"/>
    <col width="8" customWidth="1" min="7" max="7"/>
    <col width="8" customWidth="1" min="8" max="8"/>
    <col width="15" customWidth="1" min="9" max="9"/>
    <col width="15" customWidth="1" min="10" max="10"/>
    <col width="15" customWidth="1" min="11" max="11"/>
    <col width="12" customWidth="1" min="12" max="12"/>
    <col width="14" customWidth="1" min="13" max="13"/>
    <col width="18" customWidth="1" min="14" max="14"/>
    <col width="20" customWidth="1" min="15" max="15"/>
    <col width="18" customWidth="1" min="16" max="16"/>
    <col width="14" customWidth="1" min="17" max="17"/>
  </cols>
  <sheetData>
    <row r="1" ht="22" customHeight="1">
      <c r="A1" s="1" t="inlineStr">
        <is>
          <t>MATERIAL SCHEDULE  –  STANDARD TEMPLATE FOR STINGTOOLS EXPORT</t>
        </is>
      </c>
    </row>
    <row r="2" ht="36" customHeight="1">
      <c r="A2" s="10" t="inlineStr">
        <is>
          <t>#</t>
        </is>
      </c>
      <c r="B2" s="10" t="inlineStr">
        <is>
          <t>STING Tag / BIM ID</t>
        </is>
      </c>
      <c r="C2" s="10" t="inlineStr">
        <is>
          <t>Material Code</t>
        </is>
      </c>
      <c r="D2" s="10" t="inlineStr">
        <is>
          <t>Material Description</t>
        </is>
      </c>
      <c r="E2" s="10" t="inlineStr">
        <is>
          <t>Specification / Standard</t>
        </is>
      </c>
      <c r="F2" s="10" t="inlineStr">
        <is>
          <t>Unit</t>
        </is>
      </c>
      <c r="G2" s="10" t="inlineStr">
        <is>
          <t>Model Qty</t>
        </is>
      </c>
      <c r="H2" s="10" t="inlineStr">
        <is>
          <t>Waste Factor (%)</t>
        </is>
      </c>
      <c r="I2" s="10" t="inlineStr">
        <is>
          <t>Order Qty</t>
        </is>
      </c>
      <c r="J2" s="10" t="inlineStr">
        <is>
          <t>Unit Rate (Supply)</t>
        </is>
      </c>
      <c r="K2" s="10" t="inlineStr">
        <is>
          <t>Amount (Supply)</t>
        </is>
      </c>
      <c r="L2" s="10" t="inlineStr">
        <is>
          <t>Lead Time (wks)</t>
        </is>
      </c>
      <c r="M2" s="10" t="inlineStr">
        <is>
          <t>Supplier / Manufacturer</t>
        </is>
      </c>
      <c r="N2" s="10" t="inlineStr">
        <is>
          <t>Country of Origin</t>
        </is>
      </c>
      <c r="O2" s="10" t="inlineStr">
        <is>
          <t>Approved Equivalent</t>
        </is>
      </c>
      <c r="P2" s="10" t="inlineStr">
        <is>
          <t>Status</t>
        </is>
      </c>
      <c r="Q2" s="10" t="inlineStr">
        <is>
          <t>BOQ Ref</t>
        </is>
      </c>
    </row>
    <row r="3" ht="18" customHeight="1">
      <c r="A3" s="3" t="n">
        <v>1</v>
      </c>
      <c r="B3" s="11" t="inlineStr">
        <is>
          <t>M-001</t>
        </is>
      </c>
      <c r="C3" s="11" t="inlineStr">
        <is>
          <t>AHU-01</t>
        </is>
      </c>
      <c r="D3" s="11" t="inlineStr">
        <is>
          <t>Supply Air Handling Unit – DOAS type, 5000 L/s, energy recovery wheel</t>
        </is>
      </c>
      <c r="E3" s="11" t="inlineStr">
        <is>
          <t>ASHRAE 90.1</t>
        </is>
      </c>
      <c r="F3" s="3" t="inlineStr">
        <is>
          <t>No</t>
        </is>
      </c>
      <c r="G3" s="3" t="n">
        <v>1</v>
      </c>
      <c r="H3" s="3" t="n">
        <v>5</v>
      </c>
      <c r="I3" s="3">
        <f>G3*(1+H3/100)</f>
        <v/>
      </c>
      <c r="J3" s="12" t="inlineStr"/>
      <c r="K3" s="12">
        <f>I3*J3</f>
        <v/>
      </c>
      <c r="L3" s="3" t="inlineStr">
        <is>
          <t>8</t>
        </is>
      </c>
      <c r="M3" s="11" t="inlineStr">
        <is>
          <t>Carrier / Daikin / Trane</t>
        </is>
      </c>
      <c r="N3" s="3" t="inlineStr">
        <is>
          <t>USA/Japan</t>
        </is>
      </c>
      <c r="O3" s="11" t="inlineStr">
        <is>
          <t>As approved</t>
        </is>
      </c>
      <c r="P3" s="13" t="inlineStr">
        <is>
          <t>PROCURE</t>
        </is>
      </c>
      <c r="Q3" s="11" t="inlineStr">
        <is>
          <t>04.A.01</t>
        </is>
      </c>
    </row>
    <row r="4" ht="18" customHeight="1">
      <c r="A4" s="7" t="n">
        <v>2</v>
      </c>
      <c r="B4" s="14" t="inlineStr">
        <is>
          <t>M-002</t>
        </is>
      </c>
      <c r="C4" s="14" t="inlineStr">
        <is>
          <t>FCU-T01</t>
        </is>
      </c>
      <c r="D4" s="14" t="inlineStr">
        <is>
          <t>Fan Coil Unit – ceiling concealed, 2-pipe, 1.2 kW cooling</t>
        </is>
      </c>
      <c r="E4" s="14" t="inlineStr">
        <is>
          <t>BS EN ISO 5149</t>
        </is>
      </c>
      <c r="F4" s="7" t="inlineStr">
        <is>
          <t>No</t>
        </is>
      </c>
      <c r="G4" s="7" t="n">
        <v>1</v>
      </c>
      <c r="H4" s="7" t="n">
        <v>2</v>
      </c>
      <c r="I4" s="7">
        <f>G4*(1+H4/100)</f>
        <v/>
      </c>
      <c r="J4" s="15" t="inlineStr"/>
      <c r="K4" s="15">
        <f>I4*J4</f>
        <v/>
      </c>
      <c r="L4" s="7" t="inlineStr">
        <is>
          <t>6</t>
        </is>
      </c>
      <c r="M4" s="14" t="inlineStr">
        <is>
          <t>Daikin / LG / Mitsubishi</t>
        </is>
      </c>
      <c r="N4" s="7" t="inlineStr">
        <is>
          <t>Japan</t>
        </is>
      </c>
      <c r="O4" s="14" t="inlineStr">
        <is>
          <t>As approved</t>
        </is>
      </c>
      <c r="P4" s="13" t="inlineStr">
        <is>
          <t>PROCURE</t>
        </is>
      </c>
      <c r="Q4" s="14" t="inlineStr">
        <is>
          <t>04.A.02</t>
        </is>
      </c>
    </row>
    <row r="5" ht="18" customHeight="1">
      <c r="A5" s="3" t="n">
        <v>3</v>
      </c>
      <c r="B5" s="11" t="inlineStr">
        <is>
          <t>M-003</t>
        </is>
      </c>
      <c r="C5" s="11" t="inlineStr">
        <is>
          <t>DUCT-GI</t>
        </is>
      </c>
      <c r="D5" s="11" t="inlineStr">
        <is>
          <t>Galvanised steel ductwork – 0.6/0.8/1.0mm gauge (SMACNA class 1)</t>
        </is>
      </c>
      <c r="E5" s="11" t="inlineStr">
        <is>
          <t>SMACNA HVAC Duct</t>
        </is>
      </c>
      <c r="F5" s="3" t="inlineStr">
        <is>
          <t>kg</t>
        </is>
      </c>
      <c r="G5" s="3" t="n">
        <v>1</v>
      </c>
      <c r="H5" s="3" t="n">
        <v>10</v>
      </c>
      <c r="I5" s="3">
        <f>G5*(1+H5/100)</f>
        <v/>
      </c>
      <c r="J5" s="12" t="inlineStr"/>
      <c r="K5" s="12">
        <f>I5*J5</f>
        <v/>
      </c>
      <c r="L5" s="3" t="inlineStr">
        <is>
          <t>4</t>
        </is>
      </c>
      <c r="M5" s="11" t="inlineStr">
        <is>
          <t>Kingspan / local fab</t>
        </is>
      </c>
      <c r="N5" s="3" t="inlineStr">
        <is>
          <t>Uganda/SA</t>
        </is>
      </c>
      <c r="O5" s="11" t="inlineStr">
        <is>
          <t>As approved</t>
        </is>
      </c>
      <c r="P5" s="16" t="inlineStr">
        <is>
          <t>FABRICATE</t>
        </is>
      </c>
      <c r="Q5" s="11" t="inlineStr">
        <is>
          <t>04.A.05</t>
        </is>
      </c>
    </row>
    <row r="6" ht="18" customHeight="1">
      <c r="A6" s="7" t="n">
        <v>4</v>
      </c>
      <c r="B6" s="14" t="inlineStr">
        <is>
          <t>M-004</t>
        </is>
      </c>
      <c r="C6" s="14" t="inlineStr">
        <is>
          <t>PIPE-CW</t>
        </is>
      </c>
      <c r="D6" s="14" t="inlineStr">
        <is>
          <t>Chilled water pipe – MS schedule 40 (pre-insulated)</t>
        </is>
      </c>
      <c r="E6" s="14" t="inlineStr">
        <is>
          <t>ASME B31.9</t>
        </is>
      </c>
      <c r="F6" s="7" t="inlineStr">
        <is>
          <t>LM</t>
        </is>
      </c>
      <c r="G6" s="7" t="n">
        <v>1</v>
      </c>
      <c r="H6" s="7" t="n">
        <v>5</v>
      </c>
      <c r="I6" s="7">
        <f>G6*(1+H6/100)</f>
        <v/>
      </c>
      <c r="J6" s="15" t="inlineStr"/>
      <c r="K6" s="15">
        <f>I6*J6</f>
        <v/>
      </c>
      <c r="L6" s="7" t="inlineStr">
        <is>
          <t>6</t>
        </is>
      </c>
      <c r="M6" s="14" t="inlineStr">
        <is>
          <t>Unistrut / Electrosteel</t>
        </is>
      </c>
      <c r="N6" s="7" t="inlineStr">
        <is>
          <t>India/SA</t>
        </is>
      </c>
      <c r="O6" s="14" t="inlineStr">
        <is>
          <t>As approved</t>
        </is>
      </c>
      <c r="P6" s="13" t="inlineStr">
        <is>
          <t>PROCURE</t>
        </is>
      </c>
      <c r="Q6" s="14" t="inlineStr">
        <is>
          <t>04.A.14</t>
        </is>
      </c>
    </row>
    <row r="7" ht="18" customHeight="1">
      <c r="A7" s="3" t="n">
        <v>5</v>
      </c>
      <c r="B7" s="11" t="inlineStr">
        <is>
          <t>M-005</t>
        </is>
      </c>
      <c r="C7" s="11" t="inlineStr">
        <is>
          <t>PIPE-HW</t>
        </is>
      </c>
      <c r="D7" s="11" t="inlineStr">
        <is>
          <t>CPVC hot &amp; cold water piping Sch 40 (insulated)</t>
        </is>
      </c>
      <c r="E7" s="11" t="inlineStr">
        <is>
          <t>BS EN ISO 15494</t>
        </is>
      </c>
      <c r="F7" s="3" t="inlineStr">
        <is>
          <t>LM</t>
        </is>
      </c>
      <c r="G7" s="3" t="n">
        <v>1</v>
      </c>
      <c r="H7" s="3" t="n">
        <v>8</v>
      </c>
      <c r="I7" s="3">
        <f>G7*(1+H7/100)</f>
        <v/>
      </c>
      <c r="J7" s="12" t="inlineStr"/>
      <c r="K7" s="12">
        <f>I7*J7</f>
        <v/>
      </c>
      <c r="L7" s="3" t="inlineStr">
        <is>
          <t>3</t>
        </is>
      </c>
      <c r="M7" s="11" t="inlineStr">
        <is>
          <t>Hepworth / Wavin</t>
        </is>
      </c>
      <c r="N7" s="3" t="inlineStr">
        <is>
          <t>SA/UK</t>
        </is>
      </c>
      <c r="O7" s="11" t="inlineStr">
        <is>
          <t>As approved</t>
        </is>
      </c>
      <c r="P7" s="13" t="inlineStr">
        <is>
          <t>PROCURE</t>
        </is>
      </c>
      <c r="Q7" s="11" t="inlineStr">
        <is>
          <t>04.B.01</t>
        </is>
      </c>
    </row>
    <row r="8" ht="18" customHeight="1">
      <c r="A8" s="7" t="n">
        <v>6</v>
      </c>
      <c r="B8" s="14" t="inlineStr">
        <is>
          <t>M-006</t>
        </is>
      </c>
      <c r="C8" s="14" t="inlineStr">
        <is>
          <t>FHR-01</t>
        </is>
      </c>
      <c r="D8" s="14" t="inlineStr">
        <is>
          <t>Fire hose reel cabinet – recessed, 30m hose, BS compliant</t>
        </is>
      </c>
      <c r="E8" s="14" t="inlineStr">
        <is>
          <t>BS EN 671</t>
        </is>
      </c>
      <c r="F8" s="7" t="inlineStr">
        <is>
          <t>No</t>
        </is>
      </c>
      <c r="G8" s="7" t="n">
        <v>1</v>
      </c>
      <c r="H8" s="7" t="n">
        <v>0</v>
      </c>
      <c r="I8" s="7">
        <f>G8*(1+H8/100)</f>
        <v/>
      </c>
      <c r="J8" s="15" t="inlineStr"/>
      <c r="K8" s="15">
        <f>I8*J8</f>
        <v/>
      </c>
      <c r="L8" s="7" t="inlineStr">
        <is>
          <t>8</t>
        </is>
      </c>
      <c r="M8" s="14" t="inlineStr">
        <is>
          <t>Viking / Tyco</t>
        </is>
      </c>
      <c r="N8" s="7" t="inlineStr">
        <is>
          <t>UK/USA</t>
        </is>
      </c>
      <c r="O8" s="14" t="inlineStr">
        <is>
          <t>As approved</t>
        </is>
      </c>
      <c r="P8" s="13" t="inlineStr">
        <is>
          <t>PROCURE</t>
        </is>
      </c>
      <c r="Q8" s="14" t="inlineStr">
        <is>
          <t>04.C.02</t>
        </is>
      </c>
    </row>
    <row r="9" ht="18" customHeight="1">
      <c r="A9" s="3" t="n">
        <v>7</v>
      </c>
      <c r="B9" s="11" t="inlineStr">
        <is>
          <t>M-007</t>
        </is>
      </c>
      <c r="C9" s="11" t="inlineStr">
        <is>
          <t>SPK-01</t>
        </is>
      </c>
      <c r="D9" s="11" t="inlineStr">
        <is>
          <t>Sprinkler head – pendant, std response, K-factor 80</t>
        </is>
      </c>
      <c r="E9" s="11" t="inlineStr">
        <is>
          <t>NFPA 13</t>
        </is>
      </c>
      <c r="F9" s="3" t="inlineStr">
        <is>
          <t>No</t>
        </is>
      </c>
      <c r="G9" s="3" t="n">
        <v>1</v>
      </c>
      <c r="H9" s="3" t="n">
        <v>2</v>
      </c>
      <c r="I9" s="3">
        <f>G9*(1+H9/100)</f>
        <v/>
      </c>
      <c r="J9" s="12" t="inlineStr"/>
      <c r="K9" s="12">
        <f>I9*J9</f>
        <v/>
      </c>
      <c r="L9" s="3" t="inlineStr">
        <is>
          <t>6</t>
        </is>
      </c>
      <c r="M9" s="11" t="inlineStr">
        <is>
          <t>Viking / Tyco</t>
        </is>
      </c>
      <c r="N9" s="3" t="inlineStr">
        <is>
          <t>USA</t>
        </is>
      </c>
      <c r="O9" s="11" t="inlineStr">
        <is>
          <t>As approved</t>
        </is>
      </c>
      <c r="P9" s="13" t="inlineStr">
        <is>
          <t>PROCURE</t>
        </is>
      </c>
      <c r="Q9" s="11" t="inlineStr">
        <is>
          <t>04.C.05</t>
        </is>
      </c>
    </row>
    <row r="10" ht="18" customHeight="1">
      <c r="A10" s="7" t="n">
        <v>8</v>
      </c>
      <c r="B10" s="14" t="inlineStr">
        <is>
          <t>E-001</t>
        </is>
      </c>
      <c r="C10" s="14" t="inlineStr">
        <is>
          <t>MLVDB-01</t>
        </is>
      </c>
      <c r="D10" s="14" t="inlineStr">
        <is>
          <t>Main LV distribution board – 3-phase 400V, 1000A MCCB incomer</t>
        </is>
      </c>
      <c r="E10" s="14" t="inlineStr">
        <is>
          <t>IEC 61439-1</t>
        </is>
      </c>
      <c r="F10" s="7" t="inlineStr">
        <is>
          <t>No</t>
        </is>
      </c>
      <c r="G10" s="7" t="n">
        <v>1</v>
      </c>
      <c r="H10" s="7" t="n">
        <v>0</v>
      </c>
      <c r="I10" s="7">
        <f>G10*(1+H10/100)</f>
        <v/>
      </c>
      <c r="J10" s="15" t="inlineStr"/>
      <c r="K10" s="15">
        <f>I10*J10</f>
        <v/>
      </c>
      <c r="L10" s="7" t="inlineStr">
        <is>
          <t>12</t>
        </is>
      </c>
      <c r="M10" s="14" t="inlineStr">
        <is>
          <t>ABB / Schneider / Eaton</t>
        </is>
      </c>
      <c r="N10" s="7" t="inlineStr">
        <is>
          <t>EU</t>
        </is>
      </c>
      <c r="O10" s="14" t="inlineStr">
        <is>
          <t>As approved</t>
        </is>
      </c>
      <c r="P10" s="13" t="inlineStr">
        <is>
          <t>PROCURE</t>
        </is>
      </c>
      <c r="Q10" s="14" t="inlineStr">
        <is>
          <t>05.A.01</t>
        </is>
      </c>
    </row>
    <row r="11" ht="18" customHeight="1">
      <c r="A11" s="3" t="n">
        <v>9</v>
      </c>
      <c r="B11" s="11" t="inlineStr">
        <is>
          <t>E-002</t>
        </is>
      </c>
      <c r="C11" s="11" t="inlineStr">
        <is>
          <t>GEN-01</t>
        </is>
      </c>
      <c r="D11" s="11" t="inlineStr">
        <is>
          <t>Diesel generator – 200kVA, Perkins engine, IP23 enclosure</t>
        </is>
      </c>
      <c r="E11" s="11" t="inlineStr">
        <is>
          <t>ISO 8528</t>
        </is>
      </c>
      <c r="F11" s="3" t="inlineStr">
        <is>
          <t>No</t>
        </is>
      </c>
      <c r="G11" s="3" t="n">
        <v>1</v>
      </c>
      <c r="H11" s="3" t="n">
        <v>0</v>
      </c>
      <c r="I11" s="3">
        <f>G11*(1+H11/100)</f>
        <v/>
      </c>
      <c r="J11" s="12" t="inlineStr"/>
      <c r="K11" s="12">
        <f>I11*J11</f>
        <v/>
      </c>
      <c r="L11" s="3" t="inlineStr">
        <is>
          <t>14</t>
        </is>
      </c>
      <c r="M11" s="11" t="inlineStr">
        <is>
          <t>Perkins / Cummins / FG Wilson</t>
        </is>
      </c>
      <c r="N11" s="3" t="inlineStr">
        <is>
          <t>UK/USA</t>
        </is>
      </c>
      <c r="O11" s="11" t="inlineStr">
        <is>
          <t>As approved</t>
        </is>
      </c>
      <c r="P11" s="13" t="inlineStr">
        <is>
          <t>PROCURE</t>
        </is>
      </c>
      <c r="Q11" s="11" t="inlineStr">
        <is>
          <t>05.A.04</t>
        </is>
      </c>
    </row>
    <row r="12" ht="18" customHeight="1">
      <c r="A12" s="7" t="n">
        <v>10</v>
      </c>
      <c r="B12" s="14" t="inlineStr">
        <is>
          <t>E-003</t>
        </is>
      </c>
      <c r="C12" s="14" t="inlineStr">
        <is>
          <t>CAB-01</t>
        </is>
      </c>
      <c r="D12" s="14" t="inlineStr">
        <is>
          <t>XLPE/PVC armoured cable 3C×95mm² + 50mm² E (feeder)</t>
        </is>
      </c>
      <c r="E12" s="14" t="inlineStr">
        <is>
          <t>IEC 60502-1</t>
        </is>
      </c>
      <c r="F12" s="7" t="inlineStr">
        <is>
          <t>LM</t>
        </is>
      </c>
      <c r="G12" s="7" t="n">
        <v>1</v>
      </c>
      <c r="H12" s="7" t="n">
        <v>5</v>
      </c>
      <c r="I12" s="7">
        <f>G12*(1+H12/100)</f>
        <v/>
      </c>
      <c r="J12" s="15" t="inlineStr"/>
      <c r="K12" s="15">
        <f>I12*J12</f>
        <v/>
      </c>
      <c r="L12" s="7" t="inlineStr">
        <is>
          <t>4</t>
        </is>
      </c>
      <c r="M12" s="14" t="inlineStr">
        <is>
          <t>Nexans / Prysmian / Kalinga</t>
        </is>
      </c>
      <c r="N12" s="7" t="inlineStr">
        <is>
          <t>EU/India</t>
        </is>
      </c>
      <c r="O12" s="14" t="inlineStr">
        <is>
          <t>As approved</t>
        </is>
      </c>
      <c r="P12" s="13" t="inlineStr">
        <is>
          <t>PROCURE</t>
        </is>
      </c>
      <c r="Q12" s="14" t="inlineStr">
        <is>
          <t>05.A.06</t>
        </is>
      </c>
    </row>
    <row r="13" ht="18" customHeight="1">
      <c r="A13" s="3" t="n">
        <v>11</v>
      </c>
      <c r="B13" s="11" t="inlineStr">
        <is>
          <t>E-004</t>
        </is>
      </c>
      <c r="C13" s="11" t="inlineStr">
        <is>
          <t>LED-P01</t>
        </is>
      </c>
      <c r="D13" s="11" t="inlineStr">
        <is>
          <t>LED panel 60×60cm, 40W, 4000K, Ra&gt;80, UGR&lt;19</t>
        </is>
      </c>
      <c r="E13" s="11" t="inlineStr">
        <is>
          <t>EN 60598</t>
        </is>
      </c>
      <c r="F13" s="3" t="inlineStr">
        <is>
          <t>No</t>
        </is>
      </c>
      <c r="G13" s="3" t="n">
        <v>1</v>
      </c>
      <c r="H13" s="3" t="n">
        <v>5</v>
      </c>
      <c r="I13" s="3">
        <f>G13*(1+H13/100)</f>
        <v/>
      </c>
      <c r="J13" s="12" t="inlineStr"/>
      <c r="K13" s="12">
        <f>I13*J13</f>
        <v/>
      </c>
      <c r="L13" s="3" t="inlineStr">
        <is>
          <t>4</t>
        </is>
      </c>
      <c r="M13" s="11" t="inlineStr">
        <is>
          <t>Philips / Osram / Ledvance</t>
        </is>
      </c>
      <c r="N13" s="3" t="inlineStr">
        <is>
          <t>EU</t>
        </is>
      </c>
      <c r="O13" s="11" t="inlineStr">
        <is>
          <t>As approved</t>
        </is>
      </c>
      <c r="P13" s="13" t="inlineStr">
        <is>
          <t>PROCURE</t>
        </is>
      </c>
      <c r="Q13" s="11" t="inlineStr">
        <is>
          <t>05.C.01</t>
        </is>
      </c>
    </row>
    <row r="14" ht="18" customHeight="1">
      <c r="A14" s="7" t="n">
        <v>12</v>
      </c>
      <c r="B14" s="14" t="inlineStr">
        <is>
          <t>E-005</t>
        </is>
      </c>
      <c r="C14" s="14" t="inlineStr">
        <is>
          <t>EMRG-01</t>
        </is>
      </c>
      <c r="D14" s="14" t="inlineStr">
        <is>
          <t>Emergency maintained luminaire 3hr, self-testing</t>
        </is>
      </c>
      <c r="E14" s="14" t="inlineStr">
        <is>
          <t>BS EN 1838</t>
        </is>
      </c>
      <c r="F14" s="7" t="inlineStr">
        <is>
          <t>No</t>
        </is>
      </c>
      <c r="G14" s="7" t="n">
        <v>1</v>
      </c>
      <c r="H14" s="7" t="n">
        <v>2</v>
      </c>
      <c r="I14" s="7">
        <f>G14*(1+H14/100)</f>
        <v/>
      </c>
      <c r="J14" s="15" t="inlineStr"/>
      <c r="K14" s="15">
        <f>I14*J14</f>
        <v/>
      </c>
      <c r="L14" s="7" t="inlineStr">
        <is>
          <t>4</t>
        </is>
      </c>
      <c r="M14" s="14" t="inlineStr">
        <is>
          <t>Legrand / Eaton / Ceag</t>
        </is>
      </c>
      <c r="N14" s="7" t="inlineStr">
        <is>
          <t>EU</t>
        </is>
      </c>
      <c r="O14" s="14" t="inlineStr">
        <is>
          <t>As approved</t>
        </is>
      </c>
      <c r="P14" s="13" t="inlineStr">
        <is>
          <t>PROCURE</t>
        </is>
      </c>
      <c r="Q14" s="14" t="inlineStr">
        <is>
          <t>05.C.05</t>
        </is>
      </c>
    </row>
    <row r="15" ht="18" customHeight="1">
      <c r="A15" s="3" t="n">
        <v>13</v>
      </c>
      <c r="B15" s="11" t="inlineStr">
        <is>
          <t>E-006</t>
        </is>
      </c>
      <c r="C15" s="11" t="inlineStr">
        <is>
          <t>CAT6-01</t>
        </is>
      </c>
      <c r="D15" s="11" t="inlineStr">
        <is>
          <t>Cat6A UTP cable (305m box) – 10GbE rated</t>
        </is>
      </c>
      <c r="E15" s="11" t="inlineStr">
        <is>
          <t>TIA-568-C.2</t>
        </is>
      </c>
      <c r="F15" s="3" t="inlineStr">
        <is>
          <t>m</t>
        </is>
      </c>
      <c r="G15" s="3" t="n">
        <v>1</v>
      </c>
      <c r="H15" s="3" t="n">
        <v>10</v>
      </c>
      <c r="I15" s="3">
        <f>G15*(1+H15/100)</f>
        <v/>
      </c>
      <c r="J15" s="12" t="inlineStr"/>
      <c r="K15" s="12">
        <f>I15*J15</f>
        <v/>
      </c>
      <c r="L15" s="3" t="inlineStr">
        <is>
          <t>2</t>
        </is>
      </c>
      <c r="M15" s="11" t="inlineStr">
        <is>
          <t>CommScope / Belden</t>
        </is>
      </c>
      <c r="N15" s="3" t="inlineStr">
        <is>
          <t>USA</t>
        </is>
      </c>
      <c r="O15" s="11" t="inlineStr">
        <is>
          <t>As approved</t>
        </is>
      </c>
      <c r="P15" s="13" t="inlineStr">
        <is>
          <t>PROCURE</t>
        </is>
      </c>
      <c r="Q15" s="11" t="inlineStr">
        <is>
          <t>05.D.01</t>
        </is>
      </c>
    </row>
    <row r="16" ht="18" customHeight="1">
      <c r="A16" s="7" t="n">
        <v>14</v>
      </c>
      <c r="B16" s="14" t="inlineStr">
        <is>
          <t>E-007</t>
        </is>
      </c>
      <c r="C16" s="14" t="inlineStr">
        <is>
          <t>CCTV-01</t>
        </is>
      </c>
      <c r="D16" s="14" t="inlineStr">
        <is>
          <t>IP camera – 4MP, IR, outdoor, IK10, with POE</t>
        </is>
      </c>
      <c r="E16" s="14" t="inlineStr">
        <is>
          <t>BS EN 50132</t>
        </is>
      </c>
      <c r="F16" s="7" t="inlineStr">
        <is>
          <t>No</t>
        </is>
      </c>
      <c r="G16" s="7" t="n">
        <v>1</v>
      </c>
      <c r="H16" s="7" t="n">
        <v>2</v>
      </c>
      <c r="I16" s="7">
        <f>G16*(1+H16/100)</f>
        <v/>
      </c>
      <c r="J16" s="15" t="inlineStr"/>
      <c r="K16" s="15">
        <f>I16*J16</f>
        <v/>
      </c>
      <c r="L16" s="7" t="inlineStr">
        <is>
          <t>4</t>
        </is>
      </c>
      <c r="M16" s="14" t="inlineStr">
        <is>
          <t>Hikvision / Dahua / Axis</t>
        </is>
      </c>
      <c r="N16" s="7" t="inlineStr">
        <is>
          <t>CN/SE</t>
        </is>
      </c>
      <c r="O16" s="14" t="inlineStr">
        <is>
          <t>As approved</t>
        </is>
      </c>
      <c r="P16" s="13" t="inlineStr">
        <is>
          <t>PROCURE</t>
        </is>
      </c>
      <c r="Q16" s="14" t="inlineStr">
        <is>
          <t>05.D.04</t>
        </is>
      </c>
    </row>
    <row r="17" ht="18" customHeight="1">
      <c r="A17" s="3" t="n">
        <v>15</v>
      </c>
      <c r="B17" s="11" t="inlineStr">
        <is>
          <t>C-001</t>
        </is>
      </c>
      <c r="C17" s="11" t="inlineStr">
        <is>
          <t>CONC-C25</t>
        </is>
      </c>
      <c r="D17" s="11" t="inlineStr">
        <is>
          <t>Ready-mix concrete Grade C25 (certified batch plant)</t>
        </is>
      </c>
      <c r="E17" s="11" t="inlineStr">
        <is>
          <t>BS EN 206</t>
        </is>
      </c>
      <c r="F17" s="3" t="inlineStr">
        <is>
          <t>m³</t>
        </is>
      </c>
      <c r="G17" s="3" t="n">
        <v>1</v>
      </c>
      <c r="H17" s="3" t="n">
        <v>3</v>
      </c>
      <c r="I17" s="3">
        <f>G17*(1+H17/100)</f>
        <v/>
      </c>
      <c r="J17" s="12" t="inlineStr"/>
      <c r="K17" s="12">
        <f>I17*J17</f>
        <v/>
      </c>
      <c r="L17" s="3" t="inlineStr">
        <is>
          <t>1</t>
        </is>
      </c>
      <c r="M17" s="11" t="inlineStr">
        <is>
          <t>Hima / local plant</t>
        </is>
      </c>
      <c r="N17" s="3" t="inlineStr">
        <is>
          <t>Uganda</t>
        </is>
      </c>
      <c r="O17" s="11" t="inlineStr">
        <is>
          <t>As approved</t>
        </is>
      </c>
      <c r="P17" s="13" t="inlineStr">
        <is>
          <t>PROCURE</t>
        </is>
      </c>
      <c r="Q17" s="11" t="inlineStr">
        <is>
          <t>02.B.02</t>
        </is>
      </c>
    </row>
    <row r="18" ht="18" customHeight="1">
      <c r="A18" s="7" t="n">
        <v>16</v>
      </c>
      <c r="B18" s="14" t="inlineStr">
        <is>
          <t>C-002</t>
        </is>
      </c>
      <c r="C18" s="14" t="inlineStr">
        <is>
          <t>STL-Y16</t>
        </is>
      </c>
      <c r="D18" s="14" t="inlineStr">
        <is>
          <t>High-tensile rebar Y16 (Fy=500MPa), certified mill cert</t>
        </is>
      </c>
      <c r="E18" s="14" t="inlineStr">
        <is>
          <t>BS 4449</t>
        </is>
      </c>
      <c r="F18" s="7" t="inlineStr">
        <is>
          <t>ton</t>
        </is>
      </c>
      <c r="G18" s="7" t="n">
        <v>1</v>
      </c>
      <c r="H18" s="7" t="n">
        <v>5</v>
      </c>
      <c r="I18" s="7">
        <f>G18*(1+H18/100)</f>
        <v/>
      </c>
      <c r="J18" s="15" t="inlineStr"/>
      <c r="K18" s="15">
        <f>I18*J18</f>
        <v/>
      </c>
      <c r="L18" s="7" t="inlineStr">
        <is>
          <t>3</t>
        </is>
      </c>
      <c r="M18" s="14" t="inlineStr">
        <is>
          <t>Roofings Rolling Mills</t>
        </is>
      </c>
      <c r="N18" s="7" t="inlineStr">
        <is>
          <t>Uganda</t>
        </is>
      </c>
      <c r="O18" s="14" t="inlineStr">
        <is>
          <t>As approved</t>
        </is>
      </c>
      <c r="P18" s="13" t="inlineStr">
        <is>
          <t>PROCURE</t>
        </is>
      </c>
      <c r="Q18" s="14" t="inlineStr">
        <is>
          <t>02.B.07</t>
        </is>
      </c>
    </row>
    <row r="19" ht="18" customHeight="1">
      <c r="A19" s="3" t="n">
        <v>17</v>
      </c>
      <c r="B19" s="11" t="inlineStr">
        <is>
          <t>C-003</t>
        </is>
      </c>
      <c r="C19" s="11" t="inlineStr">
        <is>
          <t>BLOCK-200</t>
        </is>
      </c>
      <c r="D19" s="11" t="inlineStr">
        <is>
          <t>200mm dense concrete block (7.5N/mm²)</t>
        </is>
      </c>
      <c r="E19" s="11" t="inlineStr">
        <is>
          <t>BS EN 771-3</t>
        </is>
      </c>
      <c r="F19" s="3" t="inlineStr">
        <is>
          <t>No</t>
        </is>
      </c>
      <c r="G19" s="3" t="n">
        <v>1</v>
      </c>
      <c r="H19" s="3" t="n">
        <v>5</v>
      </c>
      <c r="I19" s="3">
        <f>G19*(1+H19/100)</f>
        <v/>
      </c>
      <c r="J19" s="12" t="inlineStr"/>
      <c r="K19" s="12">
        <f>I19*J19</f>
        <v/>
      </c>
      <c r="L19" s="3" t="inlineStr">
        <is>
          <t>1</t>
        </is>
      </c>
      <c r="M19" s="11" t="inlineStr">
        <is>
          <t>Hima / Bamburi / local</t>
        </is>
      </c>
      <c r="N19" s="3" t="inlineStr">
        <is>
          <t>Uganda</t>
        </is>
      </c>
      <c r="O19" s="11" t="inlineStr">
        <is>
          <t>As approved</t>
        </is>
      </c>
      <c r="P19" s="13" t="inlineStr">
        <is>
          <t>PROCURE</t>
        </is>
      </c>
      <c r="Q19" s="11" t="inlineStr">
        <is>
          <t>02.C.01</t>
        </is>
      </c>
    </row>
    <row r="20" ht="18" customHeight="1">
      <c r="A20" s="7" t="n">
        <v>18</v>
      </c>
      <c r="B20" s="14" t="inlineStr">
        <is>
          <t>A-001</t>
        </is>
      </c>
      <c r="C20" s="14" t="inlineStr">
        <is>
          <t>TILE-P01</t>
        </is>
      </c>
      <c r="D20" s="14" t="inlineStr">
        <is>
          <t>Porcelain floor tile 600×600mm, R10 slip rating, class 5 wear</t>
        </is>
      </c>
      <c r="E20" s="14" t="inlineStr">
        <is>
          <t>JS 374 / EN 14411</t>
        </is>
      </c>
      <c r="F20" s="7" t="inlineStr">
        <is>
          <t>m²</t>
        </is>
      </c>
      <c r="G20" s="7" t="n">
        <v>1</v>
      </c>
      <c r="H20" s="7" t="n">
        <v>10</v>
      </c>
      <c r="I20" s="7">
        <f>G20*(1+H20/100)</f>
        <v/>
      </c>
      <c r="J20" s="15" t="inlineStr"/>
      <c r="K20" s="15">
        <f>I20*J20</f>
        <v/>
      </c>
      <c r="L20" s="7" t="inlineStr">
        <is>
          <t>4</t>
        </is>
      </c>
      <c r="M20" s="14" t="inlineStr">
        <is>
          <t>Kajaria / RAK / Johnson</t>
        </is>
      </c>
      <c r="N20" s="7" t="inlineStr">
        <is>
          <t>India/UAE</t>
        </is>
      </c>
      <c r="O20" s="14" t="inlineStr">
        <is>
          <t>As approved</t>
        </is>
      </c>
      <c r="P20" s="13" t="inlineStr">
        <is>
          <t>PROCURE</t>
        </is>
      </c>
      <c r="Q20" s="14" t="inlineStr">
        <is>
          <t>03.B.01</t>
        </is>
      </c>
    </row>
    <row r="21" ht="18" customHeight="1">
      <c r="A21" s="3" t="n">
        <v>19</v>
      </c>
      <c r="B21" s="11" t="inlineStr">
        <is>
          <t>A-002</t>
        </is>
      </c>
      <c r="C21" s="11" t="inlineStr">
        <is>
          <t>GYPBD-01</t>
        </is>
      </c>
      <c r="D21" s="11" t="inlineStr">
        <is>
          <t>12.5mm gypsum board (standard / moisture resistant)</t>
        </is>
      </c>
      <c r="E21" s="11" t="inlineStr">
        <is>
          <t>BS EN 520</t>
        </is>
      </c>
      <c r="F21" s="3" t="inlineStr">
        <is>
          <t>m²</t>
        </is>
      </c>
      <c r="G21" s="3" t="n">
        <v>1</v>
      </c>
      <c r="H21" s="3" t="n">
        <v>10</v>
      </c>
      <c r="I21" s="3">
        <f>G21*(1+H21/100)</f>
        <v/>
      </c>
      <c r="J21" s="12" t="inlineStr"/>
      <c r="K21" s="12">
        <f>I21*J21</f>
        <v/>
      </c>
      <c r="L21" s="3" t="inlineStr">
        <is>
          <t>2</t>
        </is>
      </c>
      <c r="M21" s="11" t="inlineStr">
        <is>
          <t>Gyproc / USG / Knauf</t>
        </is>
      </c>
      <c r="N21" s="3" t="inlineStr">
        <is>
          <t>EU</t>
        </is>
      </c>
      <c r="O21" s="11" t="inlineStr">
        <is>
          <t>As approved</t>
        </is>
      </c>
      <c r="P21" s="13" t="inlineStr">
        <is>
          <t>PROCURE</t>
        </is>
      </c>
      <c r="Q21" s="11" t="inlineStr">
        <is>
          <t>03.D.01</t>
        </is>
      </c>
    </row>
    <row r="22" ht="18" customHeight="1">
      <c r="A22" s="7" t="n">
        <v>20</v>
      </c>
      <c r="B22" s="14" t="inlineStr">
        <is>
          <t>A-003</t>
        </is>
      </c>
      <c r="C22" s="14" t="inlineStr">
        <is>
          <t>ALUM-WIN</t>
        </is>
      </c>
      <c r="D22" s="14" t="inlineStr">
        <is>
          <t>Aluminium window system – TK50 thermally broken, double glazed</t>
        </is>
      </c>
      <c r="E22" s="14" t="inlineStr">
        <is>
          <t>BS EN 14351</t>
        </is>
      </c>
      <c r="F22" s="7" t="inlineStr">
        <is>
          <t>m²</t>
        </is>
      </c>
      <c r="G22" s="7" t="n">
        <v>1</v>
      </c>
      <c r="H22" s="7" t="n">
        <v>2</v>
      </c>
      <c r="I22" s="7">
        <f>G22*(1+H22/100)</f>
        <v/>
      </c>
      <c r="J22" s="15" t="inlineStr"/>
      <c r="K22" s="15">
        <f>I22*J22</f>
        <v/>
      </c>
      <c r="L22" s="7" t="inlineStr">
        <is>
          <t>10</t>
        </is>
      </c>
      <c r="M22" s="14" t="inlineStr">
        <is>
          <t>Technal / Sapa / YKK</t>
        </is>
      </c>
      <c r="N22" s="7" t="inlineStr">
        <is>
          <t>EU/Japan</t>
        </is>
      </c>
      <c r="O22" s="14" t="inlineStr">
        <is>
          <t>As approved</t>
        </is>
      </c>
      <c r="P22" s="13" t="inlineStr">
        <is>
          <t>PROCURE</t>
        </is>
      </c>
      <c r="Q22" s="14" t="inlineStr">
        <is>
          <t>03.E.02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14" customWidth="1" min="3" max="3"/>
    <col width="8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2" customWidth="1" min="11" max="11"/>
    <col width="18" customWidth="1" min="12" max="12"/>
  </cols>
  <sheetData>
    <row r="1" ht="22" customHeight="1">
      <c r="A1" s="1" t="inlineStr">
        <is>
          <t>DIVISION 06  –  PROVISIONAL SUMS, PC SUMS &amp; CONTINGENCY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2" t="inlineStr">
        <is>
          <t>Qty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2" t="inlineStr">
        <is>
          <t>Amount</t>
        </is>
      </c>
      <c r="K2" s="2" t="inlineStr">
        <is>
          <t>Notes / Spec Compliance</t>
        </is>
      </c>
      <c r="L2" s="2" t="inlineStr">
        <is>
          <t>BIM Tag / STING ID</t>
        </is>
      </c>
    </row>
    <row r="3" ht="18" customHeight="1">
      <c r="A3" s="3" t="inlineStr">
        <is>
          <t>06.01</t>
        </is>
      </c>
      <c r="B3" s="11" t="inlineStr">
        <is>
          <t>Provisional Sum – Specialist subcontractor works (nominated)</t>
        </is>
      </c>
      <c r="C3" s="3" t="inlineStr">
        <is>
          <t>NRM2 2.8</t>
        </is>
      </c>
      <c r="D3" s="3" t="inlineStr">
        <is>
          <t>LS</t>
        </is>
      </c>
      <c r="E3" s="3" t="n">
        <v>1</v>
      </c>
      <c r="F3" s="12" t="inlineStr"/>
      <c r="G3" s="12" t="inlineStr"/>
      <c r="H3" s="12" t="inlineStr"/>
      <c r="I3" s="12">
        <f>F3+G3+H3</f>
        <v/>
      </c>
      <c r="J3" s="12">
        <f>E3*I3</f>
        <v/>
      </c>
      <c r="K3" s="11" t="inlineStr"/>
      <c r="L3" s="11" t="inlineStr"/>
    </row>
    <row r="4" ht="18" customHeight="1">
      <c r="A4" s="7" t="inlineStr">
        <is>
          <t>06.02</t>
        </is>
      </c>
      <c r="B4" s="14" t="inlineStr">
        <is>
          <t>Provisional Sum – Utility service connections (UMEME/NWSC etc.)</t>
        </is>
      </c>
      <c r="C4" s="7" t="inlineStr">
        <is>
          <t>NRM2 2.8</t>
        </is>
      </c>
      <c r="D4" s="7" t="inlineStr">
        <is>
          <t>LS</t>
        </is>
      </c>
      <c r="E4" s="7" t="n">
        <v>1</v>
      </c>
      <c r="F4" s="15" t="inlineStr"/>
      <c r="G4" s="15" t="inlineStr"/>
      <c r="H4" s="15" t="inlineStr"/>
      <c r="I4" s="15">
        <f>F4+G4+H4</f>
        <v/>
      </c>
      <c r="J4" s="15">
        <f>E4*I4</f>
        <v/>
      </c>
      <c r="K4" s="14" t="inlineStr"/>
      <c r="L4" s="14" t="inlineStr"/>
    </row>
    <row r="5" ht="18" customHeight="1">
      <c r="A5" s="3" t="inlineStr">
        <is>
          <t>06.03</t>
        </is>
      </c>
      <c r="B5" s="11" t="inlineStr">
        <is>
          <t>Provisional Sum – Statutory fees, approvals and permits</t>
        </is>
      </c>
      <c r="C5" s="3" t="inlineStr">
        <is>
          <t>NRM2 2.8</t>
        </is>
      </c>
      <c r="D5" s="3" t="inlineStr">
        <is>
          <t>LS</t>
        </is>
      </c>
      <c r="E5" s="3" t="n">
        <v>1</v>
      </c>
      <c r="F5" s="12" t="inlineStr"/>
      <c r="G5" s="12" t="inlineStr"/>
      <c r="H5" s="12" t="inlineStr"/>
      <c r="I5" s="12">
        <f>F5+G5+H5</f>
        <v/>
      </c>
      <c r="J5" s="12">
        <f>E5*I5</f>
        <v/>
      </c>
      <c r="K5" s="11" t="inlineStr"/>
      <c r="L5" s="11" t="inlineStr"/>
    </row>
    <row r="6" ht="18" customHeight="1">
      <c r="A6" s="7" t="inlineStr">
        <is>
          <t>06.04</t>
        </is>
      </c>
      <c r="B6" s="14" t="inlineStr">
        <is>
          <t>Provisional Sum – Landscaping and irrigation (client-nominated)</t>
        </is>
      </c>
      <c r="C6" s="7" t="inlineStr">
        <is>
          <t>NRM2 2.8</t>
        </is>
      </c>
      <c r="D6" s="7" t="inlineStr">
        <is>
          <t>LS</t>
        </is>
      </c>
      <c r="E6" s="7" t="n">
        <v>1</v>
      </c>
      <c r="F6" s="15" t="inlineStr"/>
      <c r="G6" s="15" t="inlineStr"/>
      <c r="H6" s="15" t="inlineStr"/>
      <c r="I6" s="15">
        <f>F6+G6+H6</f>
        <v/>
      </c>
      <c r="J6" s="15">
        <f>E6*I6</f>
        <v/>
      </c>
      <c r="K6" s="14" t="inlineStr"/>
      <c r="L6" s="14" t="inlineStr"/>
    </row>
    <row r="7" ht="18" customHeight="1">
      <c r="A7" s="3" t="inlineStr">
        <is>
          <t>06.05</t>
        </is>
      </c>
      <c r="B7" s="11" t="inlineStr">
        <is>
          <t>PC Sum – Interior furniture, fittings and equipment (FFE)</t>
        </is>
      </c>
      <c r="C7" s="3" t="inlineStr">
        <is>
          <t>NRM2 2.9</t>
        </is>
      </c>
      <c r="D7" s="3" t="inlineStr">
        <is>
          <t>LS</t>
        </is>
      </c>
      <c r="E7" s="3" t="n">
        <v>1</v>
      </c>
      <c r="F7" s="12" t="inlineStr"/>
      <c r="G7" s="12" t="inlineStr"/>
      <c r="H7" s="12" t="inlineStr"/>
      <c r="I7" s="12">
        <f>F7+G7+H7</f>
        <v/>
      </c>
      <c r="J7" s="12">
        <f>E7*I7</f>
        <v/>
      </c>
      <c r="K7" s="11" t="inlineStr"/>
      <c r="L7" s="11" t="inlineStr"/>
    </row>
    <row r="8" ht="18" customHeight="1">
      <c r="A8" s="7" t="inlineStr">
        <is>
          <t>06.06</t>
        </is>
      </c>
      <c r="B8" s="14" t="inlineStr">
        <is>
          <t>PC Sum – Kitchen / lab / specialist equipment</t>
        </is>
      </c>
      <c r="C8" s="7" t="inlineStr">
        <is>
          <t>NRM2 2.9</t>
        </is>
      </c>
      <c r="D8" s="7" t="inlineStr">
        <is>
          <t>LS</t>
        </is>
      </c>
      <c r="E8" s="7" t="n">
        <v>1</v>
      </c>
      <c r="F8" s="15" t="inlineStr"/>
      <c r="G8" s="15" t="inlineStr"/>
      <c r="H8" s="15" t="inlineStr"/>
      <c r="I8" s="15">
        <f>F8+G8+H8</f>
        <v/>
      </c>
      <c r="J8" s="15">
        <f>E8*I8</f>
        <v/>
      </c>
      <c r="K8" s="14" t="inlineStr"/>
      <c r="L8" s="14" t="inlineStr"/>
    </row>
    <row r="9" ht="18" customHeight="1">
      <c r="A9" s="3" t="inlineStr">
        <is>
          <t>06.07</t>
        </is>
      </c>
      <c r="B9" s="11" t="inlineStr">
        <is>
          <t>Day work – Labour allowance (100 hrs @ agreed rate)</t>
        </is>
      </c>
      <c r="C9" s="3" t="inlineStr">
        <is>
          <t>NRM2 3</t>
        </is>
      </c>
      <c r="D9" s="3" t="inlineStr">
        <is>
          <t>hr</t>
        </is>
      </c>
      <c r="E9" s="3" t="n">
        <v>100</v>
      </c>
      <c r="F9" s="12" t="inlineStr"/>
      <c r="G9" s="12" t="inlineStr"/>
      <c r="H9" s="12" t="inlineStr"/>
      <c r="I9" s="12">
        <f>F9+G9+H9</f>
        <v/>
      </c>
      <c r="J9" s="12">
        <f>E9*I9</f>
        <v/>
      </c>
      <c r="K9" s="11" t="inlineStr"/>
      <c r="L9" s="11" t="inlineStr"/>
    </row>
    <row r="10" ht="18" customHeight="1">
      <c r="A10" s="7" t="inlineStr">
        <is>
          <t>06.08</t>
        </is>
      </c>
      <c r="B10" s="14" t="inlineStr">
        <is>
          <t>Day work – Plant allowance (provisional)</t>
        </is>
      </c>
      <c r="C10" s="7" t="inlineStr">
        <is>
          <t>NRM2 3</t>
        </is>
      </c>
      <c r="D10" s="7" t="inlineStr">
        <is>
          <t>LS</t>
        </is>
      </c>
      <c r="E10" s="7" t="n">
        <v>1</v>
      </c>
      <c r="F10" s="15" t="inlineStr"/>
      <c r="G10" s="15" t="inlineStr"/>
      <c r="H10" s="15" t="inlineStr"/>
      <c r="I10" s="15">
        <f>F10+G10+H10</f>
        <v/>
      </c>
      <c r="J10" s="15">
        <f>E10*I10</f>
        <v/>
      </c>
      <c r="K10" s="14" t="inlineStr"/>
      <c r="L10" s="14" t="inlineStr"/>
    </row>
    <row r="11" ht="18" customHeight="1">
      <c r="A11" s="3" t="inlineStr">
        <is>
          <t>06.09</t>
        </is>
      </c>
      <c r="B11" s="11" t="inlineStr">
        <is>
          <t>Design contingency (5% of construction cost)</t>
        </is>
      </c>
      <c r="C11" s="3" t="inlineStr">
        <is>
          <t>RIBA</t>
        </is>
      </c>
      <c r="D11" s="3" t="inlineStr">
        <is>
          <t>%</t>
        </is>
      </c>
      <c r="E11" s="3" t="inlineStr"/>
      <c r="F11" s="12" t="inlineStr"/>
      <c r="G11" s="12" t="inlineStr"/>
      <c r="H11" s="12" t="inlineStr"/>
      <c r="I11" s="12">
        <f>F11+G11+H11</f>
        <v/>
      </c>
      <c r="J11" s="12" t="inlineStr"/>
      <c r="K11" s="11" t="inlineStr"/>
      <c r="L11" s="11" t="inlineStr"/>
    </row>
    <row r="12" ht="18" customHeight="1">
      <c r="A12" s="7" t="inlineStr">
        <is>
          <t>06.10</t>
        </is>
      </c>
      <c r="B12" s="14" t="inlineStr">
        <is>
          <t>Construction contingency (10% of construction cost)</t>
        </is>
      </c>
      <c r="C12" s="7" t="inlineStr">
        <is>
          <t>NRM1</t>
        </is>
      </c>
      <c r="D12" s="7" t="inlineStr">
        <is>
          <t>%</t>
        </is>
      </c>
      <c r="E12" s="7" t="inlineStr"/>
      <c r="F12" s="15" t="inlineStr"/>
      <c r="G12" s="15" t="inlineStr"/>
      <c r="H12" s="15" t="inlineStr"/>
      <c r="I12" s="15">
        <f>F12+G12+H12</f>
        <v/>
      </c>
      <c r="J12" s="15" t="inlineStr"/>
      <c r="K12" s="14" t="inlineStr"/>
      <c r="L12" s="14" t="inlineStr"/>
    </row>
    <row r="13" ht="20" customHeight="1">
      <c r="A13" s="17" t="inlineStr">
        <is>
          <t>SUBTOTAL – PROVISIONAL SUMS &amp; CONTINGENCY</t>
        </is>
      </c>
      <c r="J13" s="18">
        <f>SUM(J3:J13)</f>
        <v/>
      </c>
      <c r="K13" s="19" t="n"/>
      <c r="L13" s="19" t="n"/>
    </row>
  </sheetData>
  <mergeCells count="2">
    <mergeCell ref="A13:I1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14" customWidth="1" min="3" max="3"/>
    <col width="8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2" customWidth="1" min="11" max="11"/>
    <col width="18" customWidth="1" min="12" max="12"/>
  </cols>
  <sheetData>
    <row r="1" ht="22" customHeight="1">
      <c r="A1" s="1" t="inlineStr">
        <is>
          <t>DIVISION 05  –  ELECTRICAL WORKS  (LV, ELV, LIGHTING, POWER)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2" t="inlineStr">
        <is>
          <t>Qty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2" t="inlineStr">
        <is>
          <t>Amount</t>
        </is>
      </c>
      <c r="K2" s="2" t="inlineStr">
        <is>
          <t>Notes / Spec Compliance</t>
        </is>
      </c>
      <c r="L2" s="2" t="inlineStr">
        <is>
          <t>BIM Tag / STING ID</t>
        </is>
      </c>
    </row>
    <row r="3" ht="18" customHeight="1">
      <c r="A3" s="20" t="inlineStr"/>
      <c r="B3" s="21" t="inlineStr">
        <is>
          <t>A. HV/LV SUPPLY &amp; DISTRIBUTION</t>
        </is>
      </c>
    </row>
    <row r="4" ht="18" customHeight="1">
      <c r="A4" s="3" t="inlineStr">
        <is>
          <t>05.A.01</t>
        </is>
      </c>
      <c r="B4" s="11" t="inlineStr">
        <is>
          <t>Main LV Distribution Board (MLVDB) - as schedule</t>
        </is>
      </c>
      <c r="C4" s="3" t="inlineStr">
        <is>
          <t>IEC 61439</t>
        </is>
      </c>
      <c r="D4" s="3" t="inlineStr">
        <is>
          <t>No</t>
        </is>
      </c>
      <c r="E4" s="3" t="inlineStr"/>
      <c r="F4" s="12" t="inlineStr"/>
      <c r="G4" s="12" t="inlineStr"/>
      <c r="H4" s="12" t="inlineStr"/>
      <c r="I4" s="12">
        <f>F4+G4+H4</f>
        <v/>
      </c>
      <c r="J4" s="12" t="inlineStr"/>
      <c r="K4" s="11" t="inlineStr"/>
      <c r="L4" s="11" t="inlineStr"/>
    </row>
    <row r="5" ht="18" customHeight="1">
      <c r="A5" s="7" t="inlineStr">
        <is>
          <t>05.A.02</t>
        </is>
      </c>
      <c r="B5" s="14" t="inlineStr">
        <is>
          <t>Sub-distribution board (SDB) - as schedule</t>
        </is>
      </c>
      <c r="C5" s="7" t="inlineStr">
        <is>
          <t>IEC 61439</t>
        </is>
      </c>
      <c r="D5" s="7" t="inlineStr">
        <is>
          <t>No</t>
        </is>
      </c>
      <c r="E5" s="7" t="inlineStr"/>
      <c r="F5" s="15" t="inlineStr"/>
      <c r="G5" s="15" t="inlineStr"/>
      <c r="H5" s="15" t="inlineStr"/>
      <c r="I5" s="15">
        <f>F5+G5+H5</f>
        <v/>
      </c>
      <c r="J5" s="15" t="inlineStr"/>
      <c r="K5" s="14" t="inlineStr"/>
      <c r="L5" s="14" t="inlineStr"/>
    </row>
    <row r="6" ht="18" customHeight="1">
      <c r="A6" s="3" t="inlineStr">
        <is>
          <t>05.A.03</t>
        </is>
      </c>
      <c r="B6" s="11" t="inlineStr">
        <is>
          <t>Transformer (if applicable) - as schedule (kVA rating)</t>
        </is>
      </c>
      <c r="C6" s="3" t="inlineStr">
        <is>
          <t>IEC 60076</t>
        </is>
      </c>
      <c r="D6" s="3" t="inlineStr">
        <is>
          <t>No</t>
        </is>
      </c>
      <c r="E6" s="3" t="inlineStr"/>
      <c r="F6" s="12" t="inlineStr"/>
      <c r="G6" s="12" t="inlineStr"/>
      <c r="H6" s="12" t="inlineStr"/>
      <c r="I6" s="12">
        <f>F6+G6+H6</f>
        <v/>
      </c>
      <c r="J6" s="12" t="inlineStr"/>
      <c r="K6" s="11" t="inlineStr"/>
      <c r="L6" s="11" t="inlineStr"/>
    </row>
    <row r="7" ht="18" customHeight="1">
      <c r="A7" s="7" t="inlineStr">
        <is>
          <t>05.A.04</t>
        </is>
      </c>
      <c r="B7" s="14" t="inlineStr">
        <is>
          <t>Diesel generator set (standby) - complete with ATS &amp; controls</t>
        </is>
      </c>
      <c r="C7" s="7" t="inlineStr">
        <is>
          <t>ISO 8528</t>
        </is>
      </c>
      <c r="D7" s="7" t="inlineStr">
        <is>
          <t>No</t>
        </is>
      </c>
      <c r="E7" s="7" t="inlineStr"/>
      <c r="F7" s="15" t="inlineStr"/>
      <c r="G7" s="15" t="inlineStr"/>
      <c r="H7" s="15" t="inlineStr"/>
      <c r="I7" s="15">
        <f>F7+G7+H7</f>
        <v/>
      </c>
      <c r="J7" s="15" t="inlineStr"/>
      <c r="K7" s="14" t="inlineStr"/>
      <c r="L7" s="14" t="inlineStr"/>
    </row>
    <row r="8" ht="18" customHeight="1">
      <c r="A8" s="3" t="inlineStr">
        <is>
          <t>05.A.05</t>
        </is>
      </c>
      <c r="B8" s="11" t="inlineStr">
        <is>
          <t>UPS system - as schedule (kVA, minutes back-up)</t>
        </is>
      </c>
      <c r="C8" s="3" t="inlineStr">
        <is>
          <t>IEC 62040</t>
        </is>
      </c>
      <c r="D8" s="3" t="inlineStr">
        <is>
          <t>No</t>
        </is>
      </c>
      <c r="E8" s="3" t="inlineStr"/>
      <c r="F8" s="12" t="inlineStr"/>
      <c r="G8" s="12" t="inlineStr"/>
      <c r="H8" s="12" t="inlineStr"/>
      <c r="I8" s="12">
        <f>F8+G8+H8</f>
        <v/>
      </c>
      <c r="J8" s="12" t="inlineStr"/>
      <c r="K8" s="11" t="inlineStr"/>
      <c r="L8" s="11" t="inlineStr"/>
    </row>
    <row r="9" ht="18" customHeight="1">
      <c r="A9" s="7" t="inlineStr">
        <is>
          <t>05.A.06</t>
        </is>
      </c>
      <c r="B9" s="14" t="inlineStr">
        <is>
          <t>PVC/XLPE armoured cable - MV/LV feeders as schedule</t>
        </is>
      </c>
      <c r="C9" s="7" t="inlineStr">
        <is>
          <t>IEC 60502</t>
        </is>
      </c>
      <c r="D9" s="7" t="inlineStr">
        <is>
          <t>LM</t>
        </is>
      </c>
      <c r="E9" s="7" t="inlineStr"/>
      <c r="F9" s="15" t="inlineStr"/>
      <c r="G9" s="15" t="inlineStr"/>
      <c r="H9" s="15" t="inlineStr"/>
      <c r="I9" s="15">
        <f>F9+G9+H9</f>
        <v/>
      </c>
      <c r="J9" s="15" t="inlineStr"/>
      <c r="K9" s="14" t="inlineStr"/>
      <c r="L9" s="14" t="inlineStr"/>
    </row>
    <row r="10" ht="18" customHeight="1">
      <c r="A10" s="3" t="inlineStr">
        <is>
          <t>05.A.07</t>
        </is>
      </c>
      <c r="B10" s="11" t="inlineStr">
        <is>
          <t>Cable tray / ladder (galvanised steel) - as schedule</t>
        </is>
      </c>
      <c r="C10" s="3" t="inlineStr">
        <is>
          <t>IEC 61537</t>
        </is>
      </c>
      <c r="D10" s="3" t="inlineStr">
        <is>
          <t>LM</t>
        </is>
      </c>
      <c r="E10" s="3" t="inlineStr"/>
      <c r="F10" s="12" t="inlineStr"/>
      <c r="G10" s="12" t="inlineStr"/>
      <c r="H10" s="12" t="inlineStr"/>
      <c r="I10" s="12">
        <f>F10+G10+H10</f>
        <v/>
      </c>
      <c r="J10" s="12" t="inlineStr"/>
      <c r="K10" s="11" t="inlineStr"/>
      <c r="L10" s="11" t="inlineStr"/>
    </row>
    <row r="11" ht="18" customHeight="1">
      <c r="A11" s="7" t="inlineStr">
        <is>
          <t>05.A.08</t>
        </is>
      </c>
      <c r="B11" s="14" t="inlineStr">
        <is>
          <t>Cable conduit (metal/PVC) - as schedule</t>
        </is>
      </c>
      <c r="C11" s="7" t="inlineStr">
        <is>
          <t>IEC 61386</t>
        </is>
      </c>
      <c r="D11" s="7" t="inlineStr">
        <is>
          <t>LM</t>
        </is>
      </c>
      <c r="E11" s="7" t="inlineStr"/>
      <c r="F11" s="15" t="inlineStr"/>
      <c r="G11" s="15" t="inlineStr"/>
      <c r="H11" s="15" t="inlineStr"/>
      <c r="I11" s="15">
        <f>F11+G11+H11</f>
        <v/>
      </c>
      <c r="J11" s="15" t="inlineStr"/>
      <c r="K11" s="14" t="inlineStr"/>
      <c r="L11" s="14" t="inlineStr"/>
    </row>
    <row r="12" ht="20" customHeight="1">
      <c r="A12" s="17" t="inlineStr">
        <is>
          <t>SUBTOTAL – A. HV/LV SUPPLY &amp; DISTRIBUTION</t>
        </is>
      </c>
      <c r="J12" s="18">
        <f>SUM(J4:J12)</f>
        <v/>
      </c>
      <c r="K12" s="19" t="n"/>
      <c r="L12" s="19" t="n"/>
    </row>
    <row r="14" ht="18" customHeight="1">
      <c r="A14" s="20" t="inlineStr"/>
      <c r="B14" s="21" t="inlineStr">
        <is>
          <t>B. POWER WIRING</t>
        </is>
      </c>
    </row>
    <row r="15" ht="18" customHeight="1">
      <c r="A15" s="3" t="inlineStr">
        <is>
          <t>05.B.01</t>
        </is>
      </c>
      <c r="B15" s="11" t="inlineStr">
        <is>
          <t>Power socket outlet (13A, twin, switched) - complete</t>
        </is>
      </c>
      <c r="C15" s="3" t="inlineStr">
        <is>
          <t>BS 1363</t>
        </is>
      </c>
      <c r="D15" s="3" t="inlineStr">
        <is>
          <t>No</t>
        </is>
      </c>
      <c r="E15" s="3" t="inlineStr"/>
      <c r="F15" s="12" t="inlineStr"/>
      <c r="G15" s="12" t="inlineStr"/>
      <c r="H15" s="12" t="inlineStr"/>
      <c r="I15" s="12">
        <f>F15+G15+H15</f>
        <v/>
      </c>
      <c r="J15" s="12" t="inlineStr"/>
      <c r="K15" s="11" t="inlineStr"/>
      <c r="L15" s="11" t="inlineStr"/>
    </row>
    <row r="16" ht="18" customHeight="1">
      <c r="A16" s="7" t="inlineStr">
        <is>
          <t>05.B.02</t>
        </is>
      </c>
      <c r="B16" s="14" t="inlineStr">
        <is>
          <t>Power socket - 16A industrial (CEE form) - complete</t>
        </is>
      </c>
      <c r="C16" s="7" t="inlineStr">
        <is>
          <t>IEC 60309</t>
        </is>
      </c>
      <c r="D16" s="7" t="inlineStr">
        <is>
          <t>No</t>
        </is>
      </c>
      <c r="E16" s="7" t="inlineStr"/>
      <c r="F16" s="15" t="inlineStr"/>
      <c r="G16" s="15" t="inlineStr"/>
      <c r="H16" s="15" t="inlineStr"/>
      <c r="I16" s="15">
        <f>F16+G16+H16</f>
        <v/>
      </c>
      <c r="J16" s="15" t="inlineStr"/>
      <c r="K16" s="14" t="inlineStr"/>
      <c r="L16" s="14" t="inlineStr"/>
    </row>
    <row r="17" ht="18" customHeight="1">
      <c r="A17" s="3" t="inlineStr">
        <is>
          <t>05.B.03</t>
        </is>
      </c>
      <c r="B17" s="11" t="inlineStr">
        <is>
          <t>Single-phase wiring circuit - from panel to outlet (15m avg)</t>
        </is>
      </c>
      <c r="C17" s="3" t="inlineStr">
        <is>
          <t>IEC 60364</t>
        </is>
      </c>
      <c r="D17" s="3" t="inlineStr">
        <is>
          <t>No</t>
        </is>
      </c>
      <c r="E17" s="3" t="inlineStr"/>
      <c r="F17" s="12" t="inlineStr"/>
      <c r="G17" s="12" t="inlineStr"/>
      <c r="H17" s="12" t="inlineStr"/>
      <c r="I17" s="12">
        <f>F17+G17+H17</f>
        <v/>
      </c>
      <c r="J17" s="12" t="inlineStr"/>
      <c r="K17" s="11" t="inlineStr"/>
      <c r="L17" s="11" t="inlineStr"/>
    </row>
    <row r="18" ht="18" customHeight="1">
      <c r="A18" s="7" t="inlineStr">
        <is>
          <t>05.B.04</t>
        </is>
      </c>
      <c r="B18" s="14" t="inlineStr">
        <is>
          <t>3-phase wiring circuit - from panel to equipment (15m avg)</t>
        </is>
      </c>
      <c r="C18" s="7" t="inlineStr">
        <is>
          <t>IEC 60364</t>
        </is>
      </c>
      <c r="D18" s="7" t="inlineStr">
        <is>
          <t>No</t>
        </is>
      </c>
      <c r="E18" s="7" t="inlineStr"/>
      <c r="F18" s="15" t="inlineStr"/>
      <c r="G18" s="15" t="inlineStr"/>
      <c r="H18" s="15" t="inlineStr"/>
      <c r="I18" s="15">
        <f>F18+G18+H18</f>
        <v/>
      </c>
      <c r="J18" s="15" t="inlineStr"/>
      <c r="K18" s="14" t="inlineStr"/>
      <c r="L18" s="14" t="inlineStr"/>
    </row>
    <row r="19" ht="18" customHeight="1">
      <c r="A19" s="3" t="inlineStr">
        <is>
          <t>05.B.05</t>
        </is>
      </c>
      <c r="B19" s="11" t="inlineStr">
        <is>
          <t>Earth bonding system - electrodes, bonding conductors, bars</t>
        </is>
      </c>
      <c r="C19" s="3" t="inlineStr">
        <is>
          <t>IEC 60364</t>
        </is>
      </c>
      <c r="D19" s="3" t="inlineStr">
        <is>
          <t>LS</t>
        </is>
      </c>
      <c r="E19" s="3" t="inlineStr"/>
      <c r="F19" s="12" t="inlineStr"/>
      <c r="G19" s="12" t="inlineStr"/>
      <c r="H19" s="12" t="inlineStr"/>
      <c r="I19" s="12">
        <f>F19+G19+H19</f>
        <v/>
      </c>
      <c r="J19" s="12" t="inlineStr"/>
      <c r="K19" s="11" t="inlineStr"/>
      <c r="L19" s="11" t="inlineStr"/>
    </row>
    <row r="20" ht="18" customHeight="1">
      <c r="A20" s="7" t="inlineStr">
        <is>
          <t>05.B.06</t>
        </is>
      </c>
      <c r="B20" s="14" t="inlineStr">
        <is>
          <t>Surge Protection Device (SPD) - class I/II as required</t>
        </is>
      </c>
      <c r="C20" s="7" t="inlineStr">
        <is>
          <t>IEC 61643</t>
        </is>
      </c>
      <c r="D20" s="7" t="inlineStr">
        <is>
          <t>No</t>
        </is>
      </c>
      <c r="E20" s="7" t="inlineStr"/>
      <c r="F20" s="15" t="inlineStr"/>
      <c r="G20" s="15" t="inlineStr"/>
      <c r="H20" s="15" t="inlineStr"/>
      <c r="I20" s="15">
        <f>F20+G20+H20</f>
        <v/>
      </c>
      <c r="J20" s="15" t="inlineStr"/>
      <c r="K20" s="14" t="inlineStr"/>
      <c r="L20" s="14" t="inlineStr"/>
    </row>
    <row r="21" ht="20" customHeight="1">
      <c r="A21" s="17" t="inlineStr">
        <is>
          <t>SUBTOTAL – B. POWER WIRING</t>
        </is>
      </c>
      <c r="J21" s="18">
        <f>SUM(J15:J21)</f>
        <v/>
      </c>
      <c r="K21" s="19" t="n"/>
      <c r="L21" s="19" t="n"/>
    </row>
    <row r="23" ht="18" customHeight="1">
      <c r="A23" s="20" t="inlineStr"/>
      <c r="B23" s="21" t="inlineStr">
        <is>
          <t>C. LIGHTING</t>
        </is>
      </c>
    </row>
    <row r="24" ht="18" customHeight="1">
      <c r="A24" s="3" t="inlineStr">
        <is>
          <t>05.C.01</t>
        </is>
      </c>
      <c r="B24" s="11" t="inlineStr">
        <is>
          <t>LED panel light 60x60cm (recessed) - as schedule</t>
        </is>
      </c>
      <c r="C24" s="3" t="inlineStr">
        <is>
          <t>EN 60598</t>
        </is>
      </c>
      <c r="D24" s="3" t="inlineStr">
        <is>
          <t>No</t>
        </is>
      </c>
      <c r="E24" s="3" t="inlineStr"/>
      <c r="F24" s="12" t="inlineStr"/>
      <c r="G24" s="12" t="inlineStr"/>
      <c r="H24" s="12" t="inlineStr"/>
      <c r="I24" s="12">
        <f>F24+G24+H24</f>
        <v/>
      </c>
      <c r="J24" s="12" t="inlineStr"/>
      <c r="K24" s="11" t="inlineStr"/>
      <c r="L24" s="11" t="inlineStr"/>
    </row>
    <row r="25" ht="18" customHeight="1">
      <c r="A25" s="7" t="inlineStr">
        <is>
          <t>05.C.02</t>
        </is>
      </c>
      <c r="B25" s="14" t="inlineStr">
        <is>
          <t>LED downlight (recessed, as schedule)</t>
        </is>
      </c>
      <c r="C25" s="7" t="inlineStr">
        <is>
          <t>EN 60598</t>
        </is>
      </c>
      <c r="D25" s="7" t="inlineStr">
        <is>
          <t>No</t>
        </is>
      </c>
      <c r="E25" s="7" t="inlineStr"/>
      <c r="F25" s="15" t="inlineStr"/>
      <c r="G25" s="15" t="inlineStr"/>
      <c r="H25" s="15" t="inlineStr"/>
      <c r="I25" s="15">
        <f>F25+G25+H25</f>
        <v/>
      </c>
      <c r="J25" s="15" t="inlineStr"/>
      <c r="K25" s="14" t="inlineStr"/>
      <c r="L25" s="14" t="inlineStr"/>
    </row>
    <row r="26" ht="18" customHeight="1">
      <c r="A26" s="3" t="inlineStr">
        <is>
          <t>05.C.03</t>
        </is>
      </c>
      <c r="B26" s="11" t="inlineStr">
        <is>
          <t>LED batten fitting IP65 (plant rooms / toilets)</t>
        </is>
      </c>
      <c r="C26" s="3" t="inlineStr">
        <is>
          <t>EN 60598</t>
        </is>
      </c>
      <c r="D26" s="3" t="inlineStr">
        <is>
          <t>No</t>
        </is>
      </c>
      <c r="E26" s="3" t="inlineStr"/>
      <c r="F26" s="12" t="inlineStr"/>
      <c r="G26" s="12" t="inlineStr"/>
      <c r="H26" s="12" t="inlineStr"/>
      <c r="I26" s="12">
        <f>F26+G26+H26</f>
        <v/>
      </c>
      <c r="J26" s="12" t="inlineStr"/>
      <c r="K26" s="11" t="inlineStr"/>
      <c r="L26" s="11" t="inlineStr"/>
    </row>
    <row r="27" ht="18" customHeight="1">
      <c r="A27" s="7" t="inlineStr">
        <is>
          <t>05.C.04</t>
        </is>
      </c>
      <c r="B27" s="14" t="inlineStr">
        <is>
          <t>LED exterior wall/flood light - as schedule</t>
        </is>
      </c>
      <c r="C27" s="7" t="inlineStr">
        <is>
          <t>EN 60598</t>
        </is>
      </c>
      <c r="D27" s="7" t="inlineStr">
        <is>
          <t>No</t>
        </is>
      </c>
      <c r="E27" s="7" t="inlineStr"/>
      <c r="F27" s="15" t="inlineStr"/>
      <c r="G27" s="15" t="inlineStr"/>
      <c r="H27" s="15" t="inlineStr"/>
      <c r="I27" s="15">
        <f>F27+G27+H27</f>
        <v/>
      </c>
      <c r="J27" s="15" t="inlineStr"/>
      <c r="K27" s="14" t="inlineStr"/>
      <c r="L27" s="14" t="inlineStr"/>
    </row>
    <row r="28" ht="18" customHeight="1">
      <c r="A28" s="3" t="inlineStr">
        <is>
          <t>05.C.05</t>
        </is>
      </c>
      <c r="B28" s="11" t="inlineStr">
        <is>
          <t>Emergency exit / maintained emergency luminaire</t>
        </is>
      </c>
      <c r="C28" s="3" t="inlineStr">
        <is>
          <t>BS EN 1838</t>
        </is>
      </c>
      <c r="D28" s="3" t="inlineStr">
        <is>
          <t>No</t>
        </is>
      </c>
      <c r="E28" s="3" t="inlineStr"/>
      <c r="F28" s="12" t="inlineStr"/>
      <c r="G28" s="12" t="inlineStr"/>
      <c r="H28" s="12" t="inlineStr"/>
      <c r="I28" s="12">
        <f>F28+G28+H28</f>
        <v/>
      </c>
      <c r="J28" s="12" t="inlineStr"/>
      <c r="K28" s="11" t="inlineStr"/>
      <c r="L28" s="11" t="inlineStr"/>
    </row>
    <row r="29" ht="18" customHeight="1">
      <c r="A29" s="7" t="inlineStr">
        <is>
          <t>05.C.06</t>
        </is>
      </c>
      <c r="B29" s="14" t="inlineStr">
        <is>
          <t>Light switch (1-gang, 2-gang, 3-gang) - as schedule</t>
        </is>
      </c>
      <c r="C29" s="7" t="inlineStr">
        <is>
          <t>BS 3676</t>
        </is>
      </c>
      <c r="D29" s="7" t="inlineStr">
        <is>
          <t>No</t>
        </is>
      </c>
      <c r="E29" s="7" t="inlineStr"/>
      <c r="F29" s="15" t="inlineStr"/>
      <c r="G29" s="15" t="inlineStr"/>
      <c r="H29" s="15" t="inlineStr"/>
      <c r="I29" s="15">
        <f>F29+G29+H29</f>
        <v/>
      </c>
      <c r="J29" s="15" t="inlineStr"/>
      <c r="K29" s="14" t="inlineStr"/>
      <c r="L29" s="14" t="inlineStr"/>
    </row>
    <row r="30" ht="18" customHeight="1">
      <c r="A30" s="3" t="inlineStr">
        <is>
          <t>05.C.07</t>
        </is>
      </c>
      <c r="B30" s="11" t="inlineStr">
        <is>
          <t>Lighting circuit wiring - 2.5mm2 twin &amp; earth in conduit</t>
        </is>
      </c>
      <c r="C30" s="3" t="inlineStr">
        <is>
          <t>IEC 60364</t>
        </is>
      </c>
      <c r="D30" s="3" t="inlineStr">
        <is>
          <t>No</t>
        </is>
      </c>
      <c r="E30" s="3" t="inlineStr"/>
      <c r="F30" s="12" t="inlineStr"/>
      <c r="G30" s="12" t="inlineStr"/>
      <c r="H30" s="12" t="inlineStr"/>
      <c r="I30" s="12">
        <f>F30+G30+H30</f>
        <v/>
      </c>
      <c r="J30" s="12" t="inlineStr"/>
      <c r="K30" s="11" t="inlineStr"/>
      <c r="L30" s="11" t="inlineStr"/>
    </row>
    <row r="31" ht="18" customHeight="1">
      <c r="A31" s="7" t="inlineStr">
        <is>
          <t>05.C.08</t>
        </is>
      </c>
      <c r="B31" s="14" t="inlineStr">
        <is>
          <t>DALI lighting control module / scene controller</t>
        </is>
      </c>
      <c r="C31" s="7" t="inlineStr">
        <is>
          <t>IEC 62386</t>
        </is>
      </c>
      <c r="D31" s="7" t="inlineStr">
        <is>
          <t>No</t>
        </is>
      </c>
      <c r="E31" s="7" t="inlineStr"/>
      <c r="F31" s="15" t="inlineStr"/>
      <c r="G31" s="15" t="inlineStr"/>
      <c r="H31" s="15" t="inlineStr"/>
      <c r="I31" s="15">
        <f>F31+G31+H31</f>
        <v/>
      </c>
      <c r="J31" s="15" t="inlineStr"/>
      <c r="K31" s="14" t="inlineStr"/>
      <c r="L31" s="14" t="inlineStr"/>
    </row>
    <row r="32" ht="20" customHeight="1">
      <c r="A32" s="17" t="inlineStr">
        <is>
          <t>SUBTOTAL – C. LIGHTING</t>
        </is>
      </c>
      <c r="J32" s="18">
        <f>SUM(J24:J32)</f>
        <v/>
      </c>
      <c r="K32" s="19" t="n"/>
      <c r="L32" s="19" t="n"/>
    </row>
    <row r="34" ht="18" customHeight="1">
      <c r="A34" s="20" t="inlineStr"/>
      <c r="B34" s="21" t="inlineStr">
        <is>
          <t>D. ELV SYSTEMS</t>
        </is>
      </c>
    </row>
    <row r="35" ht="18" customHeight="1">
      <c r="A35" s="3" t="inlineStr">
        <is>
          <t>05.D.01</t>
        </is>
      </c>
      <c r="B35" s="11" t="inlineStr">
        <is>
          <t>Structured cabling Cat6A (UTP) - data outlets and patch panels</t>
        </is>
      </c>
      <c r="C35" s="3" t="inlineStr">
        <is>
          <t>TIA-568</t>
        </is>
      </c>
      <c r="D35" s="3" t="inlineStr">
        <is>
          <t>No</t>
        </is>
      </c>
      <c r="E35" s="3" t="inlineStr"/>
      <c r="F35" s="12" t="inlineStr"/>
      <c r="G35" s="12" t="inlineStr"/>
      <c r="H35" s="12" t="inlineStr"/>
      <c r="I35" s="12">
        <f>F35+G35+H35</f>
        <v/>
      </c>
      <c r="J35" s="12" t="inlineStr"/>
      <c r="K35" s="11" t="inlineStr"/>
      <c r="L35" s="11" t="inlineStr"/>
    </row>
    <row r="36" ht="18" customHeight="1">
      <c r="A36" s="7" t="inlineStr">
        <is>
          <t>05.D.02</t>
        </is>
      </c>
      <c r="B36" s="14" t="inlineStr">
        <is>
          <t>Fibre optic backbone - multimode 12-core</t>
        </is>
      </c>
      <c r="C36" s="7" t="inlineStr">
        <is>
          <t>ISO 11801</t>
        </is>
      </c>
      <c r="D36" s="7" t="inlineStr">
        <is>
          <t>LM</t>
        </is>
      </c>
      <c r="E36" s="7" t="inlineStr"/>
      <c r="F36" s="15" t="inlineStr"/>
      <c r="G36" s="15" t="inlineStr"/>
      <c r="H36" s="15" t="inlineStr"/>
      <c r="I36" s="15">
        <f>F36+G36+H36</f>
        <v/>
      </c>
      <c r="J36" s="15" t="inlineStr"/>
      <c r="K36" s="14" t="inlineStr"/>
      <c r="L36" s="14" t="inlineStr"/>
    </row>
    <row r="37" ht="18" customHeight="1">
      <c r="A37" s="3" t="inlineStr">
        <is>
          <t>05.D.03</t>
        </is>
      </c>
      <c r="B37" s="11" t="inlineStr">
        <is>
          <t>Network rack / cabinet (42U, with PDU and patch panels)</t>
        </is>
      </c>
      <c r="C37" s="3" t="inlineStr">
        <is>
          <t>TIA-942</t>
        </is>
      </c>
      <c r="D37" s="3" t="inlineStr">
        <is>
          <t>No</t>
        </is>
      </c>
      <c r="E37" s="3" t="inlineStr"/>
      <c r="F37" s="12" t="inlineStr"/>
      <c r="G37" s="12" t="inlineStr"/>
      <c r="H37" s="12" t="inlineStr"/>
      <c r="I37" s="12">
        <f>F37+G37+H37</f>
        <v/>
      </c>
      <c r="J37" s="12" t="inlineStr"/>
      <c r="K37" s="11" t="inlineStr"/>
      <c r="L37" s="11" t="inlineStr"/>
    </row>
    <row r="38" ht="18" customHeight="1">
      <c r="A38" s="7" t="inlineStr">
        <is>
          <t>05.D.04</t>
        </is>
      </c>
      <c r="B38" s="14" t="inlineStr">
        <is>
          <t>CCTV - IP camera (indoor / outdoor as schedule)</t>
        </is>
      </c>
      <c r="C38" s="7" t="inlineStr">
        <is>
          <t>BS EN 50132</t>
        </is>
      </c>
      <c r="D38" s="7" t="inlineStr">
        <is>
          <t>No</t>
        </is>
      </c>
      <c r="E38" s="7" t="inlineStr"/>
      <c r="F38" s="15" t="inlineStr"/>
      <c r="G38" s="15" t="inlineStr"/>
      <c r="H38" s="15" t="inlineStr"/>
      <c r="I38" s="15">
        <f>F38+G38+H38</f>
        <v/>
      </c>
      <c r="J38" s="15" t="inlineStr"/>
      <c r="K38" s="14" t="inlineStr"/>
      <c r="L38" s="14" t="inlineStr"/>
    </row>
    <row r="39" ht="18" customHeight="1">
      <c r="A39" s="3" t="inlineStr">
        <is>
          <t>05.D.05</t>
        </is>
      </c>
      <c r="B39" s="11" t="inlineStr">
        <is>
          <t>CCTV - NVR (16/32 channel), monitor and cabling</t>
        </is>
      </c>
      <c r="C39" s="3" t="inlineStr">
        <is>
          <t>BS EN 50132</t>
        </is>
      </c>
      <c r="D39" s="3" t="inlineStr">
        <is>
          <t>LS</t>
        </is>
      </c>
      <c r="E39" s="3" t="inlineStr"/>
      <c r="F39" s="12" t="inlineStr"/>
      <c r="G39" s="12" t="inlineStr"/>
      <c r="H39" s="12" t="inlineStr"/>
      <c r="I39" s="12">
        <f>F39+G39+H39</f>
        <v/>
      </c>
      <c r="J39" s="12" t="inlineStr"/>
      <c r="K39" s="11" t="inlineStr"/>
      <c r="L39" s="11" t="inlineStr"/>
    </row>
    <row r="40" ht="18" customHeight="1">
      <c r="A40" s="7" t="inlineStr">
        <is>
          <t>05.D.06</t>
        </is>
      </c>
      <c r="B40" s="14" t="inlineStr">
        <is>
          <t>Access Control - card reader, controller, door strike</t>
        </is>
      </c>
      <c r="C40" s="7" t="inlineStr">
        <is>
          <t>BS EN 60839</t>
        </is>
      </c>
      <c r="D40" s="7" t="inlineStr">
        <is>
          <t>No</t>
        </is>
      </c>
      <c r="E40" s="7" t="inlineStr"/>
      <c r="F40" s="15" t="inlineStr"/>
      <c r="G40" s="15" t="inlineStr"/>
      <c r="H40" s="15" t="inlineStr"/>
      <c r="I40" s="15">
        <f>F40+G40+H40</f>
        <v/>
      </c>
      <c r="J40" s="15" t="inlineStr"/>
      <c r="K40" s="14" t="inlineStr"/>
      <c r="L40" s="14" t="inlineStr"/>
    </row>
    <row r="41" ht="18" customHeight="1">
      <c r="A41" s="3" t="inlineStr">
        <is>
          <t>05.D.07</t>
        </is>
      </c>
      <c r="B41" s="11" t="inlineStr">
        <is>
          <t>Intercom / video door entry system</t>
        </is>
      </c>
      <c r="C41" s="3" t="inlineStr">
        <is>
          <t>BS EN 60839</t>
        </is>
      </c>
      <c r="D41" s="3" t="inlineStr">
        <is>
          <t>LS</t>
        </is>
      </c>
      <c r="E41" s="3" t="inlineStr"/>
      <c r="F41" s="12" t="inlineStr"/>
      <c r="G41" s="12" t="inlineStr"/>
      <c r="H41" s="12" t="inlineStr"/>
      <c r="I41" s="12">
        <f>F41+G41+H41</f>
        <v/>
      </c>
      <c r="J41" s="12" t="inlineStr"/>
      <c r="K41" s="11" t="inlineStr"/>
      <c r="L41" s="11" t="inlineStr"/>
    </row>
    <row r="42" ht="18" customHeight="1">
      <c r="A42" s="7" t="inlineStr">
        <is>
          <t>05.D.08</t>
        </is>
      </c>
      <c r="B42" s="14" t="inlineStr">
        <is>
          <t>Fire alarm - addressable system (panel, detectors, MCP, bells)</t>
        </is>
      </c>
      <c r="C42" s="7" t="inlineStr">
        <is>
          <t>BS EN 54</t>
        </is>
      </c>
      <c r="D42" s="7" t="inlineStr">
        <is>
          <t>LS</t>
        </is>
      </c>
      <c r="E42" s="7" t="inlineStr"/>
      <c r="F42" s="15" t="inlineStr"/>
      <c r="G42" s="15" t="inlineStr"/>
      <c r="H42" s="15" t="inlineStr"/>
      <c r="I42" s="15">
        <f>F42+G42+H42</f>
        <v/>
      </c>
      <c r="J42" s="15" t="inlineStr"/>
      <c r="K42" s="14" t="inlineStr"/>
      <c r="L42" s="14" t="inlineStr"/>
    </row>
    <row r="43" ht="18" customHeight="1">
      <c r="A43" s="3" t="inlineStr">
        <is>
          <t>05.D.09</t>
        </is>
      </c>
      <c r="B43" s="11" t="inlineStr">
        <is>
          <t>PA / voice evacuation system</t>
        </is>
      </c>
      <c r="C43" s="3" t="inlineStr">
        <is>
          <t>IEC 60849</t>
        </is>
      </c>
      <c r="D43" s="3" t="inlineStr">
        <is>
          <t>LS</t>
        </is>
      </c>
      <c r="E43" s="3" t="inlineStr"/>
      <c r="F43" s="12" t="inlineStr"/>
      <c r="G43" s="12" t="inlineStr"/>
      <c r="H43" s="12" t="inlineStr"/>
      <c r="I43" s="12">
        <f>F43+G43+H43</f>
        <v/>
      </c>
      <c r="J43" s="12" t="inlineStr"/>
      <c r="K43" s="11" t="inlineStr"/>
      <c r="L43" s="11" t="inlineStr"/>
    </row>
    <row r="44" ht="18" customHeight="1">
      <c r="A44" s="7" t="inlineStr">
        <is>
          <t>05.D.10</t>
        </is>
      </c>
      <c r="B44" s="14" t="inlineStr">
        <is>
          <t>Nurse call / duress alarm system (if applicable)</t>
        </is>
      </c>
      <c r="C44" s="7" t="inlineStr">
        <is>
          <t>IEC 60601</t>
        </is>
      </c>
      <c r="D44" s="7" t="inlineStr">
        <is>
          <t>LS</t>
        </is>
      </c>
      <c r="E44" s="7" t="inlineStr"/>
      <c r="F44" s="15" t="inlineStr"/>
      <c r="G44" s="15" t="inlineStr"/>
      <c r="H44" s="15" t="inlineStr"/>
      <c r="I44" s="15">
        <f>F44+G44+H44</f>
        <v/>
      </c>
      <c r="J44" s="15" t="inlineStr"/>
      <c r="K44" s="14" t="inlineStr"/>
      <c r="L44" s="14" t="inlineStr"/>
    </row>
    <row r="45" ht="18" customHeight="1">
      <c r="A45" s="3" t="inlineStr">
        <is>
          <t>05.D.11</t>
        </is>
      </c>
      <c r="B45" s="11" t="inlineStr">
        <is>
          <t>Lightning protection system - ESE/traditional (risk assessed)</t>
        </is>
      </c>
      <c r="C45" s="3" t="inlineStr">
        <is>
          <t>IEC 62305</t>
        </is>
      </c>
      <c r="D45" s="3" t="inlineStr">
        <is>
          <t>LS</t>
        </is>
      </c>
      <c r="E45" s="3" t="inlineStr"/>
      <c r="F45" s="12" t="inlineStr"/>
      <c r="G45" s="12" t="inlineStr"/>
      <c r="H45" s="12" t="inlineStr"/>
      <c r="I45" s="12">
        <f>F45+G45+H45</f>
        <v/>
      </c>
      <c r="J45" s="12" t="inlineStr"/>
      <c r="K45" s="11" t="inlineStr"/>
      <c r="L45" s="11" t="inlineStr"/>
    </row>
    <row r="46" ht="20" customHeight="1">
      <c r="A46" s="17" t="inlineStr">
        <is>
          <t>SUBTOTAL – D. ELV SYSTEMS</t>
        </is>
      </c>
      <c r="J46" s="18">
        <f>SUM(J35:J46)</f>
        <v/>
      </c>
      <c r="K46" s="19" t="n"/>
      <c r="L46" s="19" t="n"/>
    </row>
  </sheetData>
  <mergeCells count="9">
    <mergeCell ref="A46:I46"/>
    <mergeCell ref="A32:I32"/>
    <mergeCell ref="A1:L1"/>
    <mergeCell ref="B3:L3"/>
    <mergeCell ref="B34:L34"/>
    <mergeCell ref="B14:L14"/>
    <mergeCell ref="A12:I12"/>
    <mergeCell ref="B23:L23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14" customWidth="1" min="3" max="3"/>
    <col width="8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2" customWidth="1" min="11" max="11"/>
    <col width="18" customWidth="1" min="12" max="12"/>
  </cols>
  <sheetData>
    <row r="1" ht="22" customHeight="1">
      <c r="A1" s="1" t="inlineStr">
        <is>
          <t>DIVISION 04  –  MECHANICAL WORKS  (HVAC, PLUMBING, FIREFIGHTING)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2" t="inlineStr">
        <is>
          <t>Qty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2" t="inlineStr">
        <is>
          <t>Amount</t>
        </is>
      </c>
      <c r="K2" s="2" t="inlineStr">
        <is>
          <t>Notes / Spec Compliance</t>
        </is>
      </c>
      <c r="L2" s="2" t="inlineStr">
        <is>
          <t>BIM Tag / STING ID</t>
        </is>
      </c>
    </row>
    <row r="3" ht="18" customHeight="1">
      <c r="A3" s="20" t="inlineStr"/>
      <c r="B3" s="21" t="inlineStr">
        <is>
          <t>A. HVAC WORKS</t>
        </is>
      </c>
    </row>
    <row r="4" ht="18" customHeight="1">
      <c r="A4" s="3" t="inlineStr">
        <is>
          <t>04.A.01</t>
        </is>
      </c>
      <c r="B4" s="11" t="inlineStr">
        <is>
          <t>Supply, install, test &amp; commission Central Air Handling Unit (AHU)</t>
        </is>
      </c>
      <c r="C4" s="3" t="inlineStr">
        <is>
          <t>ASHRAE 90.1</t>
        </is>
      </c>
      <c r="D4" s="3" t="inlineStr">
        <is>
          <t>No</t>
        </is>
      </c>
      <c r="E4" s="3" t="inlineStr"/>
      <c r="F4" s="12" t="inlineStr"/>
      <c r="G4" s="12" t="inlineStr"/>
      <c r="H4" s="12" t="inlineStr"/>
      <c r="I4" s="12">
        <f>F4+G4+H4</f>
        <v/>
      </c>
      <c r="J4" s="12" t="inlineStr"/>
      <c r="K4" s="11" t="inlineStr"/>
      <c r="L4" s="11" t="inlineStr"/>
    </row>
    <row r="5" ht="18" customHeight="1">
      <c r="A5" s="7" t="inlineStr">
        <is>
          <t>04.A.02</t>
        </is>
      </c>
      <c r="B5" s="14" t="inlineStr">
        <is>
          <t>Supply &amp; install Fan Coil Unit (FCU) - ceiling concealed type</t>
        </is>
      </c>
      <c r="C5" s="7" t="inlineStr">
        <is>
          <t>ASHRAE 62.1</t>
        </is>
      </c>
      <c r="D5" s="7" t="inlineStr">
        <is>
          <t>No</t>
        </is>
      </c>
      <c r="E5" s="7" t="inlineStr"/>
      <c r="F5" s="15" t="inlineStr"/>
      <c r="G5" s="15" t="inlineStr"/>
      <c r="H5" s="15" t="inlineStr"/>
      <c r="I5" s="15">
        <f>F5+G5+H5</f>
        <v/>
      </c>
      <c r="J5" s="15" t="inlineStr"/>
      <c r="K5" s="14" t="inlineStr"/>
      <c r="L5" s="14" t="inlineStr"/>
    </row>
    <row r="6" ht="18" customHeight="1">
      <c r="A6" s="3" t="inlineStr">
        <is>
          <t>04.A.03</t>
        </is>
      </c>
      <c r="B6" s="11" t="inlineStr">
        <is>
          <t>Supply &amp; install VRF/VRV outdoor condensing unit</t>
        </is>
      </c>
      <c r="C6" s="3" t="inlineStr">
        <is>
          <t>ISO 13256</t>
        </is>
      </c>
      <c r="D6" s="3" t="inlineStr">
        <is>
          <t>No</t>
        </is>
      </c>
      <c r="E6" s="3" t="inlineStr"/>
      <c r="F6" s="12" t="inlineStr"/>
      <c r="G6" s="12" t="inlineStr"/>
      <c r="H6" s="12" t="inlineStr"/>
      <c r="I6" s="12">
        <f>F6+G6+H6</f>
        <v/>
      </c>
      <c r="J6" s="12" t="inlineStr"/>
      <c r="K6" s="11" t="inlineStr"/>
      <c r="L6" s="11" t="inlineStr"/>
    </row>
    <row r="7" ht="18" customHeight="1">
      <c r="A7" s="7" t="inlineStr">
        <is>
          <t>04.A.04</t>
        </is>
      </c>
      <c r="B7" s="14" t="inlineStr">
        <is>
          <t>Supply &amp; install VRF indoor unit - ducted/cassette</t>
        </is>
      </c>
      <c r="C7" s="7" t="inlineStr">
        <is>
          <t>ISO 13256</t>
        </is>
      </c>
      <c r="D7" s="7" t="inlineStr">
        <is>
          <t>No</t>
        </is>
      </c>
      <c r="E7" s="7" t="inlineStr"/>
      <c r="F7" s="15" t="inlineStr"/>
      <c r="G7" s="15" t="inlineStr"/>
      <c r="H7" s="15" t="inlineStr"/>
      <c r="I7" s="15">
        <f>F7+G7+H7</f>
        <v/>
      </c>
      <c r="J7" s="15" t="inlineStr"/>
      <c r="K7" s="14" t="inlineStr"/>
      <c r="L7" s="14" t="inlineStr"/>
    </row>
    <row r="8" ht="18" customHeight="1">
      <c r="A8" s="3" t="inlineStr">
        <is>
          <t>04.A.05</t>
        </is>
      </c>
      <c r="B8" s="11" t="inlineStr">
        <is>
          <t>Galvanised steel ductwork (supply/return) - including insulation</t>
        </is>
      </c>
      <c r="C8" s="3" t="inlineStr">
        <is>
          <t>SMACNA</t>
        </is>
      </c>
      <c r="D8" s="3" t="inlineStr">
        <is>
          <t>kg</t>
        </is>
      </c>
      <c r="E8" s="3" t="inlineStr"/>
      <c r="F8" s="12" t="inlineStr"/>
      <c r="G8" s="12" t="inlineStr"/>
      <c r="H8" s="12" t="inlineStr"/>
      <c r="I8" s="12">
        <f>F8+G8+H8</f>
        <v/>
      </c>
      <c r="J8" s="12" t="inlineStr"/>
      <c r="K8" s="11" t="inlineStr"/>
      <c r="L8" s="11" t="inlineStr"/>
    </row>
    <row r="9" ht="18" customHeight="1">
      <c r="A9" s="7" t="inlineStr">
        <is>
          <t>04.A.06</t>
        </is>
      </c>
      <c r="B9" s="14" t="inlineStr">
        <is>
          <t>Flexible ducting connections 150-350mm dia, max 1.5m</t>
        </is>
      </c>
      <c r="C9" s="7" t="inlineStr">
        <is>
          <t>SMACNA</t>
        </is>
      </c>
      <c r="D9" s="7" t="inlineStr">
        <is>
          <t>No</t>
        </is>
      </c>
      <c r="E9" s="7" t="inlineStr"/>
      <c r="F9" s="15" t="inlineStr"/>
      <c r="G9" s="15" t="inlineStr"/>
      <c r="H9" s="15" t="inlineStr"/>
      <c r="I9" s="15">
        <f>F9+G9+H9</f>
        <v/>
      </c>
      <c r="J9" s="15" t="inlineStr"/>
      <c r="K9" s="14" t="inlineStr"/>
      <c r="L9" s="14" t="inlineStr"/>
    </row>
    <row r="10" ht="18" customHeight="1">
      <c r="A10" s="3" t="inlineStr">
        <is>
          <t>04.A.07</t>
        </is>
      </c>
      <c r="B10" s="11" t="inlineStr">
        <is>
          <t>Supply air diffuser - square/linear (as schedule)</t>
        </is>
      </c>
      <c r="C10" s="3" t="inlineStr">
        <is>
          <t>ASHRAE 70</t>
        </is>
      </c>
      <c r="D10" s="3" t="inlineStr">
        <is>
          <t>No</t>
        </is>
      </c>
      <c r="E10" s="3" t="inlineStr"/>
      <c r="F10" s="12" t="inlineStr"/>
      <c r="G10" s="12" t="inlineStr"/>
      <c r="H10" s="12" t="inlineStr"/>
      <c r="I10" s="12">
        <f>F10+G10+H10</f>
        <v/>
      </c>
      <c r="J10" s="12" t="inlineStr"/>
      <c r="K10" s="11" t="inlineStr"/>
      <c r="L10" s="11" t="inlineStr"/>
    </row>
    <row r="11" ht="18" customHeight="1">
      <c r="A11" s="7" t="inlineStr">
        <is>
          <t>04.A.08</t>
        </is>
      </c>
      <c r="B11" s="14" t="inlineStr">
        <is>
          <t>Return air grille (egg-crate / louvred)</t>
        </is>
      </c>
      <c r="C11" s="7" t="inlineStr">
        <is>
          <t>ASHRAE 70</t>
        </is>
      </c>
      <c r="D11" s="7" t="inlineStr">
        <is>
          <t>No</t>
        </is>
      </c>
      <c r="E11" s="7" t="inlineStr"/>
      <c r="F11" s="15" t="inlineStr"/>
      <c r="G11" s="15" t="inlineStr"/>
      <c r="H11" s="15" t="inlineStr"/>
      <c r="I11" s="15">
        <f>F11+G11+H11</f>
        <v/>
      </c>
      <c r="J11" s="15" t="inlineStr"/>
      <c r="K11" s="14" t="inlineStr"/>
      <c r="L11" s="14" t="inlineStr"/>
    </row>
    <row r="12" ht="18" customHeight="1">
      <c r="A12" s="3" t="inlineStr">
        <is>
          <t>04.A.09</t>
        </is>
      </c>
      <c r="B12" s="11" t="inlineStr">
        <is>
          <t>Volume control damper (manual / motorised)</t>
        </is>
      </c>
      <c r="C12" s="3" t="inlineStr">
        <is>
          <t>SMACNA</t>
        </is>
      </c>
      <c r="D12" s="3" t="inlineStr">
        <is>
          <t>No</t>
        </is>
      </c>
      <c r="E12" s="3" t="inlineStr"/>
      <c r="F12" s="12" t="inlineStr"/>
      <c r="G12" s="12" t="inlineStr"/>
      <c r="H12" s="12" t="inlineStr"/>
      <c r="I12" s="12">
        <f>F12+G12+H12</f>
        <v/>
      </c>
      <c r="J12" s="12" t="inlineStr"/>
      <c r="K12" s="11" t="inlineStr"/>
      <c r="L12" s="11" t="inlineStr"/>
    </row>
    <row r="13" ht="18" customHeight="1">
      <c r="A13" s="7" t="inlineStr">
        <is>
          <t>04.A.10</t>
        </is>
      </c>
      <c r="B13" s="14" t="inlineStr">
        <is>
          <t>Fire damper - fusible link / motorised (UL listed)</t>
        </is>
      </c>
      <c r="C13" s="7" t="inlineStr">
        <is>
          <t>NFPA 90A</t>
        </is>
      </c>
      <c r="D13" s="7" t="inlineStr">
        <is>
          <t>No</t>
        </is>
      </c>
      <c r="E13" s="7" t="inlineStr"/>
      <c r="F13" s="15" t="inlineStr"/>
      <c r="G13" s="15" t="inlineStr"/>
      <c r="H13" s="15" t="inlineStr"/>
      <c r="I13" s="15">
        <f>F13+G13+H13</f>
        <v/>
      </c>
      <c r="J13" s="15" t="inlineStr"/>
      <c r="K13" s="14" t="inlineStr"/>
      <c r="L13" s="14" t="inlineStr"/>
    </row>
    <row r="14" ht="18" customHeight="1">
      <c r="A14" s="3" t="inlineStr">
        <is>
          <t>04.A.11</t>
        </is>
      </c>
      <c r="B14" s="11" t="inlineStr">
        <is>
          <t>Exhaust / extract fan - centrifugal inline, as schedule</t>
        </is>
      </c>
      <c r="C14" s="3" t="inlineStr">
        <is>
          <t>BS EN ISO 5801</t>
        </is>
      </c>
      <c r="D14" s="3" t="inlineStr">
        <is>
          <t>No</t>
        </is>
      </c>
      <c r="E14" s="3" t="inlineStr"/>
      <c r="F14" s="12" t="inlineStr"/>
      <c r="G14" s="12" t="inlineStr"/>
      <c r="H14" s="12" t="inlineStr"/>
      <c r="I14" s="12">
        <f>F14+G14+H14</f>
        <v/>
      </c>
      <c r="J14" s="12" t="inlineStr"/>
      <c r="K14" s="11" t="inlineStr"/>
      <c r="L14" s="11" t="inlineStr"/>
    </row>
    <row r="15" ht="18" customHeight="1">
      <c r="A15" s="7" t="inlineStr">
        <is>
          <t>04.A.12</t>
        </is>
      </c>
      <c r="B15" s="14" t="inlineStr">
        <is>
          <t>BMS/DDC controls - sensors, controllers and wiring for HVAC</t>
        </is>
      </c>
      <c r="C15" s="7" t="inlineStr">
        <is>
          <t>ASHRAE 135</t>
        </is>
      </c>
      <c r="D15" s="7" t="inlineStr">
        <is>
          <t>LS</t>
        </is>
      </c>
      <c r="E15" s="7" t="inlineStr"/>
      <c r="F15" s="15" t="inlineStr"/>
      <c r="G15" s="15" t="inlineStr"/>
      <c r="H15" s="15" t="inlineStr"/>
      <c r="I15" s="15">
        <f>F15+G15+H15</f>
        <v/>
      </c>
      <c r="J15" s="15" t="inlineStr"/>
      <c r="K15" s="14" t="inlineStr"/>
      <c r="L15" s="14" t="inlineStr"/>
    </row>
    <row r="16" ht="18" customHeight="1">
      <c r="A16" s="3" t="inlineStr">
        <is>
          <t>04.A.13</t>
        </is>
      </c>
      <c r="B16" s="11" t="inlineStr">
        <is>
          <t>Refrigerant piping (copper, insulated) - complete system</t>
        </is>
      </c>
      <c r="C16" s="3" t="inlineStr">
        <is>
          <t>ASHRAE 15</t>
        </is>
      </c>
      <c r="D16" s="3" t="inlineStr">
        <is>
          <t>LM</t>
        </is>
      </c>
      <c r="E16" s="3" t="inlineStr"/>
      <c r="F16" s="12" t="inlineStr"/>
      <c r="G16" s="12" t="inlineStr"/>
      <c r="H16" s="12" t="inlineStr"/>
      <c r="I16" s="12">
        <f>F16+G16+H16</f>
        <v/>
      </c>
      <c r="J16" s="12" t="inlineStr"/>
      <c r="K16" s="11" t="inlineStr"/>
      <c r="L16" s="11" t="inlineStr"/>
    </row>
    <row r="17" ht="18" customHeight="1">
      <c r="A17" s="7" t="inlineStr">
        <is>
          <t>04.A.14</t>
        </is>
      </c>
      <c r="B17" s="14" t="inlineStr">
        <is>
          <t>Chilled water piping (MS schedule 40, insulated) - supply &amp; return</t>
        </is>
      </c>
      <c r="C17" s="7" t="inlineStr">
        <is>
          <t>ASME B31.9</t>
        </is>
      </c>
      <c r="D17" s="7" t="inlineStr">
        <is>
          <t>LM</t>
        </is>
      </c>
      <c r="E17" s="7" t="inlineStr"/>
      <c r="F17" s="15" t="inlineStr"/>
      <c r="G17" s="15" t="inlineStr"/>
      <c r="H17" s="15" t="inlineStr"/>
      <c r="I17" s="15">
        <f>F17+G17+H17</f>
        <v/>
      </c>
      <c r="J17" s="15" t="inlineStr"/>
      <c r="K17" s="14" t="inlineStr"/>
      <c r="L17" s="14" t="inlineStr"/>
    </row>
    <row r="18" ht="18" customHeight="1">
      <c r="A18" s="3" t="inlineStr">
        <is>
          <t>04.A.15</t>
        </is>
      </c>
      <c r="B18" s="11" t="inlineStr">
        <is>
          <t>Chiller unit (air-cooled) - complete with isolations</t>
        </is>
      </c>
      <c r="C18" s="3" t="inlineStr">
        <is>
          <t>ISO 13256</t>
        </is>
      </c>
      <c r="D18" s="3" t="inlineStr">
        <is>
          <t>No</t>
        </is>
      </c>
      <c r="E18" s="3" t="inlineStr"/>
      <c r="F18" s="12" t="inlineStr"/>
      <c r="G18" s="12" t="inlineStr"/>
      <c r="H18" s="12" t="inlineStr"/>
      <c r="I18" s="12">
        <f>F18+G18+H18</f>
        <v/>
      </c>
      <c r="J18" s="12" t="inlineStr"/>
      <c r="K18" s="11" t="inlineStr"/>
      <c r="L18" s="11" t="inlineStr"/>
    </row>
    <row r="19" ht="20" customHeight="1">
      <c r="A19" s="17" t="inlineStr">
        <is>
          <t>SUBTOTAL – A. HVAC WORKS</t>
        </is>
      </c>
      <c r="J19" s="18">
        <f>SUM(J4:J19)</f>
        <v/>
      </c>
      <c r="K19" s="19" t="n"/>
      <c r="L19" s="19" t="n"/>
    </row>
    <row r="21" ht="18" customHeight="1">
      <c r="A21" s="20" t="inlineStr"/>
      <c r="B21" s="21" t="inlineStr">
        <is>
          <t>B. PLUMBING &amp; DRAINAGE WORKS</t>
        </is>
      </c>
    </row>
    <row r="22" ht="18" customHeight="1">
      <c r="A22" s="3" t="inlineStr">
        <is>
          <t>04.B.01</t>
        </is>
      </c>
      <c r="B22" s="11" t="inlineStr">
        <is>
          <t>Hot &amp; cold water piping - CPVC / uPVC Sch 40, insulated</t>
        </is>
      </c>
      <c r="C22" s="3" t="inlineStr">
        <is>
          <t>BS EN ISO 15494</t>
        </is>
      </c>
      <c r="D22" s="3" t="inlineStr">
        <is>
          <t>LM</t>
        </is>
      </c>
      <c r="E22" s="3" t="inlineStr"/>
      <c r="F22" s="12" t="inlineStr"/>
      <c r="G22" s="12" t="inlineStr"/>
      <c r="H22" s="12" t="inlineStr"/>
      <c r="I22" s="12">
        <f>F22+G22+H22</f>
        <v/>
      </c>
      <c r="J22" s="12" t="inlineStr"/>
      <c r="K22" s="11" t="inlineStr"/>
      <c r="L22" s="11" t="inlineStr"/>
    </row>
    <row r="23" ht="18" customHeight="1">
      <c r="A23" s="7" t="inlineStr">
        <is>
          <t>04.B.02</t>
        </is>
      </c>
      <c r="B23" s="14" t="inlineStr">
        <is>
          <t>Sanitary plumbing - uPVC soil/waste pipes (internal)</t>
        </is>
      </c>
      <c r="C23" s="7" t="inlineStr">
        <is>
          <t>BS EN 1329</t>
        </is>
      </c>
      <c r="D23" s="7" t="inlineStr">
        <is>
          <t>LM</t>
        </is>
      </c>
      <c r="E23" s="7" t="inlineStr"/>
      <c r="F23" s="15" t="inlineStr"/>
      <c r="G23" s="15" t="inlineStr"/>
      <c r="H23" s="15" t="inlineStr"/>
      <c r="I23" s="15">
        <f>F23+G23+H23</f>
        <v/>
      </c>
      <c r="J23" s="15" t="inlineStr"/>
      <c r="K23" s="14" t="inlineStr"/>
      <c r="L23" s="14" t="inlineStr"/>
    </row>
    <row r="24" ht="18" customHeight="1">
      <c r="A24" s="3" t="inlineStr">
        <is>
          <t>04.B.03</t>
        </is>
      </c>
      <c r="B24" s="11" t="inlineStr">
        <is>
          <t>Underground drainage - uPVC DWV 110-200mm dia</t>
        </is>
      </c>
      <c r="C24" s="3" t="inlineStr">
        <is>
          <t>BS EN 1401</t>
        </is>
      </c>
      <c r="D24" s="3" t="inlineStr">
        <is>
          <t>LM</t>
        </is>
      </c>
      <c r="E24" s="3" t="inlineStr"/>
      <c r="F24" s="12" t="inlineStr"/>
      <c r="G24" s="12" t="inlineStr"/>
      <c r="H24" s="12" t="inlineStr"/>
      <c r="I24" s="12">
        <f>F24+G24+H24</f>
        <v/>
      </c>
      <c r="J24" s="12" t="inlineStr"/>
      <c r="K24" s="11" t="inlineStr"/>
      <c r="L24" s="11" t="inlineStr"/>
    </row>
    <row r="25" ht="18" customHeight="1">
      <c r="A25" s="7" t="inlineStr">
        <is>
          <t>04.B.04</t>
        </is>
      </c>
      <c r="B25" s="14" t="inlineStr">
        <is>
          <t>Inspection chamber / manhole (pre-cast, cover &amp; frame)</t>
        </is>
      </c>
      <c r="C25" s="7" t="inlineStr">
        <is>
          <t>BS EN 1917</t>
        </is>
      </c>
      <c r="D25" s="7" t="inlineStr">
        <is>
          <t>No</t>
        </is>
      </c>
      <c r="E25" s="7" t="inlineStr"/>
      <c r="F25" s="15" t="inlineStr"/>
      <c r="G25" s="15" t="inlineStr"/>
      <c r="H25" s="15" t="inlineStr"/>
      <c r="I25" s="15">
        <f>F25+G25+H25</f>
        <v/>
      </c>
      <c r="J25" s="15" t="inlineStr"/>
      <c r="K25" s="14" t="inlineStr"/>
      <c r="L25" s="14" t="inlineStr"/>
    </row>
    <row r="26" ht="18" customHeight="1">
      <c r="A26" s="3" t="inlineStr">
        <is>
          <t>04.B.05</t>
        </is>
      </c>
      <c r="B26" s="11" t="inlineStr">
        <is>
          <t>WC suite - close-coupled, dual-flush, complete set</t>
        </is>
      </c>
      <c r="C26" s="3" t="inlineStr">
        <is>
          <t>BS EN 997</t>
        </is>
      </c>
      <c r="D26" s="3" t="inlineStr">
        <is>
          <t>No</t>
        </is>
      </c>
      <c r="E26" s="3" t="inlineStr"/>
      <c r="F26" s="12" t="inlineStr"/>
      <c r="G26" s="12" t="inlineStr"/>
      <c r="H26" s="12" t="inlineStr"/>
      <c r="I26" s="12">
        <f>F26+G26+H26</f>
        <v/>
      </c>
      <c r="J26" s="12" t="inlineStr"/>
      <c r="K26" s="11" t="inlineStr"/>
      <c r="L26" s="11" t="inlineStr"/>
    </row>
    <row r="27" ht="18" customHeight="1">
      <c r="A27" s="7" t="inlineStr">
        <is>
          <t>04.B.06</t>
        </is>
      </c>
      <c r="B27" s="14" t="inlineStr">
        <is>
          <t>Wash-hand basin - vitreous china, with taps and waste</t>
        </is>
      </c>
      <c r="C27" s="7" t="inlineStr">
        <is>
          <t>BS EN 111</t>
        </is>
      </c>
      <c r="D27" s="7" t="inlineStr">
        <is>
          <t>No</t>
        </is>
      </c>
      <c r="E27" s="7" t="inlineStr"/>
      <c r="F27" s="15" t="inlineStr"/>
      <c r="G27" s="15" t="inlineStr"/>
      <c r="H27" s="15" t="inlineStr"/>
      <c r="I27" s="15">
        <f>F27+G27+H27</f>
        <v/>
      </c>
      <c r="J27" s="15" t="inlineStr"/>
      <c r="K27" s="14" t="inlineStr"/>
      <c r="L27" s="14" t="inlineStr"/>
    </row>
    <row r="28" ht="18" customHeight="1">
      <c r="A28" s="3" t="inlineStr">
        <is>
          <t>04.B.07</t>
        </is>
      </c>
      <c r="B28" s="11" t="inlineStr">
        <is>
          <t>Shower tray, enclosure, mixer valve and fittings - complete</t>
        </is>
      </c>
      <c r="C28" s="3" t="inlineStr">
        <is>
          <t>BS EN 14527</t>
        </is>
      </c>
      <c r="D28" s="3" t="inlineStr">
        <is>
          <t>No</t>
        </is>
      </c>
      <c r="E28" s="3" t="inlineStr"/>
      <c r="F28" s="12" t="inlineStr"/>
      <c r="G28" s="12" t="inlineStr"/>
      <c r="H28" s="12" t="inlineStr"/>
      <c r="I28" s="12">
        <f>F28+G28+H28</f>
        <v/>
      </c>
      <c r="J28" s="12" t="inlineStr"/>
      <c r="K28" s="11" t="inlineStr"/>
      <c r="L28" s="11" t="inlineStr"/>
    </row>
    <row r="29" ht="18" customHeight="1">
      <c r="A29" s="7" t="inlineStr">
        <is>
          <t>04.B.08</t>
        </is>
      </c>
      <c r="B29" s="14" t="inlineStr">
        <is>
          <t>Urinal - vitreous china with flush valve, complete</t>
        </is>
      </c>
      <c r="C29" s="7" t="inlineStr">
        <is>
          <t>BS EN 13407</t>
        </is>
      </c>
      <c r="D29" s="7" t="inlineStr">
        <is>
          <t>No</t>
        </is>
      </c>
      <c r="E29" s="7" t="inlineStr"/>
      <c r="F29" s="15" t="inlineStr"/>
      <c r="G29" s="15" t="inlineStr"/>
      <c r="H29" s="15" t="inlineStr"/>
      <c r="I29" s="15">
        <f>F29+G29+H29</f>
        <v/>
      </c>
      <c r="J29" s="15" t="inlineStr"/>
      <c r="K29" s="14" t="inlineStr"/>
      <c r="L29" s="14" t="inlineStr"/>
    </row>
    <row r="30" ht="18" customHeight="1">
      <c r="A30" s="3" t="inlineStr">
        <is>
          <t>04.B.09</t>
        </is>
      </c>
      <c r="B30" s="11" t="inlineStr">
        <is>
          <t>Kitchen sink - stainless steel 1.5 bowl with mixer tap</t>
        </is>
      </c>
      <c r="C30" s="3" t="inlineStr">
        <is>
          <t>BS EN 1757</t>
        </is>
      </c>
      <c r="D30" s="3" t="inlineStr">
        <is>
          <t>No</t>
        </is>
      </c>
      <c r="E30" s="3" t="inlineStr"/>
      <c r="F30" s="12" t="inlineStr"/>
      <c r="G30" s="12" t="inlineStr"/>
      <c r="H30" s="12" t="inlineStr"/>
      <c r="I30" s="12">
        <f>F30+G30+H30</f>
        <v/>
      </c>
      <c r="J30" s="12" t="inlineStr"/>
      <c r="K30" s="11" t="inlineStr"/>
      <c r="L30" s="11" t="inlineStr"/>
    </row>
    <row r="31" ht="18" customHeight="1">
      <c r="A31" s="7" t="inlineStr">
        <is>
          <t>04.B.10</t>
        </is>
      </c>
      <c r="B31" s="14" t="inlineStr">
        <is>
          <t>Booster pump set (duty/standby) with controls</t>
        </is>
      </c>
      <c r="C31" s="7" t="inlineStr">
        <is>
          <t>BS EN ISO 9906</t>
        </is>
      </c>
      <c r="D31" s="7" t="inlineStr">
        <is>
          <t>No</t>
        </is>
      </c>
      <c r="E31" s="7" t="inlineStr"/>
      <c r="F31" s="15" t="inlineStr"/>
      <c r="G31" s="15" t="inlineStr"/>
      <c r="H31" s="15" t="inlineStr"/>
      <c r="I31" s="15">
        <f>F31+G31+H31</f>
        <v/>
      </c>
      <c r="J31" s="15" t="inlineStr"/>
      <c r="K31" s="14" t="inlineStr"/>
      <c r="L31" s="14" t="inlineStr"/>
    </row>
    <row r="32" ht="18" customHeight="1">
      <c r="A32" s="3" t="inlineStr">
        <is>
          <t>04.B.11</t>
        </is>
      </c>
      <c r="B32" s="11" t="inlineStr">
        <is>
          <t>Cold water storage tank - GRP/PE (as schedule)</t>
        </is>
      </c>
      <c r="C32" s="3" t="inlineStr">
        <is>
          <t>BS EN 13280</t>
        </is>
      </c>
      <c r="D32" s="3" t="inlineStr">
        <is>
          <t>No</t>
        </is>
      </c>
      <c r="E32" s="3" t="inlineStr"/>
      <c r="F32" s="12" t="inlineStr"/>
      <c r="G32" s="12" t="inlineStr"/>
      <c r="H32" s="12" t="inlineStr"/>
      <c r="I32" s="12">
        <f>F32+G32+H32</f>
        <v/>
      </c>
      <c r="J32" s="12" t="inlineStr"/>
      <c r="K32" s="11" t="inlineStr"/>
      <c r="L32" s="11" t="inlineStr"/>
    </row>
    <row r="33" ht="18" customHeight="1">
      <c r="A33" s="7" t="inlineStr">
        <is>
          <t>04.B.12</t>
        </is>
      </c>
      <c r="B33" s="14" t="inlineStr">
        <is>
          <t>Electric water heater (as schedule)</t>
        </is>
      </c>
      <c r="C33" s="7" t="inlineStr">
        <is>
          <t>BS EN 60335</t>
        </is>
      </c>
      <c r="D33" s="7" t="inlineStr">
        <is>
          <t>No</t>
        </is>
      </c>
      <c r="E33" s="7" t="inlineStr"/>
      <c r="F33" s="15" t="inlineStr"/>
      <c r="G33" s="15" t="inlineStr"/>
      <c r="H33" s="15" t="inlineStr"/>
      <c r="I33" s="15">
        <f>F33+G33+H33</f>
        <v/>
      </c>
      <c r="J33" s="15" t="inlineStr"/>
      <c r="K33" s="14" t="inlineStr"/>
      <c r="L33" s="14" t="inlineStr"/>
    </row>
    <row r="34" ht="18" customHeight="1">
      <c r="A34" s="3" t="inlineStr">
        <is>
          <t>04.B.13</t>
        </is>
      </c>
      <c r="B34" s="11" t="inlineStr">
        <is>
          <t>Gate / ball / check valves - as schedule</t>
        </is>
      </c>
      <c r="C34" s="3" t="inlineStr">
        <is>
          <t>BS EN 1074</t>
        </is>
      </c>
      <c r="D34" s="3" t="inlineStr">
        <is>
          <t>No</t>
        </is>
      </c>
      <c r="E34" s="3" t="inlineStr"/>
      <c r="F34" s="12" t="inlineStr"/>
      <c r="G34" s="12" t="inlineStr"/>
      <c r="H34" s="12" t="inlineStr"/>
      <c r="I34" s="12">
        <f>F34+G34+H34</f>
        <v/>
      </c>
      <c r="J34" s="12" t="inlineStr"/>
      <c r="K34" s="11" t="inlineStr"/>
      <c r="L34" s="11" t="inlineStr"/>
    </row>
    <row r="35" ht="20" customHeight="1">
      <c r="A35" s="17" t="inlineStr">
        <is>
          <t>SUBTOTAL – B. PLUMBING &amp; DRAINAGE WORKS</t>
        </is>
      </c>
      <c r="J35" s="18">
        <f>SUM(J22:J35)</f>
        <v/>
      </c>
      <c r="K35" s="19" t="n"/>
      <c r="L35" s="19" t="n"/>
    </row>
    <row r="37" ht="18" customHeight="1">
      <c r="A37" s="20" t="inlineStr"/>
      <c r="B37" s="21" t="inlineStr">
        <is>
          <t>C. FIREFIGHTING WORKS</t>
        </is>
      </c>
    </row>
    <row r="38" ht="18" customHeight="1">
      <c r="A38" s="3" t="inlineStr">
        <is>
          <t>04.C.01</t>
        </is>
      </c>
      <c r="B38" s="11" t="inlineStr">
        <is>
          <t>Wet riser system piping (MS GI schedule 40, red painted)</t>
        </is>
      </c>
      <c r="C38" s="3" t="inlineStr">
        <is>
          <t>NFPA 14</t>
        </is>
      </c>
      <c r="D38" s="3" t="inlineStr">
        <is>
          <t>LM</t>
        </is>
      </c>
      <c r="E38" s="3" t="inlineStr"/>
      <c r="F38" s="12" t="inlineStr"/>
      <c r="G38" s="12" t="inlineStr"/>
      <c r="H38" s="12" t="inlineStr"/>
      <c r="I38" s="12">
        <f>F38+G38+H38</f>
        <v/>
      </c>
      <c r="J38" s="12" t="inlineStr"/>
      <c r="K38" s="11" t="inlineStr"/>
      <c r="L38" s="11" t="inlineStr"/>
    </row>
    <row r="39" ht="18" customHeight="1">
      <c r="A39" s="7" t="inlineStr">
        <is>
          <t>04.C.02</t>
        </is>
      </c>
      <c r="B39" s="14" t="inlineStr">
        <is>
          <t>Fire hose reel cabinet - recessed / surface mounted</t>
        </is>
      </c>
      <c r="C39" s="7" t="inlineStr">
        <is>
          <t>BS EN 671</t>
        </is>
      </c>
      <c r="D39" s="7" t="inlineStr">
        <is>
          <t>No</t>
        </is>
      </c>
      <c r="E39" s="7" t="inlineStr"/>
      <c r="F39" s="15" t="inlineStr"/>
      <c r="G39" s="15" t="inlineStr"/>
      <c r="H39" s="15" t="inlineStr"/>
      <c r="I39" s="15">
        <f>F39+G39+H39</f>
        <v/>
      </c>
      <c r="J39" s="15" t="inlineStr"/>
      <c r="K39" s="14" t="inlineStr"/>
      <c r="L39" s="14" t="inlineStr"/>
    </row>
    <row r="40" ht="18" customHeight="1">
      <c r="A40" s="3" t="inlineStr">
        <is>
          <t>04.C.03</t>
        </is>
      </c>
      <c r="B40" s="11" t="inlineStr">
        <is>
          <t>Fire extinguisher - 9kg CO2 / dry powder (as schedule)</t>
        </is>
      </c>
      <c r="C40" s="3" t="inlineStr">
        <is>
          <t>BS EN 3</t>
        </is>
      </c>
      <c r="D40" s="3" t="inlineStr">
        <is>
          <t>No</t>
        </is>
      </c>
      <c r="E40" s="3" t="inlineStr"/>
      <c r="F40" s="12" t="inlineStr"/>
      <c r="G40" s="12" t="inlineStr"/>
      <c r="H40" s="12" t="inlineStr"/>
      <c r="I40" s="12">
        <f>F40+G40+H40</f>
        <v/>
      </c>
      <c r="J40" s="12" t="inlineStr"/>
      <c r="K40" s="11" t="inlineStr"/>
      <c r="L40" s="11" t="inlineStr"/>
    </row>
    <row r="41" ht="18" customHeight="1">
      <c r="A41" s="7" t="inlineStr">
        <is>
          <t>04.C.04</t>
        </is>
      </c>
      <c r="B41" s="14" t="inlineStr">
        <is>
          <t>Automatic wet pipe sprinkler system - head, piping, controls</t>
        </is>
      </c>
      <c r="C41" s="7" t="inlineStr">
        <is>
          <t>NFPA 13</t>
        </is>
      </c>
      <c r="D41" s="7" t="inlineStr">
        <is>
          <t>No</t>
        </is>
      </c>
      <c r="E41" s="7" t="inlineStr"/>
      <c r="F41" s="15" t="inlineStr"/>
      <c r="G41" s="15" t="inlineStr"/>
      <c r="H41" s="15" t="inlineStr"/>
      <c r="I41" s="15">
        <f>F41+G41+H41</f>
        <v/>
      </c>
      <c r="J41" s="15" t="inlineStr"/>
      <c r="K41" s="14" t="inlineStr"/>
      <c r="L41" s="14" t="inlineStr"/>
    </row>
    <row r="42" ht="18" customHeight="1">
      <c r="A42" s="3" t="inlineStr">
        <is>
          <t>04.C.05</t>
        </is>
      </c>
      <c r="B42" s="11" t="inlineStr">
        <is>
          <t>Sprinkler head - pendant / upright (as schedule)</t>
        </is>
      </c>
      <c r="C42" s="3" t="inlineStr">
        <is>
          <t>NFPA 13</t>
        </is>
      </c>
      <c r="D42" s="3" t="inlineStr">
        <is>
          <t>No</t>
        </is>
      </c>
      <c r="E42" s="3" t="inlineStr"/>
      <c r="F42" s="12" t="inlineStr"/>
      <c r="G42" s="12" t="inlineStr"/>
      <c r="H42" s="12" t="inlineStr"/>
      <c r="I42" s="12">
        <f>F42+G42+H42</f>
        <v/>
      </c>
      <c r="J42" s="12" t="inlineStr"/>
      <c r="K42" s="11" t="inlineStr"/>
      <c r="L42" s="11" t="inlineStr"/>
    </row>
    <row r="43" ht="18" customHeight="1">
      <c r="A43" s="7" t="inlineStr">
        <is>
          <t>04.C.06</t>
        </is>
      </c>
      <c r="B43" s="14" t="inlineStr">
        <is>
          <t>Fire pump set - jockey + duty + diesel standby with controller</t>
        </is>
      </c>
      <c r="C43" s="7" t="inlineStr">
        <is>
          <t>NFPA 20</t>
        </is>
      </c>
      <c r="D43" s="7" t="inlineStr">
        <is>
          <t>LS</t>
        </is>
      </c>
      <c r="E43" s="7" t="inlineStr"/>
      <c r="F43" s="15" t="inlineStr"/>
      <c r="G43" s="15" t="inlineStr"/>
      <c r="H43" s="15" t="inlineStr"/>
      <c r="I43" s="15">
        <f>F43+G43+H43</f>
        <v/>
      </c>
      <c r="J43" s="15" t="inlineStr"/>
      <c r="K43" s="14" t="inlineStr"/>
      <c r="L43" s="14" t="inlineStr"/>
    </row>
    <row r="44" ht="18" customHeight="1">
      <c r="A44" s="3" t="inlineStr">
        <is>
          <t>04.C.07</t>
        </is>
      </c>
      <c r="B44" s="11" t="inlineStr">
        <is>
          <t>Break tank for fire system (GRP)</t>
        </is>
      </c>
      <c r="C44" s="3" t="inlineStr">
        <is>
          <t>BS 9251</t>
        </is>
      </c>
      <c r="D44" s="3" t="inlineStr">
        <is>
          <t>No</t>
        </is>
      </c>
      <c r="E44" s="3" t="inlineStr"/>
      <c r="F44" s="12" t="inlineStr"/>
      <c r="G44" s="12" t="inlineStr"/>
      <c r="H44" s="12" t="inlineStr"/>
      <c r="I44" s="12">
        <f>F44+G44+H44</f>
        <v/>
      </c>
      <c r="J44" s="12" t="inlineStr"/>
      <c r="K44" s="11" t="inlineStr"/>
      <c r="L44" s="11" t="inlineStr"/>
    </row>
    <row r="45" ht="18" customHeight="1">
      <c r="A45" s="7" t="inlineStr">
        <is>
          <t>04.C.08</t>
        </is>
      </c>
      <c r="B45" s="14" t="inlineStr">
        <is>
          <t>Heat / smoke detector and manual call point (for M&amp;E plant rooms)</t>
        </is>
      </c>
      <c r="C45" s="7" t="inlineStr">
        <is>
          <t>BS EN 54</t>
        </is>
      </c>
      <c r="D45" s="7" t="inlineStr">
        <is>
          <t>No</t>
        </is>
      </c>
      <c r="E45" s="7" t="inlineStr"/>
      <c r="F45" s="15" t="inlineStr"/>
      <c r="G45" s="15" t="inlineStr"/>
      <c r="H45" s="15" t="inlineStr"/>
      <c r="I45" s="15">
        <f>F45+G45+H45</f>
        <v/>
      </c>
      <c r="J45" s="15" t="inlineStr"/>
      <c r="K45" s="14" t="inlineStr"/>
      <c r="L45" s="14" t="inlineStr"/>
    </row>
    <row r="46" ht="20" customHeight="1">
      <c r="A46" s="17" t="inlineStr">
        <is>
          <t>SUBTOTAL – C. FIREFIGHTING WORKS</t>
        </is>
      </c>
      <c r="J46" s="18">
        <f>SUM(J38:J46)</f>
        <v/>
      </c>
      <c r="K46" s="19" t="n"/>
      <c r="L46" s="19" t="n"/>
    </row>
    <row r="48" ht="18" customHeight="1">
      <c r="A48" s="20" t="inlineStr"/>
      <c r="B48" s="21" t="inlineStr">
        <is>
          <t>D. GAS WORKS</t>
        </is>
      </c>
    </row>
    <row r="49" ht="18" customHeight="1">
      <c r="A49" s="3" t="inlineStr">
        <is>
          <t>04.D.01</t>
        </is>
      </c>
      <c r="B49" s="11" t="inlineStr">
        <is>
          <t>LPG / piped gas distribution pipework (copper, as schedule)</t>
        </is>
      </c>
      <c r="C49" s="3" t="inlineStr">
        <is>
          <t>BS EN 1213</t>
        </is>
      </c>
      <c r="D49" s="3" t="inlineStr">
        <is>
          <t>LM</t>
        </is>
      </c>
      <c r="E49" s="3" t="inlineStr"/>
      <c r="F49" s="12" t="inlineStr"/>
      <c r="G49" s="12" t="inlineStr"/>
      <c r="H49" s="12" t="inlineStr"/>
      <c r="I49" s="12">
        <f>F49+G49+H49</f>
        <v/>
      </c>
      <c r="J49" s="12" t="inlineStr"/>
      <c r="K49" s="11" t="inlineStr"/>
      <c r="L49" s="11" t="inlineStr"/>
    </row>
    <row r="50" ht="18" customHeight="1">
      <c r="A50" s="7" t="inlineStr">
        <is>
          <t>04.D.02</t>
        </is>
      </c>
      <c r="B50" s="14" t="inlineStr">
        <is>
          <t>Gas meter, regulator and isolation valve - complete</t>
        </is>
      </c>
      <c r="C50" s="7" t="inlineStr">
        <is>
          <t>BS EN 1359</t>
        </is>
      </c>
      <c r="D50" s="7" t="inlineStr">
        <is>
          <t>No</t>
        </is>
      </c>
      <c r="E50" s="7" t="inlineStr"/>
      <c r="F50" s="15" t="inlineStr"/>
      <c r="G50" s="15" t="inlineStr"/>
      <c r="H50" s="15" t="inlineStr"/>
      <c r="I50" s="15">
        <f>F50+G50+H50</f>
        <v/>
      </c>
      <c r="J50" s="15" t="inlineStr"/>
      <c r="K50" s="14" t="inlineStr"/>
      <c r="L50" s="14" t="inlineStr"/>
    </row>
    <row r="51" ht="18" customHeight="1">
      <c r="A51" s="3" t="inlineStr">
        <is>
          <t>04.D.03</t>
        </is>
      </c>
      <c r="B51" s="11" t="inlineStr">
        <is>
          <t>Gas detection system (for plant rooms / kitchens)</t>
        </is>
      </c>
      <c r="C51" s="3" t="inlineStr">
        <is>
          <t>BS EN 50194</t>
        </is>
      </c>
      <c r="D51" s="3" t="inlineStr">
        <is>
          <t>LS</t>
        </is>
      </c>
      <c r="E51" s="3" t="inlineStr"/>
      <c r="F51" s="12" t="inlineStr"/>
      <c r="G51" s="12" t="inlineStr"/>
      <c r="H51" s="12" t="inlineStr"/>
      <c r="I51" s="12">
        <f>F51+G51+H51</f>
        <v/>
      </c>
      <c r="J51" s="12" t="inlineStr"/>
      <c r="K51" s="11" t="inlineStr"/>
      <c r="L51" s="11" t="inlineStr"/>
    </row>
    <row r="52" ht="20" customHeight="1">
      <c r="A52" s="17" t="inlineStr">
        <is>
          <t>SUBTOTAL – D. GAS WORKS</t>
        </is>
      </c>
      <c r="J52" s="18">
        <f>SUM(J49:J52)</f>
        <v/>
      </c>
      <c r="K52" s="19" t="n"/>
      <c r="L52" s="19" t="n"/>
    </row>
  </sheetData>
  <mergeCells count="9">
    <mergeCell ref="A52:I52"/>
    <mergeCell ref="A19:I19"/>
    <mergeCell ref="B21:L21"/>
    <mergeCell ref="B48:L48"/>
    <mergeCell ref="A46:I46"/>
    <mergeCell ref="A1:L1"/>
    <mergeCell ref="B3:L3"/>
    <mergeCell ref="B37:L37"/>
    <mergeCell ref="A35:I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8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0" customWidth="1" min="11" max="11"/>
    <col width="18" customWidth="1" min="12" max="12"/>
  </cols>
  <sheetData>
    <row r="1" ht="22" customHeight="1">
      <c r="A1" s="1" t="inlineStr">
        <is>
          <t>DIVISION 03  –  ARCHITECTURAL &amp; FINISHES WORKS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2" t="inlineStr">
        <is>
          <t>Qty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2" t="inlineStr">
        <is>
          <t>Amount</t>
        </is>
      </c>
      <c r="K2" s="2" t="inlineStr">
        <is>
          <t>Notes / Spec Compliance</t>
        </is>
      </c>
      <c r="L2" s="2" t="inlineStr">
        <is>
          <t>BIM Tag / STING ID</t>
        </is>
      </c>
    </row>
    <row r="3" ht="18" customHeight="1">
      <c r="A3" s="20" t="inlineStr"/>
      <c r="B3" s="21" t="inlineStr">
        <is>
          <t>A. PLASTERING &amp; RENDERING</t>
        </is>
      </c>
    </row>
    <row r="4" ht="18" customHeight="1">
      <c r="A4" s="3" t="inlineStr">
        <is>
          <t>03.A.01</t>
        </is>
      </c>
      <c r="B4" s="11" t="inlineStr">
        <is>
          <t>Internal cement-sand plaster 3 coats 15mm thick</t>
        </is>
      </c>
      <c r="C4" s="3" t="inlineStr">
        <is>
          <t>NRM2 28.1</t>
        </is>
      </c>
      <c r="D4" s="3" t="inlineStr">
        <is>
          <t>m²</t>
        </is>
      </c>
      <c r="E4" s="3" t="inlineStr"/>
      <c r="F4" s="12" t="inlineStr"/>
      <c r="G4" s="12" t="inlineStr"/>
      <c r="H4" s="12" t="inlineStr"/>
      <c r="I4" s="12">
        <f>F4+G4+H4</f>
        <v/>
      </c>
      <c r="J4" s="12" t="inlineStr"/>
      <c r="K4" s="11" t="inlineStr"/>
      <c r="L4" s="11" t="inlineStr"/>
    </row>
    <row r="5" ht="18" customHeight="1">
      <c r="A5" s="7" t="inlineStr">
        <is>
          <t>03.A.02</t>
        </is>
      </c>
      <c r="B5" s="14" t="inlineStr">
        <is>
          <t>External render – 4 coats with waterproof additive</t>
        </is>
      </c>
      <c r="C5" s="7" t="inlineStr">
        <is>
          <t>NRM2 28.2</t>
        </is>
      </c>
      <c r="D5" s="7" t="inlineStr">
        <is>
          <t>m²</t>
        </is>
      </c>
      <c r="E5" s="7" t="inlineStr"/>
      <c r="F5" s="15" t="inlineStr"/>
      <c r="G5" s="15" t="inlineStr"/>
      <c r="H5" s="15" t="inlineStr"/>
      <c r="I5" s="15">
        <f>F5+G5+H5</f>
        <v/>
      </c>
      <c r="J5" s="15" t="inlineStr"/>
      <c r="K5" s="14" t="inlineStr"/>
      <c r="L5" s="14" t="inlineStr"/>
    </row>
    <row r="6" ht="18" customHeight="1">
      <c r="A6" s="3" t="inlineStr">
        <is>
          <t>03.A.03</t>
        </is>
      </c>
      <c r="B6" s="11" t="inlineStr">
        <is>
          <t>Skim coat / setting coat to ceilings</t>
        </is>
      </c>
      <c r="C6" s="3" t="inlineStr">
        <is>
          <t>NRM2 28.3</t>
        </is>
      </c>
      <c r="D6" s="3" t="inlineStr">
        <is>
          <t>m²</t>
        </is>
      </c>
      <c r="E6" s="3" t="inlineStr"/>
      <c r="F6" s="12" t="inlineStr"/>
      <c r="G6" s="12" t="inlineStr"/>
      <c r="H6" s="12" t="inlineStr"/>
      <c r="I6" s="12">
        <f>F6+G6+H6</f>
        <v/>
      </c>
      <c r="J6" s="12" t="inlineStr"/>
      <c r="K6" s="11" t="inlineStr"/>
      <c r="L6" s="11" t="inlineStr"/>
    </row>
    <row r="7" ht="20" customHeight="1">
      <c r="A7" s="17" t="inlineStr">
        <is>
          <t>SUBTOTAL – A. PLASTERING &amp; RENDERING</t>
        </is>
      </c>
      <c r="J7" s="18">
        <f>SUM(J4:J7)</f>
        <v/>
      </c>
      <c r="K7" s="19" t="n"/>
      <c r="L7" s="19" t="n"/>
    </row>
    <row r="9" ht="18" customHeight="1">
      <c r="A9" s="20" t="inlineStr"/>
      <c r="B9" s="21" t="inlineStr">
        <is>
          <t>B. FLOOR FINISHES</t>
        </is>
      </c>
    </row>
    <row r="10" ht="18" customHeight="1">
      <c r="A10" s="3" t="inlineStr">
        <is>
          <t>03.B.01</t>
        </is>
      </c>
      <c r="B10" s="11" t="inlineStr">
        <is>
          <t>Porcelain floor tiles 600x600mm (non-slip)</t>
        </is>
      </c>
      <c r="C10" s="3" t="inlineStr">
        <is>
          <t>JS 374</t>
        </is>
      </c>
      <c r="D10" s="3" t="inlineStr">
        <is>
          <t>m2</t>
        </is>
      </c>
      <c r="E10" s="3" t="inlineStr"/>
      <c r="F10" s="12" t="inlineStr"/>
      <c r="G10" s="12" t="inlineStr"/>
      <c r="H10" s="12" t="inlineStr"/>
      <c r="I10" s="12">
        <f>F10+G10+H10</f>
        <v/>
      </c>
      <c r="J10" s="12" t="inlineStr"/>
      <c r="K10" s="11" t="inlineStr"/>
      <c r="L10" s="11" t="inlineStr"/>
    </row>
    <row r="11" ht="18" customHeight="1">
      <c r="A11" s="7" t="inlineStr">
        <is>
          <t>03.B.02</t>
        </is>
      </c>
      <c r="B11" s="14" t="inlineStr">
        <is>
          <t>Porcelain skirting 600x80mm</t>
        </is>
      </c>
      <c r="C11" s="7" t="inlineStr">
        <is>
          <t>JS 374</t>
        </is>
      </c>
      <c r="D11" s="7" t="inlineStr">
        <is>
          <t>LM</t>
        </is>
      </c>
      <c r="E11" s="7" t="inlineStr"/>
      <c r="F11" s="15" t="inlineStr"/>
      <c r="G11" s="15" t="inlineStr"/>
      <c r="H11" s="15" t="inlineStr"/>
      <c r="I11" s="15">
        <f>F11+G11+H11</f>
        <v/>
      </c>
      <c r="J11" s="15" t="inlineStr"/>
      <c r="K11" s="14" t="inlineStr"/>
      <c r="L11" s="14" t="inlineStr"/>
    </row>
    <row r="12" ht="18" customHeight="1">
      <c r="A12" s="3" t="inlineStr">
        <is>
          <t>03.B.03</t>
        </is>
      </c>
      <c r="B12" s="11" t="inlineStr">
        <is>
          <t>Ceramic floor tiles 300x300mm - wet areas</t>
        </is>
      </c>
      <c r="C12" s="3" t="inlineStr">
        <is>
          <t>JS 374</t>
        </is>
      </c>
      <c r="D12" s="3" t="inlineStr">
        <is>
          <t>m2</t>
        </is>
      </c>
      <c r="E12" s="3" t="inlineStr"/>
      <c r="F12" s="12" t="inlineStr"/>
      <c r="G12" s="12" t="inlineStr"/>
      <c r="H12" s="12" t="inlineStr"/>
      <c r="I12" s="12">
        <f>F12+G12+H12</f>
        <v/>
      </c>
      <c r="J12" s="12" t="inlineStr"/>
      <c r="K12" s="11" t="inlineStr"/>
      <c r="L12" s="11" t="inlineStr"/>
    </row>
    <row r="13" ht="18" customHeight="1">
      <c r="A13" s="7" t="inlineStr">
        <is>
          <t>03.B.04</t>
        </is>
      </c>
      <c r="B13" s="14" t="inlineStr">
        <is>
          <t>Epoxy floor coating - plant rooms and parking</t>
        </is>
      </c>
      <c r="C13" s="7" t="inlineStr">
        <is>
          <t>ISO 8501</t>
        </is>
      </c>
      <c r="D13" s="7" t="inlineStr">
        <is>
          <t>m2</t>
        </is>
      </c>
      <c r="E13" s="7" t="inlineStr"/>
      <c r="F13" s="15" t="inlineStr"/>
      <c r="G13" s="15" t="inlineStr"/>
      <c r="H13" s="15" t="inlineStr"/>
      <c r="I13" s="15">
        <f>F13+G13+H13</f>
        <v/>
      </c>
      <c r="J13" s="15" t="inlineStr"/>
      <c r="K13" s="14" t="inlineStr"/>
      <c r="L13" s="14" t="inlineStr"/>
    </row>
    <row r="14" ht="18" customHeight="1">
      <c r="A14" s="3" t="inlineStr">
        <is>
          <t>03.B.05</t>
        </is>
      </c>
      <c r="B14" s="11" t="inlineStr">
        <is>
          <t>Marble window sills 30mm thick (polished)</t>
        </is>
      </c>
      <c r="C14" s="3" t="inlineStr">
        <is>
          <t>NRM2 27</t>
        </is>
      </c>
      <c r="D14" s="3" t="inlineStr">
        <is>
          <t>m2</t>
        </is>
      </c>
      <c r="E14" s="3" t="inlineStr"/>
      <c r="F14" s="12" t="inlineStr"/>
      <c r="G14" s="12" t="inlineStr"/>
      <c r="H14" s="12" t="inlineStr"/>
      <c r="I14" s="12">
        <f>F14+G14+H14</f>
        <v/>
      </c>
      <c r="J14" s="12" t="inlineStr"/>
      <c r="K14" s="11" t="inlineStr"/>
      <c r="L14" s="11" t="inlineStr"/>
    </row>
    <row r="15" ht="20" customHeight="1">
      <c r="A15" s="17" t="inlineStr">
        <is>
          <t>SUBTOTAL – B. FLOOR FINISHES</t>
        </is>
      </c>
      <c r="J15" s="18">
        <f>SUM(J10:J15)</f>
        <v/>
      </c>
      <c r="K15" s="19" t="n"/>
      <c r="L15" s="19" t="n"/>
    </row>
    <row r="17" ht="18" customHeight="1">
      <c r="A17" s="20" t="inlineStr"/>
      <c r="B17" s="21" t="inlineStr">
        <is>
          <t>C. WALL FINISHES</t>
        </is>
      </c>
    </row>
    <row r="18" ht="18" customHeight="1">
      <c r="A18" s="3" t="inlineStr">
        <is>
          <t>03.C.01</t>
        </is>
      </c>
      <c r="B18" s="11" t="inlineStr">
        <is>
          <t>Ceramic wall tiles 300x600mm - wet areas and kitchen</t>
        </is>
      </c>
      <c r="C18" s="3" t="inlineStr">
        <is>
          <t>JS 374</t>
        </is>
      </c>
      <c r="D18" s="3" t="inlineStr">
        <is>
          <t>m2</t>
        </is>
      </c>
      <c r="E18" s="3" t="inlineStr"/>
      <c r="F18" s="12" t="inlineStr"/>
      <c r="G18" s="12" t="inlineStr"/>
      <c r="H18" s="12" t="inlineStr"/>
      <c r="I18" s="12">
        <f>F18+G18+H18</f>
        <v/>
      </c>
      <c r="J18" s="12" t="inlineStr"/>
      <c r="K18" s="11" t="inlineStr"/>
      <c r="L18" s="11" t="inlineStr"/>
    </row>
    <row r="19" ht="18" customHeight="1">
      <c r="A19" s="7" t="inlineStr">
        <is>
          <t>03.C.02</t>
        </is>
      </c>
      <c r="B19" s="14" t="inlineStr">
        <is>
          <t>Emulsion paint - 2 coats internally (walls and ceilings)</t>
        </is>
      </c>
      <c r="C19" s="7" t="inlineStr">
        <is>
          <t>NRM2 29</t>
        </is>
      </c>
      <c r="D19" s="7" t="inlineStr">
        <is>
          <t>m2</t>
        </is>
      </c>
      <c r="E19" s="7" t="inlineStr"/>
      <c r="F19" s="15" t="inlineStr"/>
      <c r="G19" s="15" t="inlineStr"/>
      <c r="H19" s="15" t="inlineStr"/>
      <c r="I19" s="15">
        <f>F19+G19+H19</f>
        <v/>
      </c>
      <c r="J19" s="15" t="inlineStr"/>
      <c r="K19" s="14" t="inlineStr"/>
      <c r="L19" s="14" t="inlineStr"/>
    </row>
    <row r="20" ht="18" customHeight="1">
      <c r="A20" s="3" t="inlineStr">
        <is>
          <t>03.C.03</t>
        </is>
      </c>
      <c r="B20" s="11" t="inlineStr">
        <is>
          <t>Masonry paint - 2 coats externally</t>
        </is>
      </c>
      <c r="C20" s="3" t="inlineStr">
        <is>
          <t>NRM2 29</t>
        </is>
      </c>
      <c r="D20" s="3" t="inlineStr">
        <is>
          <t>m2</t>
        </is>
      </c>
      <c r="E20" s="3" t="inlineStr"/>
      <c r="F20" s="12" t="inlineStr"/>
      <c r="G20" s="12" t="inlineStr"/>
      <c r="H20" s="12" t="inlineStr"/>
      <c r="I20" s="12">
        <f>F20+G20+H20</f>
        <v/>
      </c>
      <c r="J20" s="12" t="inlineStr"/>
      <c r="K20" s="11" t="inlineStr"/>
      <c r="L20" s="11" t="inlineStr"/>
    </row>
    <row r="21" ht="20" customHeight="1">
      <c r="A21" s="17" t="inlineStr">
        <is>
          <t>SUBTOTAL – C. WALL FINISHES</t>
        </is>
      </c>
      <c r="J21" s="18">
        <f>SUM(J18:J21)</f>
        <v/>
      </c>
      <c r="K21" s="19" t="n"/>
      <c r="L21" s="19" t="n"/>
    </row>
    <row r="23" ht="18" customHeight="1">
      <c r="A23" s="20" t="inlineStr"/>
      <c r="B23" s="21" t="inlineStr">
        <is>
          <t>D. CEILINGS</t>
        </is>
      </c>
    </row>
    <row r="24" ht="18" customHeight="1">
      <c r="A24" s="3" t="inlineStr">
        <is>
          <t>03.D.01</t>
        </is>
      </c>
      <c r="B24" s="11" t="inlineStr">
        <is>
          <t>Suspended gypsum board ceiling on galv. framing</t>
        </is>
      </c>
      <c r="C24" s="3" t="inlineStr">
        <is>
          <t>NRM2 30</t>
        </is>
      </c>
      <c r="D24" s="3" t="inlineStr">
        <is>
          <t>m2</t>
        </is>
      </c>
      <c r="E24" s="3" t="inlineStr"/>
      <c r="F24" s="12" t="inlineStr"/>
      <c r="G24" s="12" t="inlineStr"/>
      <c r="H24" s="12" t="inlineStr"/>
      <c r="I24" s="12">
        <f>F24+G24+H24</f>
        <v/>
      </c>
      <c r="J24" s="12" t="inlineStr"/>
      <c r="K24" s="11" t="inlineStr"/>
      <c r="L24" s="11" t="inlineStr"/>
    </row>
    <row r="25" ht="18" customHeight="1">
      <c r="A25" s="7" t="inlineStr">
        <is>
          <t>03.D.02</t>
        </is>
      </c>
      <c r="B25" s="14" t="inlineStr">
        <is>
          <t>Suspended mineral fibre tile ceiling 600x600mm</t>
        </is>
      </c>
      <c r="C25" s="7" t="inlineStr">
        <is>
          <t>NRM2 30</t>
        </is>
      </c>
      <c r="D25" s="7" t="inlineStr">
        <is>
          <t>m2</t>
        </is>
      </c>
      <c r="E25" s="7" t="inlineStr"/>
      <c r="F25" s="15" t="inlineStr"/>
      <c r="G25" s="15" t="inlineStr"/>
      <c r="H25" s="15" t="inlineStr"/>
      <c r="I25" s="15">
        <f>F25+G25+H25</f>
        <v/>
      </c>
      <c r="J25" s="15" t="inlineStr"/>
      <c r="K25" s="14" t="inlineStr"/>
      <c r="L25" s="14" t="inlineStr"/>
    </row>
    <row r="26" ht="20" customHeight="1">
      <c r="A26" s="17" t="inlineStr">
        <is>
          <t>SUBTOTAL – D. CEILINGS</t>
        </is>
      </c>
      <c r="J26" s="18">
        <f>SUM(J24:J26)</f>
        <v/>
      </c>
      <c r="K26" s="19" t="n"/>
      <c r="L26" s="19" t="n"/>
    </row>
    <row r="28" ht="18" customHeight="1">
      <c r="A28" s="20" t="inlineStr"/>
      <c r="B28" s="21" t="inlineStr">
        <is>
          <t>E. DOORS &amp; WINDOWS</t>
        </is>
      </c>
    </row>
    <row r="29" ht="18" customHeight="1">
      <c r="A29" s="3" t="inlineStr">
        <is>
          <t>03.E.01</t>
        </is>
      </c>
      <c r="B29" s="11" t="inlineStr">
        <is>
          <t>Solid core timber door with frame and hardware (rated)</t>
        </is>
      </c>
      <c r="C29" s="3" t="inlineStr">
        <is>
          <t>NRM2 23</t>
        </is>
      </c>
      <c r="D29" s="3" t="inlineStr">
        <is>
          <t>No</t>
        </is>
      </c>
      <c r="E29" s="3" t="inlineStr"/>
      <c r="F29" s="12" t="inlineStr"/>
      <c r="G29" s="12" t="inlineStr"/>
      <c r="H29" s="12" t="inlineStr"/>
      <c r="I29" s="12">
        <f>F29+G29+H29</f>
        <v/>
      </c>
      <c r="J29" s="12" t="inlineStr"/>
      <c r="K29" s="11" t="inlineStr"/>
      <c r="L29" s="11" t="inlineStr"/>
    </row>
    <row r="30" ht="18" customHeight="1">
      <c r="A30" s="7" t="inlineStr">
        <is>
          <t>03.E.02</t>
        </is>
      </c>
      <c r="B30" s="14" t="inlineStr">
        <is>
          <t>Aluminium double-glazed window system - powder coated</t>
        </is>
      </c>
      <c r="C30" s="7" t="inlineStr">
        <is>
          <t>NRM2 24</t>
        </is>
      </c>
      <c r="D30" s="7" t="inlineStr">
        <is>
          <t>m2</t>
        </is>
      </c>
      <c r="E30" s="7" t="inlineStr"/>
      <c r="F30" s="15" t="inlineStr"/>
      <c r="G30" s="15" t="inlineStr"/>
      <c r="H30" s="15" t="inlineStr"/>
      <c r="I30" s="15">
        <f>F30+G30+H30</f>
        <v/>
      </c>
      <c r="J30" s="15" t="inlineStr"/>
      <c r="K30" s="14" t="inlineStr"/>
      <c r="L30" s="14" t="inlineStr"/>
    </row>
    <row r="31" ht="18" customHeight="1">
      <c r="A31" s="3" t="inlineStr">
        <is>
          <t>03.E.03</t>
        </is>
      </c>
      <c r="B31" s="11" t="inlineStr">
        <is>
          <t>Aluminium curtain-wall / glazed facade system</t>
        </is>
      </c>
      <c r="C31" s="3" t="inlineStr">
        <is>
          <t>NRM2 24</t>
        </is>
      </c>
      <c r="D31" s="3" t="inlineStr">
        <is>
          <t>m2</t>
        </is>
      </c>
      <c r="E31" s="3" t="inlineStr"/>
      <c r="F31" s="12" t="inlineStr"/>
      <c r="G31" s="12" t="inlineStr"/>
      <c r="H31" s="12" t="inlineStr"/>
      <c r="I31" s="12">
        <f>F31+G31+H31</f>
        <v/>
      </c>
      <c r="J31" s="12" t="inlineStr"/>
      <c r="K31" s="11" t="inlineStr"/>
      <c r="L31" s="11" t="inlineStr"/>
    </row>
    <row r="32" ht="18" customHeight="1">
      <c r="A32" s="7" t="inlineStr">
        <is>
          <t>03.E.04</t>
        </is>
      </c>
      <c r="B32" s="14" t="inlineStr">
        <is>
          <t>Roller shutter door - manual (plant rooms)</t>
        </is>
      </c>
      <c r="C32" s="7" t="inlineStr">
        <is>
          <t>NRM2 23</t>
        </is>
      </c>
      <c r="D32" s="7" t="inlineStr">
        <is>
          <t>No</t>
        </is>
      </c>
      <c r="E32" s="7" t="inlineStr"/>
      <c r="F32" s="15" t="inlineStr"/>
      <c r="G32" s="15" t="inlineStr"/>
      <c r="H32" s="15" t="inlineStr"/>
      <c r="I32" s="15">
        <f>F32+G32+H32</f>
        <v/>
      </c>
      <c r="J32" s="15" t="inlineStr"/>
      <c r="K32" s="14" t="inlineStr"/>
      <c r="L32" s="14" t="inlineStr"/>
    </row>
    <row r="33" ht="18" customHeight="1">
      <c r="A33" s="3" t="inlineStr">
        <is>
          <t>03.E.05</t>
        </is>
      </c>
      <c r="B33" s="11" t="inlineStr">
        <is>
          <t>Access / security door - steel, galvanised</t>
        </is>
      </c>
      <c r="C33" s="3" t="inlineStr">
        <is>
          <t>NRM2 23</t>
        </is>
      </c>
      <c r="D33" s="3" t="inlineStr">
        <is>
          <t>No</t>
        </is>
      </c>
      <c r="E33" s="3" t="inlineStr"/>
      <c r="F33" s="12" t="inlineStr"/>
      <c r="G33" s="12" t="inlineStr"/>
      <c r="H33" s="12" t="inlineStr"/>
      <c r="I33" s="12">
        <f>F33+G33+H33</f>
        <v/>
      </c>
      <c r="J33" s="12" t="inlineStr"/>
      <c r="K33" s="11" t="inlineStr"/>
      <c r="L33" s="11" t="inlineStr"/>
    </row>
    <row r="34" ht="20" customHeight="1">
      <c r="A34" s="17" t="inlineStr">
        <is>
          <t>SUBTOTAL – E. DOORS &amp; WINDOWS</t>
        </is>
      </c>
      <c r="J34" s="18">
        <f>SUM(J29:J34)</f>
        <v/>
      </c>
      <c r="K34" s="19" t="n"/>
      <c r="L34" s="19" t="n"/>
    </row>
    <row r="36" ht="18" customHeight="1">
      <c r="A36" s="20" t="inlineStr"/>
      <c r="B36" s="21" t="inlineStr">
        <is>
          <t>F. EXTERNAL WORKS</t>
        </is>
      </c>
    </row>
    <row r="37" ht="18" customHeight="1">
      <c r="A37" s="3" t="inlineStr">
        <is>
          <t>03.F.01</t>
        </is>
      </c>
      <c r="B37" s="11" t="inlineStr">
        <is>
          <t>External paving - interlocking concrete blocks 80mm thick</t>
        </is>
      </c>
      <c r="C37" s="3" t="inlineStr">
        <is>
          <t>BS 7533</t>
        </is>
      </c>
      <c r="D37" s="3" t="inlineStr">
        <is>
          <t>m2</t>
        </is>
      </c>
      <c r="E37" s="3" t="inlineStr"/>
      <c r="F37" s="12" t="inlineStr"/>
      <c r="G37" s="12" t="inlineStr"/>
      <c r="H37" s="12" t="inlineStr"/>
      <c r="I37" s="12">
        <f>F37+G37+H37</f>
        <v/>
      </c>
      <c r="J37" s="12" t="inlineStr"/>
      <c r="K37" s="11" t="inlineStr"/>
      <c r="L37" s="11" t="inlineStr"/>
    </row>
    <row r="38" ht="18" customHeight="1">
      <c r="A38" s="7" t="inlineStr">
        <is>
          <t>03.F.02</t>
        </is>
      </c>
      <c r="B38" s="14" t="inlineStr">
        <is>
          <t>Perimeter boundary wall (1.8m high block, capped)</t>
        </is>
      </c>
      <c r="C38" s="7" t="inlineStr">
        <is>
          <t>NRM2 36</t>
        </is>
      </c>
      <c r="D38" s="7" t="inlineStr">
        <is>
          <t>LM</t>
        </is>
      </c>
      <c r="E38" s="7" t="inlineStr"/>
      <c r="F38" s="15" t="inlineStr"/>
      <c r="G38" s="15" t="inlineStr"/>
      <c r="H38" s="15" t="inlineStr"/>
      <c r="I38" s="15">
        <f>F38+G38+H38</f>
        <v/>
      </c>
      <c r="J38" s="15" t="inlineStr"/>
      <c r="K38" s="14" t="inlineStr"/>
      <c r="L38" s="14" t="inlineStr"/>
    </row>
    <row r="39" ht="18" customHeight="1">
      <c r="A39" s="3" t="inlineStr">
        <is>
          <t>03.F.03</t>
        </is>
      </c>
      <c r="B39" s="11" t="inlineStr">
        <is>
          <t>Vehicle access gate - automated with controls</t>
        </is>
      </c>
      <c r="C39" s="3" t="inlineStr">
        <is>
          <t>NRM2 36</t>
        </is>
      </c>
      <c r="D39" s="3" t="inlineStr">
        <is>
          <t>No</t>
        </is>
      </c>
      <c r="E39" s="3" t="inlineStr"/>
      <c r="F39" s="12" t="inlineStr"/>
      <c r="G39" s="12" t="inlineStr"/>
      <c r="H39" s="12" t="inlineStr"/>
      <c r="I39" s="12">
        <f>F39+G39+H39</f>
        <v/>
      </c>
      <c r="J39" s="12" t="inlineStr"/>
      <c r="K39" s="11" t="inlineStr"/>
      <c r="L39" s="11" t="inlineStr"/>
    </row>
    <row r="40" ht="18" customHeight="1">
      <c r="A40" s="7" t="inlineStr">
        <is>
          <t>03.F.04</t>
        </is>
      </c>
      <c r="B40" s="14" t="inlineStr">
        <is>
          <t>Landscaping and topsoil reinstatement</t>
        </is>
      </c>
      <c r="C40" s="7" t="inlineStr">
        <is>
          <t>NRM2 37</t>
        </is>
      </c>
      <c r="D40" s="7" t="inlineStr">
        <is>
          <t>m2</t>
        </is>
      </c>
      <c r="E40" s="7" t="inlineStr"/>
      <c r="F40" s="15" t="inlineStr"/>
      <c r="G40" s="15" t="inlineStr"/>
      <c r="H40" s="15" t="inlineStr"/>
      <c r="I40" s="15">
        <f>F40+G40+H40</f>
        <v/>
      </c>
      <c r="J40" s="15" t="inlineStr"/>
      <c r="K40" s="14" t="inlineStr"/>
      <c r="L40" s="14" t="inlineStr"/>
    </row>
    <row r="41" ht="20" customHeight="1">
      <c r="A41" s="17" t="inlineStr">
        <is>
          <t>SUBTOTAL – F. EXTERNAL WORKS</t>
        </is>
      </c>
      <c r="J41" s="18">
        <f>SUM(J37:J41)</f>
        <v/>
      </c>
      <c r="K41" s="19" t="n"/>
      <c r="L41" s="19" t="n"/>
    </row>
  </sheetData>
  <mergeCells count="13">
    <mergeCell ref="A15:I15"/>
    <mergeCell ref="A7:I7"/>
    <mergeCell ref="A26:I26"/>
    <mergeCell ref="A41:I41"/>
    <mergeCell ref="A21:I21"/>
    <mergeCell ref="A1:L1"/>
    <mergeCell ref="B23:L23"/>
    <mergeCell ref="B3:L3"/>
    <mergeCell ref="B28:L28"/>
    <mergeCell ref="B36:L36"/>
    <mergeCell ref="A34:I34"/>
    <mergeCell ref="B17:L17"/>
    <mergeCell ref="B9:L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8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0" customWidth="1" min="11" max="11"/>
    <col width="18" customWidth="1" min="12" max="12"/>
  </cols>
  <sheetData>
    <row r="1" ht="22" customHeight="1">
      <c r="A1" s="1" t="inlineStr">
        <is>
          <t>DIVISION 02  –  CIVIL &amp; STRUCTURAL WORKS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2" t="inlineStr">
        <is>
          <t>Qty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2" t="inlineStr">
        <is>
          <t>Amount</t>
        </is>
      </c>
      <c r="K2" s="2" t="inlineStr">
        <is>
          <t>Notes / Spec Compliance</t>
        </is>
      </c>
      <c r="L2" s="2" t="inlineStr">
        <is>
          <t>BIM Tag / STING ID</t>
        </is>
      </c>
    </row>
    <row r="3" ht="18" customHeight="1">
      <c r="A3" s="20" t="inlineStr"/>
      <c r="B3" s="21" t="inlineStr">
        <is>
          <t>A. SUBSTRUCTURE / EARTHWORKS</t>
        </is>
      </c>
    </row>
    <row r="4" ht="18" customHeight="1">
      <c r="A4" s="3" t="inlineStr">
        <is>
          <t>02.A.01</t>
        </is>
      </c>
      <c r="B4" s="11" t="inlineStr">
        <is>
          <t>Site clearance and grubbing</t>
        </is>
      </c>
      <c r="C4" s="3" t="inlineStr">
        <is>
          <t>NRM2 5.1</t>
        </is>
      </c>
      <c r="D4" s="3" t="inlineStr">
        <is>
          <t>m²</t>
        </is>
      </c>
      <c r="E4" s="3" t="inlineStr"/>
      <c r="F4" s="12" t="inlineStr"/>
      <c r="G4" s="12" t="inlineStr"/>
      <c r="H4" s="12" t="inlineStr"/>
      <c r="I4" s="12">
        <f>F4+G4+H4</f>
        <v/>
      </c>
      <c r="J4" s="12" t="inlineStr"/>
      <c r="K4" s="11" t="inlineStr"/>
      <c r="L4" s="11" t="inlineStr"/>
    </row>
    <row r="5" ht="18" customHeight="1">
      <c r="A5" s="7" t="inlineStr">
        <is>
          <t>02.A.02</t>
        </is>
      </c>
      <c r="B5" s="14" t="inlineStr">
        <is>
          <t>General excavation – bulk earthworks in any material</t>
        </is>
      </c>
      <c r="C5" s="7" t="inlineStr">
        <is>
          <t>NRM2 5.4</t>
        </is>
      </c>
      <c r="D5" s="7" t="inlineStr">
        <is>
          <t>m³</t>
        </is>
      </c>
      <c r="E5" s="7" t="inlineStr"/>
      <c r="F5" s="15" t="inlineStr"/>
      <c r="G5" s="15" t="inlineStr"/>
      <c r="H5" s="15" t="inlineStr"/>
      <c r="I5" s="15">
        <f>F5+G5+H5</f>
        <v/>
      </c>
      <c r="J5" s="15" t="inlineStr"/>
      <c r="K5" s="14" t="inlineStr"/>
      <c r="L5" s="14" t="inlineStr"/>
    </row>
    <row r="6" ht="18" customHeight="1">
      <c r="A6" s="3" t="inlineStr">
        <is>
          <t>02.A.03</t>
        </is>
      </c>
      <c r="B6" s="11" t="inlineStr">
        <is>
          <t>Excavation to foundations, footings and tie beams</t>
        </is>
      </c>
      <c r="C6" s="3" t="inlineStr">
        <is>
          <t>NRM2 5.5</t>
        </is>
      </c>
      <c r="D6" s="3" t="inlineStr">
        <is>
          <t>m³</t>
        </is>
      </c>
      <c r="E6" s="3" t="inlineStr"/>
      <c r="F6" s="12" t="inlineStr"/>
      <c r="G6" s="12" t="inlineStr"/>
      <c r="H6" s="12" t="inlineStr"/>
      <c r="I6" s="12">
        <f>F6+G6+H6</f>
        <v/>
      </c>
      <c r="J6" s="12" t="inlineStr"/>
      <c r="K6" s="11" t="inlineStr"/>
      <c r="L6" s="11" t="inlineStr"/>
    </row>
    <row r="7" ht="18" customHeight="1">
      <c r="A7" s="7" t="inlineStr">
        <is>
          <t>02.A.04</t>
        </is>
      </c>
      <c r="B7" s="14" t="inlineStr">
        <is>
          <t>Backfilling with approved material (compacted, 200mm layers)</t>
        </is>
      </c>
      <c r="C7" s="7" t="inlineStr">
        <is>
          <t>NRM2 5.6</t>
        </is>
      </c>
      <c r="D7" s="7" t="inlineStr">
        <is>
          <t>m³</t>
        </is>
      </c>
      <c r="E7" s="7" t="inlineStr"/>
      <c r="F7" s="15" t="inlineStr"/>
      <c r="G7" s="15" t="inlineStr"/>
      <c r="H7" s="15" t="inlineStr"/>
      <c r="I7" s="15">
        <f>F7+G7+H7</f>
        <v/>
      </c>
      <c r="J7" s="15" t="inlineStr"/>
      <c r="K7" s="14" t="inlineStr"/>
      <c r="L7" s="14" t="inlineStr"/>
    </row>
    <row r="8" ht="18" customHeight="1">
      <c r="A8" s="3" t="inlineStr">
        <is>
          <t>02.A.05</t>
        </is>
      </c>
      <c r="B8" s="11" t="inlineStr">
        <is>
          <t>Dewatering as required</t>
        </is>
      </c>
      <c r="C8" s="3" t="inlineStr">
        <is>
          <t>NRM2 5.7</t>
        </is>
      </c>
      <c r="D8" s="3" t="inlineStr">
        <is>
          <t>Wk</t>
        </is>
      </c>
      <c r="E8" s="3" t="inlineStr"/>
      <c r="F8" s="12" t="inlineStr"/>
      <c r="G8" s="12" t="inlineStr"/>
      <c r="H8" s="12" t="inlineStr"/>
      <c r="I8" s="12">
        <f>F8+G8+H8</f>
        <v/>
      </c>
      <c r="J8" s="12" t="inlineStr"/>
      <c r="K8" s="11" t="inlineStr"/>
      <c r="L8" s="11" t="inlineStr"/>
    </row>
    <row r="9" ht="18" customHeight="1">
      <c r="A9" s="7" t="inlineStr">
        <is>
          <t>02.A.06</t>
        </is>
      </c>
      <c r="B9" s="14" t="inlineStr">
        <is>
          <t>Hardcore / crushed stone base 150mm thick (compacted)</t>
        </is>
      </c>
      <c r="C9" s="7" t="inlineStr">
        <is>
          <t>NRM2 5.8</t>
        </is>
      </c>
      <c r="D9" s="7" t="inlineStr">
        <is>
          <t>m²</t>
        </is>
      </c>
      <c r="E9" s="7" t="inlineStr"/>
      <c r="F9" s="15" t="inlineStr"/>
      <c r="G9" s="15" t="inlineStr"/>
      <c r="H9" s="15" t="inlineStr"/>
      <c r="I9" s="15">
        <f>F9+G9+H9</f>
        <v/>
      </c>
      <c r="J9" s="15" t="inlineStr"/>
      <c r="K9" s="14" t="inlineStr"/>
      <c r="L9" s="14" t="inlineStr"/>
    </row>
    <row r="10" ht="18" customHeight="1">
      <c r="A10" s="3" t="inlineStr">
        <is>
          <t>02.A.07</t>
        </is>
      </c>
      <c r="B10" s="11" t="inlineStr">
        <is>
          <t>Blinding concrete Grade C15, 75mm thick</t>
        </is>
      </c>
      <c r="C10" s="3" t="inlineStr">
        <is>
          <t>NRM2 11.1</t>
        </is>
      </c>
      <c r="D10" s="3" t="inlineStr">
        <is>
          <t>m²</t>
        </is>
      </c>
      <c r="E10" s="3" t="inlineStr"/>
      <c r="F10" s="12" t="inlineStr"/>
      <c r="G10" s="12" t="inlineStr"/>
      <c r="H10" s="12" t="inlineStr"/>
      <c r="I10" s="12">
        <f>F10+G10+H10</f>
        <v/>
      </c>
      <c r="J10" s="12" t="inlineStr"/>
      <c r="K10" s="11" t="inlineStr"/>
      <c r="L10" s="11" t="inlineStr"/>
    </row>
    <row r="11" ht="18" customHeight="1">
      <c r="A11" s="7" t="inlineStr">
        <is>
          <t>02.A.08</t>
        </is>
      </c>
      <c r="B11" s="14" t="inlineStr">
        <is>
          <t>Anti-termite treatment to ground floor</t>
        </is>
      </c>
      <c r="C11" s="7" t="inlineStr">
        <is>
          <t>Local</t>
        </is>
      </c>
      <c r="D11" s="7" t="inlineStr">
        <is>
          <t>m²</t>
        </is>
      </c>
      <c r="E11" s="7" t="inlineStr"/>
      <c r="F11" s="15" t="inlineStr"/>
      <c r="G11" s="15" t="inlineStr"/>
      <c r="H11" s="15" t="inlineStr"/>
      <c r="I11" s="15">
        <f>F11+G11+H11</f>
        <v/>
      </c>
      <c r="J11" s="15" t="inlineStr"/>
      <c r="K11" s="14" t="inlineStr"/>
      <c r="L11" s="14" t="inlineStr"/>
    </row>
    <row r="12" ht="20" customHeight="1">
      <c r="A12" s="17" t="inlineStr">
        <is>
          <t>SUBTOTAL – A. SUBSTRUCTURE / EARTHWORKS</t>
        </is>
      </c>
      <c r="J12" s="18">
        <f>SUM(J4:J12)</f>
        <v/>
      </c>
      <c r="K12" s="19" t="n"/>
      <c r="L12" s="19" t="n"/>
    </row>
    <row r="14" ht="18" customHeight="1">
      <c r="A14" s="20" t="inlineStr"/>
      <c r="B14" s="21" t="inlineStr">
        <is>
          <t>B. CONCRETE WORKS</t>
        </is>
      </c>
    </row>
    <row r="15" ht="18" customHeight="1">
      <c r="A15" s="3" t="inlineStr">
        <is>
          <t>02.B.01</t>
        </is>
      </c>
      <c r="B15" s="11" t="inlineStr">
        <is>
          <t>Plain concrete C15 – blinding and non-structural fill</t>
        </is>
      </c>
      <c r="C15" s="3" t="inlineStr">
        <is>
          <t>BS 8500</t>
        </is>
      </c>
      <c r="D15" s="3" t="inlineStr">
        <is>
          <t>m³</t>
        </is>
      </c>
      <c r="E15" s="3" t="inlineStr"/>
      <c r="F15" s="12" t="inlineStr"/>
      <c r="G15" s="12" t="inlineStr"/>
      <c r="H15" s="12" t="inlineStr"/>
      <c r="I15" s="12">
        <f>F15+G15+H15</f>
        <v/>
      </c>
      <c r="J15" s="12" t="inlineStr"/>
      <c r="K15" s="11" t="inlineStr"/>
      <c r="L15" s="11" t="inlineStr"/>
    </row>
    <row r="16" ht="18" customHeight="1">
      <c r="A16" s="7" t="inlineStr">
        <is>
          <t>02.B.02</t>
        </is>
      </c>
      <c r="B16" s="14" t="inlineStr">
        <is>
          <t>Reinforced concrete C25 – foundations and ground beams</t>
        </is>
      </c>
      <c r="C16" s="7" t="inlineStr">
        <is>
          <t>BS 8500</t>
        </is>
      </c>
      <c r="D16" s="7" t="inlineStr">
        <is>
          <t>m³</t>
        </is>
      </c>
      <c r="E16" s="7" t="inlineStr"/>
      <c r="F16" s="15" t="inlineStr"/>
      <c r="G16" s="15" t="inlineStr"/>
      <c r="H16" s="15" t="inlineStr"/>
      <c r="I16" s="15">
        <f>F16+G16+H16</f>
        <v/>
      </c>
      <c r="J16" s="15" t="inlineStr"/>
      <c r="K16" s="14" t="inlineStr"/>
      <c r="L16" s="14" t="inlineStr"/>
    </row>
    <row r="17" ht="18" customHeight="1">
      <c r="A17" s="3" t="inlineStr">
        <is>
          <t>02.B.03</t>
        </is>
      </c>
      <c r="B17" s="11" t="inlineStr">
        <is>
          <t>Reinforced concrete C25 – columns</t>
        </is>
      </c>
      <c r="C17" s="3" t="inlineStr">
        <is>
          <t>BS 8500</t>
        </is>
      </c>
      <c r="D17" s="3" t="inlineStr">
        <is>
          <t>m³</t>
        </is>
      </c>
      <c r="E17" s="3" t="inlineStr"/>
      <c r="F17" s="12" t="inlineStr"/>
      <c r="G17" s="12" t="inlineStr"/>
      <c r="H17" s="12" t="inlineStr"/>
      <c r="I17" s="12">
        <f>F17+G17+H17</f>
        <v/>
      </c>
      <c r="J17" s="12" t="inlineStr"/>
      <c r="K17" s="11" t="inlineStr"/>
      <c r="L17" s="11" t="inlineStr"/>
    </row>
    <row r="18" ht="18" customHeight="1">
      <c r="A18" s="7" t="inlineStr">
        <is>
          <t>02.B.04</t>
        </is>
      </c>
      <c r="B18" s="14" t="inlineStr">
        <is>
          <t>Reinforced concrete C25 – suspended slabs and beams</t>
        </is>
      </c>
      <c r="C18" s="7" t="inlineStr">
        <is>
          <t>BS 8500</t>
        </is>
      </c>
      <c r="D18" s="7" t="inlineStr">
        <is>
          <t>m³</t>
        </is>
      </c>
      <c r="E18" s="7" t="inlineStr"/>
      <c r="F18" s="15" t="inlineStr"/>
      <c r="G18" s="15" t="inlineStr"/>
      <c r="H18" s="15" t="inlineStr"/>
      <c r="I18" s="15">
        <f>F18+G18+H18</f>
        <v/>
      </c>
      <c r="J18" s="15" t="inlineStr"/>
      <c r="K18" s="14" t="inlineStr"/>
      <c r="L18" s="14" t="inlineStr"/>
    </row>
    <row r="19" ht="18" customHeight="1">
      <c r="A19" s="3" t="inlineStr">
        <is>
          <t>02.B.05</t>
        </is>
      </c>
      <c r="B19" s="11" t="inlineStr">
        <is>
          <t>Reinforced concrete C25 – staircase</t>
        </is>
      </c>
      <c r="C19" s="3" t="inlineStr">
        <is>
          <t>BS 8500</t>
        </is>
      </c>
      <c r="D19" s="3" t="inlineStr">
        <is>
          <t>m³</t>
        </is>
      </c>
      <c r="E19" s="3" t="inlineStr"/>
      <c r="F19" s="12" t="inlineStr"/>
      <c r="G19" s="12" t="inlineStr"/>
      <c r="H19" s="12" t="inlineStr"/>
      <c r="I19" s="12">
        <f>F19+G19+H19</f>
        <v/>
      </c>
      <c r="J19" s="12" t="inlineStr"/>
      <c r="K19" s="11" t="inlineStr"/>
      <c r="L19" s="11" t="inlineStr"/>
    </row>
    <row r="20" ht="18" customHeight="1">
      <c r="A20" s="7" t="inlineStr">
        <is>
          <t>02.B.06</t>
        </is>
      </c>
      <c r="B20" s="14" t="inlineStr">
        <is>
          <t>Reinforced concrete C25 – walls / shear walls</t>
        </is>
      </c>
      <c r="C20" s="7" t="inlineStr">
        <is>
          <t>BS 8500</t>
        </is>
      </c>
      <c r="D20" s="7" t="inlineStr">
        <is>
          <t>m³</t>
        </is>
      </c>
      <c r="E20" s="7" t="inlineStr"/>
      <c r="F20" s="15" t="inlineStr"/>
      <c r="G20" s="15" t="inlineStr"/>
      <c r="H20" s="15" t="inlineStr"/>
      <c r="I20" s="15">
        <f>F20+G20+H20</f>
        <v/>
      </c>
      <c r="J20" s="15" t="inlineStr"/>
      <c r="K20" s="14" t="inlineStr"/>
      <c r="L20" s="14" t="inlineStr"/>
    </row>
    <row r="21" ht="18" customHeight="1">
      <c r="A21" s="3" t="inlineStr">
        <is>
          <t>02.B.07</t>
        </is>
      </c>
      <c r="B21" s="11" t="inlineStr">
        <is>
          <t>High-tensile deformed steel reinforcement Fy=500 MPa</t>
        </is>
      </c>
      <c r="C21" s="3" t="inlineStr">
        <is>
          <t>BS 4449</t>
        </is>
      </c>
      <c r="D21" s="3" t="inlineStr">
        <is>
          <t>ton</t>
        </is>
      </c>
      <c r="E21" s="3" t="inlineStr"/>
      <c r="F21" s="12" t="inlineStr"/>
      <c r="G21" s="12" t="inlineStr"/>
      <c r="H21" s="12" t="inlineStr"/>
      <c r="I21" s="12">
        <f>F21+G21+H21</f>
        <v/>
      </c>
      <c r="J21" s="12" t="inlineStr"/>
      <c r="K21" s="11" t="inlineStr"/>
      <c r="L21" s="11" t="inlineStr"/>
    </row>
    <row r="22" ht="18" customHeight="1">
      <c r="A22" s="7" t="inlineStr">
        <is>
          <t>02.B.08</t>
        </is>
      </c>
      <c r="B22" s="14" t="inlineStr">
        <is>
          <t>Formwork – to soffit of slabs</t>
        </is>
      </c>
      <c r="C22" s="7" t="inlineStr">
        <is>
          <t>NRM2 11.2</t>
        </is>
      </c>
      <c r="D22" s="7" t="inlineStr">
        <is>
          <t>m²</t>
        </is>
      </c>
      <c r="E22" s="7" t="inlineStr"/>
      <c r="F22" s="15" t="inlineStr"/>
      <c r="G22" s="15" t="inlineStr"/>
      <c r="H22" s="15" t="inlineStr"/>
      <c r="I22" s="15">
        <f>F22+G22+H22</f>
        <v/>
      </c>
      <c r="J22" s="15" t="inlineStr"/>
      <c r="K22" s="14" t="inlineStr"/>
      <c r="L22" s="14" t="inlineStr"/>
    </row>
    <row r="23" ht="18" customHeight="1">
      <c r="A23" s="3" t="inlineStr">
        <is>
          <t>02.B.09</t>
        </is>
      </c>
      <c r="B23" s="11" t="inlineStr">
        <is>
          <t>Formwork – to sides of beams and columns</t>
        </is>
      </c>
      <c r="C23" s="3" t="inlineStr">
        <is>
          <t>NRM2 11.2</t>
        </is>
      </c>
      <c r="D23" s="3" t="inlineStr">
        <is>
          <t>m²</t>
        </is>
      </c>
      <c r="E23" s="3" t="inlineStr"/>
      <c r="F23" s="12" t="inlineStr"/>
      <c r="G23" s="12" t="inlineStr"/>
      <c r="H23" s="12" t="inlineStr"/>
      <c r="I23" s="12">
        <f>F23+G23+H23</f>
        <v/>
      </c>
      <c r="J23" s="12" t="inlineStr"/>
      <c r="K23" s="11" t="inlineStr"/>
      <c r="L23" s="11" t="inlineStr"/>
    </row>
    <row r="24" ht="18" customHeight="1">
      <c r="A24" s="7" t="inlineStr">
        <is>
          <t>02.B.10</t>
        </is>
      </c>
      <c r="B24" s="14" t="inlineStr">
        <is>
          <t>Waterproof SBS bituminous membrane 4mm (below grade)</t>
        </is>
      </c>
      <c r="C24" s="7" t="inlineStr">
        <is>
          <t>ASTM D5726</t>
        </is>
      </c>
      <c r="D24" s="7" t="inlineStr">
        <is>
          <t>m²</t>
        </is>
      </c>
      <c r="E24" s="7" t="inlineStr"/>
      <c r="F24" s="15" t="inlineStr"/>
      <c r="G24" s="15" t="inlineStr"/>
      <c r="H24" s="15" t="inlineStr"/>
      <c r="I24" s="15">
        <f>F24+G24+H24</f>
        <v/>
      </c>
      <c r="J24" s="15" t="inlineStr"/>
      <c r="K24" s="14" t="inlineStr"/>
      <c r="L24" s="14" t="inlineStr"/>
    </row>
    <row r="25" ht="20" customHeight="1">
      <c r="A25" s="17" t="inlineStr">
        <is>
          <t>SUBTOTAL – B. CONCRETE WORKS</t>
        </is>
      </c>
      <c r="J25" s="18">
        <f>SUM(J15:J25)</f>
        <v/>
      </c>
      <c r="K25" s="19" t="n"/>
      <c r="L25" s="19" t="n"/>
    </row>
    <row r="27" ht="18" customHeight="1">
      <c r="A27" s="20" t="inlineStr"/>
      <c r="B27" s="21" t="inlineStr">
        <is>
          <t>C. MASONRY WORKS</t>
        </is>
      </c>
    </row>
    <row r="28" ht="18" customHeight="1">
      <c r="A28" s="3" t="inlineStr">
        <is>
          <t>02.C.01</t>
        </is>
      </c>
      <c r="B28" s="11" t="inlineStr">
        <is>
          <t>200mm concrete block wall (external structural)</t>
        </is>
      </c>
      <c r="C28" s="3" t="inlineStr">
        <is>
          <t>BS EN 771</t>
        </is>
      </c>
      <c r="D28" s="3" t="inlineStr">
        <is>
          <t>m²</t>
        </is>
      </c>
      <c r="E28" s="3" t="inlineStr"/>
      <c r="F28" s="12" t="inlineStr"/>
      <c r="G28" s="12" t="inlineStr"/>
      <c r="H28" s="12" t="inlineStr"/>
      <c r="I28" s="12">
        <f>F28+G28+H28</f>
        <v/>
      </c>
      <c r="J28" s="12" t="inlineStr"/>
      <c r="K28" s="11" t="inlineStr"/>
      <c r="L28" s="11" t="inlineStr"/>
    </row>
    <row r="29" ht="18" customHeight="1">
      <c r="A29" s="7" t="inlineStr">
        <is>
          <t>02.C.02</t>
        </is>
      </c>
      <c r="B29" s="14" t="inlineStr">
        <is>
          <t>100mm concrete block partition wall (internal)</t>
        </is>
      </c>
      <c r="C29" s="7" t="inlineStr">
        <is>
          <t>BS EN 771</t>
        </is>
      </c>
      <c r="D29" s="7" t="inlineStr">
        <is>
          <t>m²</t>
        </is>
      </c>
      <c r="E29" s="7" t="inlineStr"/>
      <c r="F29" s="15" t="inlineStr"/>
      <c r="G29" s="15" t="inlineStr"/>
      <c r="H29" s="15" t="inlineStr"/>
      <c r="I29" s="15">
        <f>F29+G29+H29</f>
        <v/>
      </c>
      <c r="J29" s="15" t="inlineStr"/>
      <c r="K29" s="14" t="inlineStr"/>
      <c r="L29" s="14" t="inlineStr"/>
    </row>
    <row r="30" ht="18" customHeight="1">
      <c r="A30" s="3" t="inlineStr">
        <is>
          <t>02.C.03</t>
        </is>
      </c>
      <c r="B30" s="11" t="inlineStr">
        <is>
          <t>Face brick / fair-face finish (where shown)</t>
        </is>
      </c>
      <c r="C30" s="3" t="inlineStr">
        <is>
          <t>BS EN 771</t>
        </is>
      </c>
      <c r="D30" s="3" t="inlineStr">
        <is>
          <t>m²</t>
        </is>
      </c>
      <c r="E30" s="3" t="inlineStr"/>
      <c r="F30" s="12" t="inlineStr"/>
      <c r="G30" s="12" t="inlineStr"/>
      <c r="H30" s="12" t="inlineStr"/>
      <c r="I30" s="12">
        <f>F30+G30+H30</f>
        <v/>
      </c>
      <c r="J30" s="12" t="inlineStr"/>
      <c r="K30" s="11" t="inlineStr"/>
      <c r="L30" s="11" t="inlineStr"/>
    </row>
    <row r="31" ht="20" customHeight="1">
      <c r="A31" s="17" t="inlineStr">
        <is>
          <t>SUBTOTAL – C. MASONRY WORKS</t>
        </is>
      </c>
      <c r="J31" s="18">
        <f>SUM(J28:J31)</f>
        <v/>
      </c>
      <c r="K31" s="19" t="n"/>
      <c r="L31" s="19" t="n"/>
    </row>
  </sheetData>
  <mergeCells count="7">
    <mergeCell ref="A25:I25"/>
    <mergeCell ref="A1:L1"/>
    <mergeCell ref="B3:L3"/>
    <mergeCell ref="A31:I31"/>
    <mergeCell ref="B14:L14"/>
    <mergeCell ref="A12:I12"/>
    <mergeCell ref="B27:L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8" customWidth="1" min="4" max="4"/>
    <col width="8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0" customWidth="1" min="11" max="11"/>
    <col width="18" customWidth="1" min="12" max="12"/>
  </cols>
  <sheetData>
    <row r="1" ht="22" customHeight="1">
      <c r="A1" s="1" t="inlineStr">
        <is>
          <t>DIVISION 01  –  PRELIMINARY &amp; GENERAL ITEMS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2" t="inlineStr">
        <is>
          <t>Qty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2" t="inlineStr">
        <is>
          <t>Amount</t>
        </is>
      </c>
      <c r="K2" s="2" t="inlineStr">
        <is>
          <t>Notes / Spec Compliance</t>
        </is>
      </c>
      <c r="L2" s="2" t="inlineStr">
        <is>
          <t>BIM Tag / STING ID</t>
        </is>
      </c>
    </row>
    <row r="3" ht="18" customHeight="1">
      <c r="A3" s="3" t="inlineStr">
        <is>
          <t>01.01</t>
        </is>
      </c>
      <c r="B3" s="11" t="inlineStr">
        <is>
          <t>Mobilisation &amp; Demobilisation – Contractor's establishment on site</t>
        </is>
      </c>
      <c r="C3" s="3" t="inlineStr">
        <is>
          <t>FIDIC 4.22</t>
        </is>
      </c>
      <c r="D3" s="3" t="inlineStr">
        <is>
          <t>LS</t>
        </is>
      </c>
      <c r="E3" s="3" t="n">
        <v>1</v>
      </c>
      <c r="F3" s="12" t="inlineStr"/>
      <c r="G3" s="12" t="inlineStr"/>
      <c r="H3" s="12" t="inlineStr"/>
      <c r="I3" s="12">
        <f>F3+G3+H3</f>
        <v/>
      </c>
      <c r="J3" s="12">
        <f>E3*I3</f>
        <v/>
      </c>
      <c r="K3" s="11" t="inlineStr"/>
      <c r="L3" s="11" t="inlineStr"/>
    </row>
    <row r="4" ht="18" customHeight="1">
      <c r="A4" s="7" t="inlineStr">
        <is>
          <t>01.02</t>
        </is>
      </c>
      <c r="B4" s="14" t="inlineStr">
        <is>
          <t>Contractor's site management &amp; supervision staff</t>
        </is>
      </c>
      <c r="C4" s="7" t="inlineStr">
        <is>
          <t>FIDIC 6.1</t>
        </is>
      </c>
      <c r="D4" s="7" t="inlineStr">
        <is>
          <t>Wk</t>
        </is>
      </c>
      <c r="E4" s="7" t="inlineStr"/>
      <c r="F4" s="15" t="inlineStr"/>
      <c r="G4" s="15" t="inlineStr"/>
      <c r="H4" s="15" t="inlineStr"/>
      <c r="I4" s="15">
        <f>F4+G4+H4</f>
        <v/>
      </c>
      <c r="J4" s="15" t="inlineStr"/>
      <c r="K4" s="14" t="inlineStr"/>
      <c r="L4" s="14" t="inlineStr"/>
    </row>
    <row r="5" ht="18" customHeight="1">
      <c r="A5" s="3" t="inlineStr">
        <is>
          <t>01.03</t>
        </is>
      </c>
      <c r="B5" s="11" t="inlineStr">
        <is>
          <t>Temporary site office, ablutions, and storage facilities</t>
        </is>
      </c>
      <c r="C5" s="3" t="inlineStr">
        <is>
          <t>NRM2 1.1</t>
        </is>
      </c>
      <c r="D5" s="3" t="inlineStr">
        <is>
          <t>LS</t>
        </is>
      </c>
      <c r="E5" s="3" t="n">
        <v>1</v>
      </c>
      <c r="F5" s="12" t="inlineStr"/>
      <c r="G5" s="12" t="inlineStr"/>
      <c r="H5" s="12" t="inlineStr"/>
      <c r="I5" s="12">
        <f>F5+G5+H5</f>
        <v/>
      </c>
      <c r="J5" s="12">
        <f>E5*I5</f>
        <v/>
      </c>
      <c r="K5" s="11" t="inlineStr"/>
      <c r="L5" s="11" t="inlineStr"/>
    </row>
    <row r="6" ht="18" customHeight="1">
      <c r="A6" s="7" t="inlineStr">
        <is>
          <t>01.04</t>
        </is>
      </c>
      <c r="B6" s="14" t="inlineStr">
        <is>
          <t>Temporary power and water supply to site</t>
        </is>
      </c>
      <c r="C6" s="7" t="inlineStr">
        <is>
          <t>NRM2 1.2</t>
        </is>
      </c>
      <c r="D6" s="7" t="inlineStr">
        <is>
          <t>LS</t>
        </is>
      </c>
      <c r="E6" s="7" t="n">
        <v>1</v>
      </c>
      <c r="F6" s="15" t="inlineStr"/>
      <c r="G6" s="15" t="inlineStr"/>
      <c r="H6" s="15" t="inlineStr"/>
      <c r="I6" s="15">
        <f>F6+G6+H6</f>
        <v/>
      </c>
      <c r="J6" s="15">
        <f>E6*I6</f>
        <v/>
      </c>
      <c r="K6" s="14" t="inlineStr"/>
      <c r="L6" s="14" t="inlineStr"/>
    </row>
    <row r="7" ht="18" customHeight="1">
      <c r="A7" s="3" t="inlineStr">
        <is>
          <t>01.05</t>
        </is>
      </c>
      <c r="B7" s="11" t="inlineStr">
        <is>
          <t>Site security, fencing and hoardings</t>
        </is>
      </c>
      <c r="C7" s="3" t="inlineStr">
        <is>
          <t>NRM2 1.3</t>
        </is>
      </c>
      <c r="D7" s="3" t="inlineStr">
        <is>
          <t>LS</t>
        </is>
      </c>
      <c r="E7" s="3" t="n">
        <v>1</v>
      </c>
      <c r="F7" s="12" t="inlineStr"/>
      <c r="G7" s="12" t="inlineStr"/>
      <c r="H7" s="12" t="inlineStr"/>
      <c r="I7" s="12">
        <f>F7+G7+H7</f>
        <v/>
      </c>
      <c r="J7" s="12">
        <f>E7*I7</f>
        <v/>
      </c>
      <c r="K7" s="11" t="inlineStr"/>
      <c r="L7" s="11" t="inlineStr"/>
    </row>
    <row r="8" ht="18" customHeight="1">
      <c r="A8" s="7" t="inlineStr">
        <is>
          <t>01.06</t>
        </is>
      </c>
      <c r="B8" s="14" t="inlineStr">
        <is>
          <t>Health, Safety &amp; Environment (HSE) plan, equipment and signage</t>
        </is>
      </c>
      <c r="C8" s="7" t="inlineStr">
        <is>
          <t>ISO 45001</t>
        </is>
      </c>
      <c r="D8" s="7" t="inlineStr">
        <is>
          <t>LS</t>
        </is>
      </c>
      <c r="E8" s="7" t="n">
        <v>1</v>
      </c>
      <c r="F8" s="15" t="inlineStr"/>
      <c r="G8" s="15" t="inlineStr"/>
      <c r="H8" s="15" t="inlineStr"/>
      <c r="I8" s="15">
        <f>F8+G8+H8</f>
        <v/>
      </c>
      <c r="J8" s="15">
        <f>E8*I8</f>
        <v/>
      </c>
      <c r="K8" s="14" t="inlineStr"/>
      <c r="L8" s="14" t="inlineStr"/>
    </row>
    <row r="9" ht="18" customHeight="1">
      <c r="A9" s="3" t="inlineStr">
        <is>
          <t>01.07</t>
        </is>
      </c>
      <c r="B9" s="11" t="inlineStr">
        <is>
          <t>Traffic management during construction</t>
        </is>
      </c>
      <c r="C9" s="3" t="inlineStr">
        <is>
          <t>Local Regs</t>
        </is>
      </c>
      <c r="D9" s="3" t="inlineStr">
        <is>
          <t>LS</t>
        </is>
      </c>
      <c r="E9" s="3" t="n">
        <v>1</v>
      </c>
      <c r="F9" s="12" t="inlineStr"/>
      <c r="G9" s="12" t="inlineStr"/>
      <c r="H9" s="12" t="inlineStr"/>
      <c r="I9" s="12">
        <f>F9+G9+H9</f>
        <v/>
      </c>
      <c r="J9" s="12">
        <f>E9*I9</f>
        <v/>
      </c>
      <c r="K9" s="11" t="inlineStr"/>
      <c r="L9" s="11" t="inlineStr"/>
    </row>
    <row r="10" ht="18" customHeight="1">
      <c r="A10" s="7" t="inlineStr">
        <is>
          <t>01.08</t>
        </is>
      </c>
      <c r="B10" s="14" t="inlineStr">
        <is>
          <t>Site survey, setting out and as-built drawings</t>
        </is>
      </c>
      <c r="C10" s="7" t="inlineStr">
        <is>
          <t>ISO 17123</t>
        </is>
      </c>
      <c r="D10" s="7" t="inlineStr">
        <is>
          <t>LS</t>
        </is>
      </c>
      <c r="E10" s="7" t="n">
        <v>1</v>
      </c>
      <c r="F10" s="15" t="inlineStr"/>
      <c r="G10" s="15" t="inlineStr"/>
      <c r="H10" s="15" t="inlineStr"/>
      <c r="I10" s="15">
        <f>F10+G10+H10</f>
        <v/>
      </c>
      <c r="J10" s="15">
        <f>E10*I10</f>
        <v/>
      </c>
      <c r="K10" s="14" t="inlineStr"/>
      <c r="L10" s="14" t="inlineStr"/>
    </row>
    <row r="11" ht="18" customHeight="1">
      <c r="A11" s="3" t="inlineStr">
        <is>
          <t>01.09</t>
        </is>
      </c>
      <c r="B11" s="11" t="inlineStr">
        <is>
          <t>Insurance – contractor all-risk and public liability</t>
        </is>
      </c>
      <c r="C11" s="3" t="inlineStr">
        <is>
          <t>FIDIC 18</t>
        </is>
      </c>
      <c r="D11" s="3" t="inlineStr">
        <is>
          <t>LS</t>
        </is>
      </c>
      <c r="E11" s="3" t="n">
        <v>1</v>
      </c>
      <c r="F11" s="12" t="inlineStr"/>
      <c r="G11" s="12" t="inlineStr"/>
      <c r="H11" s="12" t="inlineStr"/>
      <c r="I11" s="12">
        <f>F11+G11+H11</f>
        <v/>
      </c>
      <c r="J11" s="12">
        <f>E11*I11</f>
        <v/>
      </c>
      <c r="K11" s="11" t="inlineStr"/>
      <c r="L11" s="11" t="inlineStr"/>
    </row>
    <row r="12" ht="18" customHeight="1">
      <c r="A12" s="7" t="inlineStr">
        <is>
          <t>01.10</t>
        </is>
      </c>
      <c r="B12" s="14" t="inlineStr">
        <is>
          <t>Performance bond / guarantee</t>
        </is>
      </c>
      <c r="C12" s="7" t="inlineStr">
        <is>
          <t>FIDIC 4.2</t>
        </is>
      </c>
      <c r="D12" s="7" t="inlineStr">
        <is>
          <t>LS</t>
        </is>
      </c>
      <c r="E12" s="7" t="n">
        <v>1</v>
      </c>
      <c r="F12" s="15" t="inlineStr"/>
      <c r="G12" s="15" t="inlineStr"/>
      <c r="H12" s="15" t="inlineStr"/>
      <c r="I12" s="15">
        <f>F12+G12+H12</f>
        <v/>
      </c>
      <c r="J12" s="15">
        <f>E12*I12</f>
        <v/>
      </c>
      <c r="K12" s="14" t="inlineStr"/>
      <c r="L12" s="14" t="inlineStr"/>
    </row>
    <row r="13" ht="18" customHeight="1">
      <c r="A13" s="3" t="inlineStr">
        <is>
          <t>01.11</t>
        </is>
      </c>
      <c r="B13" s="11" t="inlineStr">
        <is>
          <t>Testing and commissioning allowance (provisional)</t>
        </is>
      </c>
      <c r="C13" s="3" t="inlineStr">
        <is>
          <t>NRM2 2.7</t>
        </is>
      </c>
      <c r="D13" s="3" t="inlineStr">
        <is>
          <t>LS</t>
        </is>
      </c>
      <c r="E13" s="3" t="n">
        <v>1</v>
      </c>
      <c r="F13" s="12" t="inlineStr"/>
      <c r="G13" s="12" t="inlineStr"/>
      <c r="H13" s="12" t="inlineStr"/>
      <c r="I13" s="12">
        <f>F13+G13+H13</f>
        <v/>
      </c>
      <c r="J13" s="12">
        <f>E13*I13</f>
        <v/>
      </c>
      <c r="K13" s="11" t="inlineStr"/>
      <c r="L13" s="11" t="inlineStr"/>
    </row>
    <row r="14" ht="18" customHeight="1">
      <c r="A14" s="7" t="inlineStr">
        <is>
          <t>01.12</t>
        </is>
      </c>
      <c r="B14" s="14" t="inlineStr">
        <is>
          <t>Defects notification period and maintenance</t>
        </is>
      </c>
      <c r="C14" s="7" t="inlineStr">
        <is>
          <t>FIDIC 11</t>
        </is>
      </c>
      <c r="D14" s="7" t="inlineStr">
        <is>
          <t>Mth</t>
        </is>
      </c>
      <c r="E14" s="7" t="inlineStr"/>
      <c r="F14" s="15" t="inlineStr"/>
      <c r="G14" s="15" t="inlineStr"/>
      <c r="H14" s="15" t="inlineStr"/>
      <c r="I14" s="15">
        <f>F14+G14+H14</f>
        <v/>
      </c>
      <c r="J14" s="15" t="inlineStr"/>
      <c r="K14" s="14" t="inlineStr"/>
      <c r="L14" s="14" t="inlineStr"/>
    </row>
    <row r="15" ht="18" customHeight="1">
      <c r="A15" s="3" t="inlineStr">
        <is>
          <t>01.13</t>
        </is>
      </c>
      <c r="B15" s="11" t="inlineStr">
        <is>
          <t>Demolition and clearing of existing structures / site clearance</t>
        </is>
      </c>
      <c r="C15" s="3" t="inlineStr">
        <is>
          <t>NRM2 2.1</t>
        </is>
      </c>
      <c r="D15" s="3" t="inlineStr">
        <is>
          <t>LS</t>
        </is>
      </c>
      <c r="E15" s="3" t="n">
        <v>1</v>
      </c>
      <c r="F15" s="12" t="inlineStr"/>
      <c r="G15" s="12" t="inlineStr"/>
      <c r="H15" s="12" t="inlineStr"/>
      <c r="I15" s="12">
        <f>F15+G15+H15</f>
        <v/>
      </c>
      <c r="J15" s="12">
        <f>E15*I15</f>
        <v/>
      </c>
      <c r="K15" s="11" t="inlineStr"/>
      <c r="L15" s="11" t="inlineStr"/>
    </row>
    <row r="16" ht="18" customHeight="1">
      <c r="A16" s="7" t="inlineStr">
        <is>
          <t>01.14</t>
        </is>
      </c>
      <c r="B16" s="14" t="inlineStr">
        <is>
          <t>Waste management and disposal</t>
        </is>
      </c>
      <c r="C16" s="7" t="inlineStr">
        <is>
          <t>ISO 14001</t>
        </is>
      </c>
      <c r="D16" s="7" t="inlineStr">
        <is>
          <t>LS</t>
        </is>
      </c>
      <c r="E16" s="7" t="n">
        <v>1</v>
      </c>
      <c r="F16" s="15" t="inlineStr"/>
      <c r="G16" s="15" t="inlineStr"/>
      <c r="H16" s="15" t="inlineStr"/>
      <c r="I16" s="15">
        <f>F16+G16+H16</f>
        <v/>
      </c>
      <c r="J16" s="15">
        <f>E16*I16</f>
        <v/>
      </c>
      <c r="K16" s="14" t="inlineStr"/>
      <c r="L16" s="14" t="inlineStr"/>
    </row>
    <row r="17" ht="18" customHeight="1">
      <c r="A17" s="3" t="inlineStr">
        <is>
          <t>01.15</t>
        </is>
      </c>
      <c r="B17" s="11" t="inlineStr">
        <is>
          <t>BIM / STING coordination meetings and submissions</t>
        </is>
      </c>
      <c r="C17" s="3" t="inlineStr">
        <is>
          <t>ISO 19650</t>
        </is>
      </c>
      <c r="D17" s="3" t="inlineStr">
        <is>
          <t>LS</t>
        </is>
      </c>
      <c r="E17" s="3" t="n">
        <v>1</v>
      </c>
      <c r="F17" s="12" t="inlineStr"/>
      <c r="G17" s="12" t="inlineStr"/>
      <c r="H17" s="12" t="inlineStr"/>
      <c r="I17" s="12">
        <f>F17+G17+H17</f>
        <v/>
      </c>
      <c r="J17" s="12">
        <f>E17*I17</f>
        <v/>
      </c>
      <c r="K17" s="11" t="inlineStr"/>
      <c r="L17" s="11" t="inlineStr"/>
    </row>
    <row r="18" ht="20" customHeight="1">
      <c r="A18" s="17" t="inlineStr">
        <is>
          <t>SUBTOTAL – PRELIMINARY &amp; GENERAL</t>
        </is>
      </c>
      <c r="J18" s="18">
        <f>SUM(J3:J18)</f>
        <v/>
      </c>
      <c r="K18" s="19" t="n"/>
      <c r="L18" s="19" t="n"/>
    </row>
  </sheetData>
  <mergeCells count="2">
    <mergeCell ref="A18:I18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44" customWidth="1" min="3" max="3"/>
    <col width="20" customWidth="1" min="4" max="4"/>
    <col width="20" customWidth="1" min="5" max="5"/>
  </cols>
  <sheetData>
    <row r="1" ht="18" customHeight="1">
      <c r="A1" s="22" t="n"/>
      <c r="B1" s="22" t="n"/>
      <c r="C1" s="22" t="n"/>
      <c r="D1" s="22" t="n"/>
      <c r="E1" s="22" t="n"/>
    </row>
    <row r="2" ht="18" customHeight="1">
      <c r="A2" s="22" t="n"/>
      <c r="B2" s="23" t="inlineStr">
        <is>
          <t>BILL OF QUANTITIES
STANDARD TEMPLATE</t>
        </is>
      </c>
    </row>
    <row r="3" ht="18" customHeight="1">
      <c r="A3" s="22" t="n"/>
    </row>
    <row r="4" ht="18" customHeight="1">
      <c r="A4" s="22" t="n"/>
    </row>
    <row r="5" ht="18" customHeight="1">
      <c r="A5" s="22" t="n"/>
    </row>
    <row r="6" ht="18" customHeight="1">
      <c r="A6" s="22" t="n"/>
      <c r="B6" s="24" t="inlineStr">
        <is>
          <t>Stingtools Export Template  |  Based on NRM2 / FIDIC / ISO 15686 Standards</t>
        </is>
      </c>
    </row>
    <row r="8">
      <c r="B8" s="25" t="inlineStr">
        <is>
          <t>PROJECT INFORMATION</t>
        </is>
      </c>
      <c r="D8" s="25" t="inlineStr">
        <is>
          <t>DETAILS</t>
        </is>
      </c>
    </row>
    <row r="9" ht="20" customHeight="1">
      <c r="B9" s="26" t="inlineStr">
        <is>
          <t>Project Name</t>
        </is>
      </c>
      <c r="D9" s="27" t="inlineStr"/>
    </row>
    <row r="10" ht="20" customHeight="1">
      <c r="B10" s="28" t="inlineStr">
        <is>
          <t>Project Number</t>
        </is>
      </c>
      <c r="D10" s="27" t="inlineStr"/>
    </row>
    <row r="11" ht="20" customHeight="1">
      <c r="B11" s="26" t="inlineStr">
        <is>
          <t>Client / Employer</t>
        </is>
      </c>
      <c r="D11" s="27" t="inlineStr"/>
    </row>
    <row r="12" ht="20" customHeight="1">
      <c r="B12" s="28" t="inlineStr">
        <is>
          <t>Contractor</t>
        </is>
      </c>
      <c r="D12" s="27" t="inlineStr"/>
    </row>
    <row r="13" ht="20" customHeight="1">
      <c r="B13" s="26" t="inlineStr">
        <is>
          <t>Location / Site</t>
        </is>
      </c>
      <c r="D13" s="27" t="inlineStr"/>
    </row>
    <row r="14" ht="20" customHeight="1">
      <c r="B14" s="28" t="inlineStr">
        <is>
          <t>Contract Type</t>
        </is>
      </c>
      <c r="D14" s="27" t="inlineStr">
        <is>
          <t>FIDIC / NEC / Lump Sum / BOQ</t>
        </is>
      </c>
    </row>
    <row r="15" ht="20" customHeight="1">
      <c r="B15" s="26" t="inlineStr">
        <is>
          <t>Currency</t>
        </is>
      </c>
      <c r="D15" s="27" t="inlineStr">
        <is>
          <t>UGX / USD</t>
        </is>
      </c>
    </row>
    <row r="16" ht="20" customHeight="1">
      <c r="B16" s="28" t="inlineStr">
        <is>
          <t>Prepared By</t>
        </is>
      </c>
      <c r="D16" s="27" t="inlineStr"/>
    </row>
    <row r="17" ht="20" customHeight="1">
      <c r="B17" s="26" t="inlineStr">
        <is>
          <t>Checked By</t>
        </is>
      </c>
      <c r="D17" s="27" t="inlineStr"/>
    </row>
    <row r="18" ht="20" customHeight="1">
      <c r="B18" s="28" t="inlineStr">
        <is>
          <t>Date Issued</t>
        </is>
      </c>
      <c r="D18" s="27" t="inlineStr"/>
    </row>
    <row r="19" ht="20" customHeight="1">
      <c r="B19" s="26" t="inlineStr">
        <is>
          <t>Revision</t>
        </is>
      </c>
      <c r="D19" s="27" t="inlineStr">
        <is>
          <t>Rev 0</t>
        </is>
      </c>
    </row>
    <row r="20" ht="20" customHeight="1">
      <c r="B20" s="28" t="inlineStr">
        <is>
          <t>Standard Applied</t>
        </is>
      </c>
      <c r="D20" s="27" t="inlineStr">
        <is>
          <t>NRM2 / FIDIC  /  ISO 15686</t>
        </is>
      </c>
    </row>
    <row r="22">
      <c r="B22" s="9" t="inlineStr">
        <is>
          <t>INSTRUCTIONS:
• Fill in Project Information above before distributing
• Use sheet tabs below for each trade / division
• Enter quantities; rates populate automatically from the Rate Library tab
• All amounts auto-sum in the SUMMARY sheet</t>
        </is>
      </c>
    </row>
    <row r="23"/>
    <row r="24"/>
  </sheetData>
  <mergeCells count="29">
    <mergeCell ref="D20:E20"/>
    <mergeCell ref="B16:C16"/>
    <mergeCell ref="D10:E10"/>
    <mergeCell ref="D19:E19"/>
    <mergeCell ref="B6:E6"/>
    <mergeCell ref="B2:E5"/>
    <mergeCell ref="B18:C18"/>
    <mergeCell ref="B12:C12"/>
    <mergeCell ref="B11:C11"/>
    <mergeCell ref="D11:E11"/>
    <mergeCell ref="D13:E13"/>
    <mergeCell ref="B14:C14"/>
    <mergeCell ref="B17:C17"/>
    <mergeCell ref="B8:C8"/>
    <mergeCell ref="D17:E17"/>
    <mergeCell ref="B13:C13"/>
    <mergeCell ref="B22:E24"/>
    <mergeCell ref="D16:E16"/>
    <mergeCell ref="B19:C19"/>
    <mergeCell ref="B10:C10"/>
    <mergeCell ref="D18:E18"/>
    <mergeCell ref="B9:C9"/>
    <mergeCell ref="D9:E9"/>
    <mergeCell ref="D12:E12"/>
    <mergeCell ref="D8:E8"/>
    <mergeCell ref="B15:C15"/>
    <mergeCell ref="D15:E15"/>
    <mergeCell ref="B20:C20"/>
    <mergeCell ref="D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5" customWidth="1" min="4" max="4"/>
  </cols>
  <sheetData>
    <row r="1" ht="18" customHeight="1">
      <c r="A1" s="22" t="n"/>
      <c r="B1" s="22" t="n"/>
      <c r="C1" s="22" t="n"/>
      <c r="D1" s="22" t="n"/>
    </row>
    <row r="2" ht="18" customHeight="1">
      <c r="A2" s="29" t="inlineStr">
        <is>
          <t>BOQ  –  COST SUMMARY</t>
        </is>
      </c>
    </row>
    <row r="3" ht="18" customHeight="1"/>
    <row r="4" ht="18" customHeight="1">
      <c r="A4" s="22" t="n"/>
      <c r="B4" s="22" t="n"/>
      <c r="C4" s="22" t="n"/>
      <c r="D4" s="22" t="n"/>
    </row>
    <row r="5">
      <c r="A5" s="30" t="inlineStr">
        <is>
          <t>Division / Trade</t>
        </is>
      </c>
      <c r="C5" s="30" t="inlineStr">
        <is>
          <t>Sub-Total Amount</t>
        </is>
      </c>
      <c r="D5" s="31" t="n"/>
    </row>
    <row r="6" ht="20" customHeight="1">
      <c r="A6" s="32" t="inlineStr">
        <is>
          <t>DIV 01</t>
        </is>
      </c>
      <c r="B6" s="33" t="inlineStr">
        <is>
          <t>Preliminary &amp; General Items</t>
        </is>
      </c>
      <c r="C6" s="34" t="inlineStr"/>
      <c r="D6" s="35" t="n"/>
    </row>
    <row r="7" ht="20" customHeight="1">
      <c r="A7" s="36" t="inlineStr">
        <is>
          <t>DIV 02</t>
        </is>
      </c>
      <c r="B7" s="27" t="inlineStr">
        <is>
          <t>Civil &amp; Structural Works</t>
        </is>
      </c>
      <c r="C7" s="37" t="inlineStr"/>
      <c r="D7" s="38" t="n"/>
    </row>
    <row r="8" ht="20" customHeight="1">
      <c r="A8" s="32" t="inlineStr">
        <is>
          <t>DIV 03</t>
        </is>
      </c>
      <c r="B8" s="33" t="inlineStr">
        <is>
          <t>Architectural &amp; Finishes</t>
        </is>
      </c>
      <c r="C8" s="34" t="inlineStr"/>
      <c r="D8" s="35" t="n"/>
    </row>
    <row r="9" ht="20" customHeight="1">
      <c r="A9" s="36" t="inlineStr">
        <is>
          <t>DIV 04</t>
        </is>
      </c>
      <c r="B9" s="27" t="inlineStr">
        <is>
          <t>Mechanical Works (HVAC / Plumbing / FF)</t>
        </is>
      </c>
      <c r="C9" s="37" t="inlineStr"/>
      <c r="D9" s="38" t="n"/>
    </row>
    <row r="10" ht="20" customHeight="1">
      <c r="A10" s="32" t="inlineStr">
        <is>
          <t>DIV 05</t>
        </is>
      </c>
      <c r="B10" s="33" t="inlineStr">
        <is>
          <t>Electrical Works (LV / ELV / Lighting)</t>
        </is>
      </c>
      <c r="C10" s="34" t="inlineStr"/>
      <c r="D10" s="35" t="n"/>
    </row>
    <row r="11" ht="20" customHeight="1">
      <c r="A11" s="36" t="inlineStr">
        <is>
          <t>DIV 06</t>
        </is>
      </c>
      <c r="B11" s="27" t="inlineStr">
        <is>
          <t>Provisional Sums &amp; Contingency</t>
        </is>
      </c>
      <c r="C11" s="37" t="inlineStr"/>
      <c r="D11" s="38" t="n"/>
    </row>
    <row r="13" ht="22" customHeight="1">
      <c r="A13" s="39" t="inlineStr">
        <is>
          <t>TOTAL CONSTRUCTION COST (excl. VAT)</t>
        </is>
      </c>
      <c r="C13" s="40">
        <f>SUM(C6:C11)</f>
        <v/>
      </c>
      <c r="D13" s="31" t="n"/>
    </row>
    <row r="14" ht="20" customHeight="1">
      <c r="A14" s="41" t="inlineStr">
        <is>
          <t>VAT @ 18% (Uganda standard rate)</t>
        </is>
      </c>
      <c r="C14" s="42">
        <f>C13*0.18</f>
        <v/>
      </c>
      <c r="D14" s="43" t="n"/>
    </row>
    <row r="16" ht="26" customHeight="1">
      <c r="A16" s="44" t="inlineStr">
        <is>
          <t>GRAND TOTAL (incl. VAT)</t>
        </is>
      </c>
      <c r="C16" s="45">
        <f>C13+C14</f>
        <v/>
      </c>
      <c r="D16" s="46" t="n"/>
    </row>
  </sheetData>
  <mergeCells count="5">
    <mergeCell ref="A16:B16"/>
    <mergeCell ref="A5:B5"/>
    <mergeCell ref="A13:B13"/>
    <mergeCell ref="A14:B14"/>
    <mergeCell ref="A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2026-03-01T14:56:02Z</dcterms:created>
  <dcterms:modified xmlns:dcterms="http://purl.org/dc/terms/" xmlns:xsi="http://www.w3.org/2001/XMLSchema-instance" xsi:type="dcterms:W3CDTF">2026-03-01T14:56:03Z</dcterms:modified>
</cp:coreProperties>
</file>