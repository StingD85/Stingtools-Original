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5480" windowHeight="10110" activeTab="2"/>
  </bookViews>
  <sheets>
    <sheet name="Sheet1" sheetId="1" r:id="rId1"/>
    <sheet name="Sheet2" sheetId="2" r:id="rId2"/>
    <sheet name="Summary" sheetId="4" r:id="rId3"/>
    <sheet name="sub-structure 1" sheetId="5" r:id="rId4"/>
    <sheet name="sub-structure ii" sheetId="6" r:id="rId5"/>
    <sheet name="Walling" sheetId="7" r:id="rId6"/>
    <sheet name="Roofing Sheets" sheetId="8" r:id="rId7"/>
    <sheet name="Windows" sheetId="9" r:id="rId8"/>
    <sheet name="Doors" sheetId="10" r:id="rId9"/>
    <sheet name="External Wall finishes" sheetId="11" r:id="rId10"/>
    <sheet name="Internal Wall finishes" sheetId="12" r:id="rId11"/>
    <sheet name="Floor finishes" sheetId="13" r:id="rId12"/>
    <sheet name="Ceiling Finishes" sheetId="14" r:id="rId13"/>
    <sheet name="Electrical" sheetId="15" r:id="rId14"/>
    <sheet name="Plumbing" sheetId="16" r:id="rId15"/>
    <sheet name="unwanted" sheetId="17" state="hidden" r:id="rId16"/>
    <sheet name="External works" sheetId="19" r:id="rId17"/>
  </sheets>
  <calcPr calcId="144525"/>
</workbook>
</file>

<file path=xl/calcChain.xml><?xml version="1.0" encoding="utf-8"?>
<calcChain xmlns="http://schemas.openxmlformats.org/spreadsheetml/2006/main">
  <c r="I36" i="4" l="1"/>
  <c r="I21" i="7" l="1"/>
  <c r="I32" i="4" l="1"/>
  <c r="I26" i="4"/>
  <c r="I22" i="4"/>
  <c r="I20" i="4"/>
  <c r="I18" i="4"/>
  <c r="F6" i="19"/>
  <c r="I3" i="16"/>
  <c r="I4" i="15"/>
  <c r="I13" i="15" s="1"/>
  <c r="I34" i="4" s="1"/>
  <c r="I30" i="14"/>
  <c r="I31" i="8"/>
  <c r="I30" i="8"/>
  <c r="I29" i="8"/>
  <c r="I26" i="8"/>
  <c r="I24" i="8"/>
  <c r="I21" i="8"/>
  <c r="I19" i="8"/>
  <c r="I17" i="8"/>
  <c r="I16" i="8"/>
  <c r="I15" i="8"/>
  <c r="I14" i="8"/>
  <c r="I13" i="8"/>
  <c r="I12" i="8"/>
  <c r="I11" i="8"/>
  <c r="I9" i="8"/>
  <c r="I35" i="5"/>
  <c r="I32" i="5"/>
  <c r="I29" i="5"/>
  <c r="I24" i="5"/>
  <c r="I20" i="5"/>
  <c r="I31" i="6"/>
  <c r="I28" i="6"/>
  <c r="I25" i="6"/>
  <c r="I23" i="6"/>
  <c r="I19" i="6"/>
  <c r="I16" i="6"/>
  <c r="I13" i="6"/>
  <c r="I8" i="6"/>
  <c r="I5" i="6"/>
  <c r="I38" i="7"/>
  <c r="I36" i="7"/>
  <c r="I32" i="7"/>
  <c r="I29" i="7"/>
  <c r="I27" i="7"/>
  <c r="I24" i="7"/>
  <c r="I19" i="7"/>
  <c r="I14" i="7"/>
  <c r="I12" i="7"/>
  <c r="I7" i="7"/>
  <c r="I24" i="9"/>
  <c r="I20" i="9"/>
  <c r="I16" i="9"/>
  <c r="I38" i="10"/>
  <c r="I36" i="10"/>
  <c r="I35" i="10"/>
  <c r="I31" i="10"/>
  <c r="I30" i="10"/>
  <c r="I26" i="10"/>
  <c r="I25" i="10"/>
  <c r="I24" i="10"/>
  <c r="I19" i="10"/>
  <c r="I17" i="10"/>
  <c r="I14" i="10"/>
  <c r="I11" i="10"/>
  <c r="I11" i="11"/>
  <c r="I9" i="11"/>
  <c r="I8" i="11"/>
  <c r="I7" i="11"/>
  <c r="I5" i="11"/>
  <c r="I12" i="11" s="1"/>
  <c r="I24" i="4" s="1"/>
  <c r="I10" i="12"/>
  <c r="I8" i="12"/>
  <c r="I7" i="12"/>
  <c r="I5" i="12"/>
  <c r="I11" i="13"/>
  <c r="I9" i="13"/>
  <c r="I8" i="13"/>
  <c r="I7" i="13"/>
  <c r="I5" i="13"/>
  <c r="I13" i="13" s="1"/>
  <c r="I28" i="4" s="1"/>
  <c r="I28" i="14"/>
  <c r="I25" i="14"/>
  <c r="I21" i="14"/>
  <c r="I17" i="14"/>
  <c r="I14" i="14"/>
  <c r="I12" i="14"/>
  <c r="I10" i="14"/>
  <c r="I16" i="5"/>
  <c r="I12" i="5"/>
  <c r="I8" i="5"/>
  <c r="I86" i="16"/>
  <c r="I37" i="1"/>
  <c r="I33" i="1"/>
  <c r="I88" i="1"/>
  <c r="I511" i="1"/>
  <c r="I418" i="1"/>
  <c r="I378" i="1"/>
  <c r="I362" i="1"/>
  <c r="I348" i="1"/>
  <c r="I333" i="1"/>
  <c r="I226" i="1"/>
  <c r="I184" i="1"/>
  <c r="I130" i="1"/>
  <c r="I735" i="1"/>
  <c r="I662" i="1"/>
  <c r="I537" i="1"/>
  <c r="I561" i="1"/>
  <c r="I278" i="1"/>
  <c r="I39" i="1"/>
  <c r="I38" i="9"/>
  <c r="I41" i="10"/>
  <c r="I33" i="6" l="1"/>
  <c r="I33" i="14"/>
  <c r="I30" i="4" s="1"/>
  <c r="I39" i="5"/>
  <c r="F10" i="19"/>
  <c r="I40" i="7"/>
  <c r="I16" i="4" s="1"/>
  <c r="I11" i="12"/>
  <c r="I33" i="8"/>
  <c r="I42" i="4" l="1"/>
</calcChain>
</file>

<file path=xl/sharedStrings.xml><?xml version="1.0" encoding="utf-8"?>
<sst xmlns="http://schemas.openxmlformats.org/spreadsheetml/2006/main" count="1368" uniqueCount="514">
  <si>
    <t>Item</t>
  </si>
  <si>
    <t>Description</t>
  </si>
  <si>
    <t>Qty</t>
  </si>
  <si>
    <t>Rate</t>
  </si>
  <si>
    <t>SSP</t>
  </si>
  <si>
    <t>SUMMARY</t>
  </si>
  <si>
    <t>PROPOSED RESIDENCE</t>
  </si>
  <si>
    <t>Roofing</t>
  </si>
  <si>
    <t>Windows</t>
  </si>
  <si>
    <t>Doors</t>
  </si>
  <si>
    <t>Substructure</t>
  </si>
  <si>
    <t>Walling and Frame</t>
  </si>
  <si>
    <t>External wall finishes</t>
  </si>
  <si>
    <t>Internal wall finishes</t>
  </si>
  <si>
    <t>Floor finishes</t>
  </si>
  <si>
    <t>Ceiling finishes</t>
  </si>
  <si>
    <t>Plubing &amp; Drainage Installations</t>
  </si>
  <si>
    <t>Electrical Installtion</t>
  </si>
  <si>
    <t>Summary</t>
  </si>
  <si>
    <t>TOTAL</t>
  </si>
  <si>
    <t>SUB-TOTAL 1</t>
  </si>
  <si>
    <t>ADD 2 % CONTINGENCIES</t>
  </si>
  <si>
    <t>SUB-TOTAL 2</t>
  </si>
  <si>
    <t>Grand Total</t>
  </si>
  <si>
    <t>Unit</t>
  </si>
  <si>
    <t>Rate (SSP)</t>
  </si>
  <si>
    <t>Amount (SSP)</t>
  </si>
  <si>
    <t>ELEMENT A</t>
  </si>
  <si>
    <t>SUBSTRUCTURE</t>
  </si>
  <si>
    <t>(Up to and including groung slab)</t>
  </si>
  <si>
    <t>A</t>
  </si>
  <si>
    <t xml:space="preserve">Clear site of all grass, weeds, bushes, </t>
  </si>
  <si>
    <t>shrubs and burn all arisings or cart away from</t>
  </si>
  <si>
    <t>site as directed and all leveling and grading</t>
  </si>
  <si>
    <t>site.</t>
  </si>
  <si>
    <t>ha</t>
  </si>
  <si>
    <t>B</t>
  </si>
  <si>
    <t>Excavate oversite to reduce levels not</t>
  </si>
  <si>
    <t xml:space="preserve">exceeding 1.50m deep commencing from </t>
  </si>
  <si>
    <t>C</t>
  </si>
  <si>
    <t xml:space="preserve">Excavate foundation trench including column </t>
  </si>
  <si>
    <t>bases no exceeding 1.50 m deep commencing</t>
  </si>
  <si>
    <t>D</t>
  </si>
  <si>
    <r>
      <t>m</t>
    </r>
    <r>
      <rPr>
        <vertAlign val="superscript"/>
        <sz val="12"/>
        <color indexed="8"/>
        <rFont val="Calibri"/>
        <family val="2"/>
      </rPr>
      <t>2</t>
    </r>
  </si>
  <si>
    <r>
      <t>m</t>
    </r>
    <r>
      <rPr>
        <vertAlign val="superscript"/>
        <sz val="12"/>
        <color indexed="8"/>
        <rFont val="Calibri"/>
        <family val="2"/>
      </rPr>
      <t>3</t>
    </r>
  </si>
  <si>
    <t xml:space="preserve">Return, fill in and ram selected excavated </t>
  </si>
  <si>
    <t>E</t>
  </si>
  <si>
    <t>Ditto but murram filling to make up levels</t>
  </si>
  <si>
    <t>under floors well consolidated in 75mm thick</t>
  </si>
  <si>
    <t>F</t>
  </si>
  <si>
    <t>Load and wheel surplus excavated material</t>
  </si>
  <si>
    <t>away from excavations, deposit in spoil heaps</t>
  </si>
  <si>
    <t>and later spread and level any where directed</t>
  </si>
  <si>
    <t>G</t>
  </si>
  <si>
    <t xml:space="preserve">Allow for planking and strutting to uphold </t>
  </si>
  <si>
    <t>H</t>
  </si>
  <si>
    <t xml:space="preserve">Allow for keeping all foundation </t>
  </si>
  <si>
    <t>I</t>
  </si>
  <si>
    <t>150mm thick bed of approved imported well</t>
  </si>
  <si>
    <t>spread levelled, rammed and consolidated in</t>
  </si>
  <si>
    <t xml:space="preserve">layers not exceeding 100mm to receive </t>
  </si>
  <si>
    <t>Total to be carried to collection at end of element A</t>
  </si>
  <si>
    <t>Plinth finishes:</t>
  </si>
  <si>
    <t>20mm thick cement and sand (1:4) rendering to</t>
  </si>
  <si>
    <t>Prepare and apply three coats bitumastic or</t>
  </si>
  <si>
    <t>equal approved water resistant paint to render</t>
  </si>
  <si>
    <t>Splash apron</t>
  </si>
  <si>
    <t xml:space="preserve">75mm thick concrete (1:3:6) mix splash apron </t>
  </si>
  <si>
    <t>230mm thick cement and sand mortor (1:3) mix,</t>
  </si>
  <si>
    <t xml:space="preserve">25mm thick cement and sand (1:3) paving on </t>
  </si>
  <si>
    <t xml:space="preserve">16mm Diameter bars in High Tensile </t>
  </si>
  <si>
    <t xml:space="preserve">12mm Diameter bars in High Tensile </t>
  </si>
  <si>
    <t>Sawn framewprk to sides of columns in starter</t>
  </si>
  <si>
    <t>ELEMENT B</t>
  </si>
  <si>
    <t>WALLING AND FRAME</t>
  </si>
  <si>
    <t>Ground Floor</t>
  </si>
  <si>
    <t>250 x 75mm cill, splya weathered, thrated and</t>
  </si>
  <si>
    <t xml:space="preserve">finishes fair on all exposed surfaces bedded </t>
  </si>
  <si>
    <t>and jointed in cement and sand (1:4)mortor.</t>
  </si>
  <si>
    <t>Vibrated reinforcement insitu concrete grade 20</t>
  </si>
  <si>
    <t xml:space="preserve">High yielde square twisted bar reinforcement to </t>
  </si>
  <si>
    <t>B.S. 4449: 1969 including:</t>
  </si>
  <si>
    <t>Walling:</t>
  </si>
  <si>
    <t xml:space="preserve">230mm tick approved clay burnt or other brick </t>
  </si>
  <si>
    <t>walling in cement mortor (1:3) clay burn or</t>
  </si>
  <si>
    <t>J</t>
  </si>
  <si>
    <t>K</t>
  </si>
  <si>
    <t>ELECMENT C</t>
  </si>
  <si>
    <t>ROOF CONSTRUCTION</t>
  </si>
  <si>
    <t>Roof construction covering and pressure</t>
  </si>
  <si>
    <t>75 x 100mm wall plate bedded on and including</t>
  </si>
  <si>
    <t>Plastic fascia</t>
  </si>
  <si>
    <t>Roof covering in Kajjansi roofing tiles</t>
  </si>
  <si>
    <t>28 degree pitched roof covering of mangalore;</t>
  </si>
  <si>
    <t>fixed in accordance with manufacturer's</t>
  </si>
  <si>
    <t>Chicken mess fixed to rafter to hold polyethene</t>
  </si>
  <si>
    <t>L</t>
  </si>
  <si>
    <t>M</t>
  </si>
  <si>
    <t>N</t>
  </si>
  <si>
    <t>Knot, prime. Stop and paint one undercoat and</t>
  </si>
  <si>
    <t xml:space="preserve"> two gloss finishing coats of oil on wood surface</t>
  </si>
  <si>
    <t>O</t>
  </si>
  <si>
    <t>P</t>
  </si>
  <si>
    <t>Q</t>
  </si>
  <si>
    <t>Total to be carried to summary at end of Bill No.2</t>
  </si>
  <si>
    <t>Roofing construction</t>
  </si>
  <si>
    <t>ELEMENT D</t>
  </si>
  <si>
    <t>WINDOWS</t>
  </si>
  <si>
    <t xml:space="preserve">Supply, assemble and fix purpose made </t>
  </si>
  <si>
    <t xml:space="preserve">aluminium, casement windows to the Engineer's </t>
  </si>
  <si>
    <t xml:space="preserve">details, constructed with 300mm permanent </t>
  </si>
  <si>
    <t>vent  from standard sections delivered to site</t>
  </si>
  <si>
    <t xml:space="preserve">complete with and including all necessary </t>
  </si>
  <si>
    <t xml:space="preserve">glazing, hinges and catches, aluminium stay etc, </t>
  </si>
  <si>
    <t>complete with approved burglar proofing as per</t>
  </si>
  <si>
    <t xml:space="preserve">Window size 1000 x 1500mm high overall </t>
  </si>
  <si>
    <t>Window size 600 x 900 mm high overall</t>
  </si>
  <si>
    <t>complete with approved burglar proofing</t>
  </si>
  <si>
    <t>Window size 1300 x 1500mm high overall</t>
  </si>
  <si>
    <t xml:space="preserve">complete with approved burglar proofing as </t>
  </si>
  <si>
    <t>ELEMENT E</t>
  </si>
  <si>
    <t>DOORS</t>
  </si>
  <si>
    <t xml:space="preserve">Prupose made doors constructed from </t>
  </si>
  <si>
    <t xml:space="preserve">Aluminium sections and Timber delivered to site </t>
  </si>
  <si>
    <t xml:space="preserve">complete and including all the necessary hinges, </t>
  </si>
  <si>
    <t>Supply, assemble and fix casement door and</t>
  </si>
  <si>
    <t>frame total overall size 900 x 2400mm high with</t>
  </si>
  <si>
    <t>Supply, assemble and fix framed &amp; ledged door</t>
  </si>
  <si>
    <t>and frame total overall size 900 x 2400mm high</t>
  </si>
  <si>
    <t>Frame size 900 x 2100mm high with 50 x 15 door</t>
  </si>
  <si>
    <t>Flush door, 45mm thick solid core, faced with MR</t>
  </si>
  <si>
    <t xml:space="preserve"> quality plywood foe painting, hardwood lipping</t>
  </si>
  <si>
    <t xml:space="preserve">Prepare, prime and supply one undercoat and </t>
  </si>
  <si>
    <t xml:space="preserve">two gloss finishing coats of oil paint on mketal </t>
  </si>
  <si>
    <t>surface including opening edges (both sides</t>
  </si>
  <si>
    <t>Ditto but matt stain finish on wood surfaces</t>
  </si>
  <si>
    <t xml:space="preserve">Supply and assemble to timber following </t>
  </si>
  <si>
    <t>Ironmongery complete with all matching</t>
  </si>
  <si>
    <t>Three-layer mortice lock as 'Union UK' or any</t>
  </si>
  <si>
    <t>ELEMENT F</t>
  </si>
  <si>
    <t>EXTERNAL WALL FINISHES</t>
  </si>
  <si>
    <t>20mm rendering to wall in two coats finished</t>
  </si>
  <si>
    <t xml:space="preserve">Prepare and supply three coats of plastic </t>
  </si>
  <si>
    <t>ELEMENT G</t>
  </si>
  <si>
    <t xml:space="preserve">Prepare and apply three coats of plastic </t>
  </si>
  <si>
    <t>ELEMENT H</t>
  </si>
  <si>
    <t>FLOOR FINISHES</t>
  </si>
  <si>
    <t xml:space="preserve">25mm floor screed finish trowelled hard and </t>
  </si>
  <si>
    <t>20 x 100mm skirting with rounded top edge and</t>
  </si>
  <si>
    <t>Prepare and apply three coats of gloss oil paint</t>
  </si>
  <si>
    <t>ELEMENT I</t>
  </si>
  <si>
    <t>CEILING FINISHES</t>
  </si>
  <si>
    <t xml:space="preserve">Sawn crypress or other equal approved including </t>
  </si>
  <si>
    <t>suspension system: well seasoned: cell cured:</t>
  </si>
  <si>
    <t>100 x 50mm ceiling battens at perimeter, pluged.</t>
  </si>
  <si>
    <t>100 x 20mm wrot "cypress" or other approved</t>
  </si>
  <si>
    <t>5mm cement: sand mmortor on metal lathe</t>
  </si>
  <si>
    <t xml:space="preserve"> secret nailed to brandering</t>
  </si>
  <si>
    <t>Supply and fix 600mm access penal with sides</t>
  </si>
  <si>
    <t xml:space="preserve">cut levelled to 45 degrees and fixed on and </t>
  </si>
  <si>
    <t>Supply and apply three coats of plastic emulsion</t>
  </si>
  <si>
    <t>15mm internal plaster in two coats to slab soffits,</t>
  </si>
  <si>
    <t>Total to be carried to summary at end of Bill No. 2</t>
  </si>
  <si>
    <t>ELEMENT J</t>
  </si>
  <si>
    <t>PLUMBING AND DRAINAGE INSTALLATION</t>
  </si>
  <si>
    <t>All cold water supply pipe shall be galvanised</t>
  </si>
  <si>
    <t>steel tubing and fitting class B to B.S 1387. All</t>
  </si>
  <si>
    <t xml:space="preserve"> prices for pipework shall include for all fittings </t>
  </si>
  <si>
    <t xml:space="preserve">such as tees, elbows, nipples, unions and all </t>
  </si>
  <si>
    <t>accessories. The price shall also include jointing,</t>
  </si>
  <si>
    <t>2500 liter plastic cold water cold storage tank</t>
  </si>
  <si>
    <t>complete with punched inlet inlet, overflow and</t>
  </si>
  <si>
    <t>washout, 13mm equilibrium ball valve and all</t>
  </si>
  <si>
    <t>Approved steel tank stand including concrete</t>
  </si>
  <si>
    <t>Coloured Vitrous china WC suite complete with</t>
  </si>
  <si>
    <t xml:space="preserve">9 litre closed coupled cistern and valveless </t>
  </si>
  <si>
    <t xml:space="preserve">fitting including syphon, 1/2" side inlet, ball </t>
  </si>
  <si>
    <t>valve,  3/4" side overflow plastic flashed, inlet</t>
  </si>
  <si>
    <t>connector, cistern lever, supports and seat with</t>
  </si>
  <si>
    <t xml:space="preserve">cover, as Twyfords ROYALE HO, RY 1148 + RY </t>
  </si>
  <si>
    <t>Stand pipe 12mm complete with heavy duty bib</t>
  </si>
  <si>
    <t>150 x 150mm virteous china semi recessed</t>
  </si>
  <si>
    <t>ceramic toilet roll holder with spring loaded</t>
  </si>
  <si>
    <t>White virteouschina 800 x 800mm shower tray</t>
  </si>
  <si>
    <t xml:space="preserve">completewith all accessories as Armitage </t>
  </si>
  <si>
    <t>20mm diameter by 600mm long chromiun plate</t>
  </si>
  <si>
    <t>towel rail complete with chromium plate</t>
  </si>
  <si>
    <t xml:space="preserve">Virteous china coloured Wash Hand Basin with </t>
  </si>
  <si>
    <t>one taphole with pedestal, Twyfords ROYALE 700</t>
  </si>
  <si>
    <t>RY 4211 + RY 4910 INCA MONOBLOC Gold lustre</t>
  </si>
  <si>
    <t>tab/mixer IN 5129 GL with pop-up waste 1/4"</t>
  </si>
  <si>
    <t>750 x 600 x 6mm thick bevelled egde minor with</t>
  </si>
  <si>
    <t xml:space="preserve">2 No. Holes and 2 No. Domex screw and fixing </t>
  </si>
  <si>
    <t>Stainless steel kitchen sink-double, fixed on and</t>
  </si>
  <si>
    <t xml:space="preserve"> including semi concealed brackets complete </t>
  </si>
  <si>
    <t xml:space="preserve">with 2 No. 12mm diameter chromium plated </t>
  </si>
  <si>
    <t>pillar taps 32mm waste plastic plug with chain</t>
  </si>
  <si>
    <t xml:space="preserve">Coloured bath tub  suite made from extra heavy </t>
  </si>
  <si>
    <t xml:space="preserve">huge (2.9 mm) porcelain enamelled steel </t>
  </si>
  <si>
    <t xml:space="preserve">supported on cradle and adjustible feet as </t>
  </si>
  <si>
    <t>Twyford OLYMIAN 1700 (1700 x 750 x 380mm)</t>
  </si>
  <si>
    <t xml:space="preserve">CQ 5823 CP complete with PVC bottle trap and </t>
  </si>
  <si>
    <r>
      <t>JU 9572, Gold Lustre pop-up watse 1</t>
    </r>
    <r>
      <rPr>
        <vertAlign val="superscript"/>
        <sz val="11"/>
        <color indexed="8"/>
        <rFont val="Calibri"/>
        <family val="2"/>
      </rPr>
      <t>1</t>
    </r>
    <r>
      <rPr>
        <sz val="11"/>
        <color theme="1"/>
        <rFont val="Calibri"/>
        <family val="2"/>
        <charset val="163"/>
        <scheme val="minor"/>
      </rPr>
      <t>/</t>
    </r>
    <r>
      <rPr>
        <vertAlign val="subscript"/>
        <sz val="11"/>
        <color indexed="8"/>
        <rFont val="Calibri"/>
        <family val="2"/>
      </rPr>
      <t xml:space="preserve">2 </t>
    </r>
    <r>
      <rPr>
        <sz val="11"/>
        <color indexed="8"/>
        <rFont val="Calibri"/>
        <family val="2"/>
      </rPr>
      <t xml:space="preserve">" and </t>
    </r>
  </si>
  <si>
    <t xml:space="preserve">50 Litre water heater; copper water container </t>
  </si>
  <si>
    <t>with corrosion proof steel casing and glass fibre</t>
  </si>
  <si>
    <t xml:space="preserve"> insulation to BS8456 wall mounted complete as </t>
  </si>
  <si>
    <t>Heat Rae Sadia UDB 136, 3KW 240 Volts to</t>
  </si>
  <si>
    <t xml:space="preserve"> include   connections to power and water supply</t>
  </si>
  <si>
    <t>and all accessories.</t>
  </si>
  <si>
    <t>External wall Finishes</t>
  </si>
  <si>
    <t>Total to be carried to collection as and of element K</t>
  </si>
  <si>
    <t>Plumbing &amp; Drainage Installation</t>
  </si>
  <si>
    <t>Drainage</t>
  </si>
  <si>
    <t xml:space="preserve">110mm PVC heavy guage pipework in ground at </t>
  </si>
  <si>
    <t>m</t>
  </si>
  <si>
    <t xml:space="preserve">Gully traps complete with approved concrete </t>
  </si>
  <si>
    <t>No.</t>
  </si>
  <si>
    <t xml:space="preserve">thick walling finished trowel smooth inside and </t>
  </si>
  <si>
    <t xml:space="preserve">Allow for provisional sum for construction of </t>
  </si>
  <si>
    <t xml:space="preserve">Excavate in Hard Murram percolation soakpit of </t>
  </si>
  <si>
    <t xml:space="preserve"> ground level and get out excavated materials.</t>
  </si>
  <si>
    <t>Fill the pit with hard boulders to level 230mm</t>
  </si>
  <si>
    <t>from ground level and lay 500 guage polyethene</t>
  </si>
  <si>
    <t>sheeting on top then fill the remaining pit with</t>
  </si>
  <si>
    <t>110 mm HG PVC vent pipe complete with cowl</t>
  </si>
  <si>
    <t xml:space="preserve">600 x 450 mm brickwork manholes in 150mm  </t>
  </si>
  <si>
    <t>diameter 1.0 x 2.0m deep starting 750 mm from</t>
  </si>
  <si>
    <t>Total to be carried to collection as end of element K</t>
  </si>
  <si>
    <t>ELEMENT K</t>
  </si>
  <si>
    <t>ELECTRICAL INSTALLATION</t>
  </si>
  <si>
    <t xml:space="preserve">All work required for installation shall be </t>
  </si>
  <si>
    <t>included in the prices whether or not specifically</t>
  </si>
  <si>
    <t>measured or described below.</t>
  </si>
  <si>
    <t>Such shall include all chases, mortices, holes,</t>
  </si>
  <si>
    <t>cutting, plugging, making good finishes,</t>
  </si>
  <si>
    <t>painting or repainting etc, for a concealed circuit</t>
  </si>
  <si>
    <t xml:space="preserve">installation. Supply, install, connect and set to </t>
  </si>
  <si>
    <t xml:space="preserve">100 A 8-Way SPN MCB consumer unit integral </t>
  </si>
  <si>
    <t>isolator complete with MCBs and all accessories</t>
  </si>
  <si>
    <t>as CRABTREE or equivalent. Flush matal case.</t>
  </si>
  <si>
    <t>work the follwing:</t>
  </si>
  <si>
    <t>Adaptable box complete with TPN cut-outs and</t>
  </si>
  <si>
    <t>local earting accessories mounted on the wall.</t>
  </si>
  <si>
    <t>No</t>
  </si>
  <si>
    <t>Wiring from adaptable box to consumer unit by</t>
  </si>
  <si>
    <r>
      <t>3 x 10 mm</t>
    </r>
    <r>
      <rPr>
        <vertAlign val="superscript"/>
        <sz val="11"/>
        <color indexed="8"/>
        <rFont val="Calibri"/>
        <family val="2"/>
      </rPr>
      <t xml:space="preserve">2 </t>
    </r>
    <r>
      <rPr>
        <sz val="11"/>
        <color indexed="8"/>
        <rFont val="Calibri"/>
        <family val="2"/>
      </rPr>
      <t xml:space="preserve">SC PVC insulated copper cables in </t>
    </r>
  </si>
  <si>
    <t>PVC concealed conduits complete.</t>
  </si>
  <si>
    <r>
      <t>Lighting points 2 x 1.5 mm</t>
    </r>
    <r>
      <rPr>
        <vertAlign val="superscript"/>
        <sz val="11"/>
        <color indexed="8"/>
        <rFont val="Calibri"/>
        <family val="2"/>
      </rPr>
      <t xml:space="preserve">2 </t>
    </r>
    <r>
      <rPr>
        <sz val="11"/>
        <color theme="1"/>
        <rFont val="Calibri"/>
        <family val="2"/>
        <charset val="163"/>
        <scheme val="minor"/>
      </rPr>
      <t>plus e.c.c PVC/ PVC</t>
    </r>
  </si>
  <si>
    <t xml:space="preserve"> copper cables in new flush installed uPVC </t>
  </si>
  <si>
    <t xml:space="preserve">Lighting fittings type P-Ceiling Rose, with </t>
  </si>
  <si>
    <r>
      <t>3 x 1 mm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charset val="163"/>
        <scheme val="minor"/>
      </rPr>
      <t xml:space="preserve"> PVC flex cable, lamp connector, 18W</t>
    </r>
  </si>
  <si>
    <t>energy saving bulb and lamp shade as MK and</t>
  </si>
  <si>
    <t>Phillips or equal.</t>
  </si>
  <si>
    <t>Lighting fittings type C-8 x 25 W tungsten</t>
  </si>
  <si>
    <t>chandelier.</t>
  </si>
  <si>
    <t>Lighting fitting type B-ball type fitting with</t>
  </si>
  <si>
    <t>18 W energy saving bulb as thorn or equal.</t>
  </si>
  <si>
    <r>
      <t>Socket outlet points wired by 2 x2.5mm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charset val="163"/>
        <scheme val="minor"/>
      </rPr>
      <t xml:space="preserve"> plus</t>
    </r>
  </si>
  <si>
    <t xml:space="preserve">e.c.c PVC/ PVC copper cables in new flush </t>
  </si>
  <si>
    <t>installed uPVC conduits complete.</t>
  </si>
  <si>
    <t>13 A Single pole 2 gang switch  socket outlets</t>
  </si>
  <si>
    <t>C/W outle flush mounting box, as to CRABTREE</t>
  </si>
  <si>
    <t>list nos 4306 + SB665 or equal approved.</t>
  </si>
  <si>
    <t>35 W x 1200 mm single bare batten flourescent</t>
  </si>
  <si>
    <t>luminaire with HPF switchstart control gear c/w</t>
  </si>
  <si>
    <t xml:space="preserve">conduit entry seal, earth tag and tropical </t>
  </si>
  <si>
    <t>daylight tube, all as to THORN Cat. No. PP/136,</t>
  </si>
  <si>
    <t>or approved equivalent.</t>
  </si>
  <si>
    <t>Copper tape of hard drawn high conductivity</t>
  </si>
  <si>
    <t xml:space="preserve"> copper plate 3mm x 25mm cross section for </t>
  </si>
  <si>
    <t xml:space="preserve">horizontal and down conductors, and bonding </t>
  </si>
  <si>
    <t>conductors complete with fixing clips and all</t>
  </si>
  <si>
    <t>Air terminals complete with tape adapter and all</t>
  </si>
  <si>
    <t>R</t>
  </si>
  <si>
    <t xml:space="preserve">Earth electrodes made from hard drawn copper </t>
  </si>
  <si>
    <t>or copper weld 20mm diameter by 2400mm in</t>
  </si>
  <si>
    <t xml:space="preserve"> two lengths screwed together complete with </t>
  </si>
  <si>
    <t>S</t>
  </si>
  <si>
    <t>Electrical Installation</t>
  </si>
  <si>
    <r>
      <t>m</t>
    </r>
    <r>
      <rPr>
        <vertAlign val="superscript"/>
        <sz val="11"/>
        <color indexed="8"/>
        <rFont val="Calibri"/>
        <family val="2"/>
      </rPr>
      <t>2</t>
    </r>
  </si>
  <si>
    <t>kg</t>
  </si>
  <si>
    <r>
      <t>m</t>
    </r>
    <r>
      <rPr>
        <vertAlign val="superscript"/>
        <sz val="11"/>
        <color indexed="8"/>
        <rFont val="Calibri"/>
        <family val="2"/>
      </rPr>
      <t>3</t>
    </r>
  </si>
  <si>
    <t>Total to be carred to summary at end of Bill No. 2</t>
  </si>
  <si>
    <t>Walling and frame</t>
  </si>
  <si>
    <t>Beams.</t>
  </si>
  <si>
    <t>16mm bars for columns.</t>
  </si>
  <si>
    <t>Mild steel bar reinforcment to BS.4449: 1969:</t>
  </si>
  <si>
    <t>8mm diameter bars.</t>
  </si>
  <si>
    <t>Sawn Framework:</t>
  </si>
  <si>
    <t>Sawn framework to sides and soffits of beam.</t>
  </si>
  <si>
    <t>Sawn framework to sides columns.</t>
  </si>
  <si>
    <t xml:space="preserve"> other brick.</t>
  </si>
  <si>
    <t>stripped level.</t>
  </si>
  <si>
    <t>from reduced level.</t>
  </si>
  <si>
    <t>Materials around foundation.</t>
  </si>
  <si>
    <t>layer.</t>
  </si>
  <si>
    <t>on site.</t>
  </si>
  <si>
    <t>sides of all foundation excavations.</t>
  </si>
  <si>
    <t>excavation free from water.</t>
  </si>
  <si>
    <t>hardcore (measured separately).</t>
  </si>
  <si>
    <t>plinths extremely.</t>
  </si>
  <si>
    <t>with all the necessary formwork.</t>
  </si>
  <si>
    <t>laid in suitable bond.</t>
  </si>
  <si>
    <t>splash apron finished with wooden float.</t>
  </si>
  <si>
    <t>8mm Diameter bars in mild steel reinforcement.</t>
  </si>
  <si>
    <t>Steel bar reinforcement to B.S 4449.1969:</t>
  </si>
  <si>
    <t>reinforcement.</t>
  </si>
  <si>
    <t>columns.</t>
  </si>
  <si>
    <t>Total to be carried collection at end of element A</t>
  </si>
  <si>
    <t xml:space="preserve"> impregnate treated swan approved timer.</t>
  </si>
  <si>
    <t>15mm cement-stand (1:3) blinding.</t>
  </si>
  <si>
    <t>50 x 150mm Principle Rafters.</t>
  </si>
  <si>
    <t>50 x 100 Secondary rafters.</t>
  </si>
  <si>
    <t>50 x 150 Tie beams.</t>
  </si>
  <si>
    <t>50 x 100mm Struts and ties.</t>
  </si>
  <si>
    <t>50 x 100mm Purlins.</t>
  </si>
  <si>
    <t>38 x 38mm Battens.</t>
  </si>
  <si>
    <t>50 x 200mm Ridge board.</t>
  </si>
  <si>
    <t>25 x 250 plastic fascia and barge board.</t>
  </si>
  <si>
    <t>instructions.</t>
  </si>
  <si>
    <t>sheeting.</t>
  </si>
  <si>
    <t>200-300 mm gith.</t>
  </si>
  <si>
    <t>Valley piece.</t>
  </si>
  <si>
    <t>Plastic Rain water gutter.</t>
  </si>
  <si>
    <t>UPVC Down pipes.</t>
  </si>
  <si>
    <t>with fixing lugs let into brickwork.</t>
  </si>
  <si>
    <t>drawing.</t>
  </si>
  <si>
    <t>as per the drawing.</t>
  </si>
  <si>
    <t>the drawing.</t>
  </si>
  <si>
    <t>metallic spikes, lugs locking devices, etc.</t>
  </si>
  <si>
    <t>steel louvred vet.</t>
  </si>
  <si>
    <t>with vent over.</t>
  </si>
  <si>
    <t>stop.</t>
  </si>
  <si>
    <t>Ditto but 750 x 900 mm high.</t>
  </si>
  <si>
    <t xml:space="preserve"> to edges.</t>
  </si>
  <si>
    <t>900 x 2100mm.</t>
  </si>
  <si>
    <t>750 x 2100mm.</t>
  </si>
  <si>
    <t>measured flat).</t>
  </si>
  <si>
    <t>Do but wood surface 200 - 300mm girth.</t>
  </si>
  <si>
    <t>screws and keys.</t>
  </si>
  <si>
    <t>100 mm pressed steel butt hinges.</t>
  </si>
  <si>
    <t>prs</t>
  </si>
  <si>
    <t>other equal approved complete with furniture.</t>
  </si>
  <si>
    <t>Doors.</t>
  </si>
  <si>
    <t>with a wooden float.</t>
  </si>
  <si>
    <t>Burnt clay facing brick rendering to walls.</t>
  </si>
  <si>
    <t>Two coats rough cast rendering walls.</t>
  </si>
  <si>
    <t>emulsion paint on rough cast rendered walls.</t>
  </si>
  <si>
    <t>Stone dadding as external render to walls.</t>
  </si>
  <si>
    <t>trovelled hard and smooth with steel float.</t>
  </si>
  <si>
    <t>20 mm internal plaster in two walls,</t>
  </si>
  <si>
    <t>Ceramic wall tiles as plastering to walls.</t>
  </si>
  <si>
    <t>emulsion paint on plastered walls internally.</t>
  </si>
  <si>
    <t>Ditto but reveals.</t>
  </si>
  <si>
    <t>Cemment and sand (1:3):</t>
  </si>
  <si>
    <t>Cement Lime sand (1:2:9) as described:</t>
  </si>
  <si>
    <t>Cement and Sand (1:3) as described:</t>
  </si>
  <si>
    <t>smooth with steel steel stowel.</t>
  </si>
  <si>
    <t>Ceramic tile floor finishing.</t>
  </si>
  <si>
    <t>PVC tile follor finishing.</t>
  </si>
  <si>
    <t>curved at junction with floor screed.</t>
  </si>
  <si>
    <t>on timber skirting 100 - 200 mm girth.</t>
  </si>
  <si>
    <t>Selected and kept clean:</t>
  </si>
  <si>
    <t>Ceiling branderings, 75 x 50 mm members.</t>
  </si>
  <si>
    <t>cornice.</t>
  </si>
  <si>
    <t xml:space="preserve"> (measured separately).</t>
  </si>
  <si>
    <t>including painting to all exposed surfaces.</t>
  </si>
  <si>
    <t>paint on  metal lathe ceiling.</t>
  </si>
  <si>
    <t>Ditto but cornice.</t>
  </si>
  <si>
    <t>trowelled hard and smooth with steel float.</t>
  </si>
  <si>
    <t>20mm diameter on surface.</t>
  </si>
  <si>
    <t>20mm gate valve.</t>
  </si>
  <si>
    <t>12mm gate valve.</t>
  </si>
  <si>
    <t>accessories.</t>
  </si>
  <si>
    <t>foundation.</t>
  </si>
  <si>
    <t>2691 + RY 7810 and all accessories.</t>
  </si>
  <si>
    <t>tab with hose connector.</t>
  </si>
  <si>
    <t>spindle fixed into wall,</t>
  </si>
  <si>
    <t>sprindle fixed into wall.</t>
  </si>
  <si>
    <t>brackets at each end screwed into wall.</t>
  </si>
  <si>
    <t>all accessories.</t>
  </si>
  <si>
    <t>to walls.</t>
  </si>
  <si>
    <t>and stay 32mm bottle tap.</t>
  </si>
  <si>
    <r>
      <t xml:space="preserve">overflow WF 8369 GL, AZTEC </t>
    </r>
    <r>
      <rPr>
        <vertAlign val="superscript"/>
        <sz val="11"/>
        <color indexed="8"/>
        <rFont val="Calibri"/>
        <family val="2"/>
      </rPr>
      <t>3</t>
    </r>
    <r>
      <rPr>
        <sz val="11"/>
        <color indexed="8"/>
        <rFont val="Calibri"/>
        <family val="2"/>
      </rPr>
      <t>/</t>
    </r>
    <r>
      <rPr>
        <vertAlign val="subscript"/>
        <sz val="11"/>
        <color indexed="8"/>
        <rFont val="Calibri"/>
        <family val="2"/>
      </rPr>
      <t>4</t>
    </r>
    <r>
      <rPr>
        <sz val="11"/>
        <color theme="1"/>
        <rFont val="Calibri"/>
        <family val="2"/>
        <charset val="163"/>
        <scheme val="minor"/>
      </rPr>
      <t>" bat.</t>
    </r>
  </si>
  <si>
    <t>600mm below ormation level.</t>
  </si>
  <si>
    <t>cover to slab to fit.</t>
  </si>
  <si>
    <t>38mm PVC pipes in walls and floors.</t>
  </si>
  <si>
    <t>proper channeling of effluent.</t>
  </si>
  <si>
    <t>septic tank.</t>
  </si>
  <si>
    <t>vegetable soil levelled and rammed.</t>
  </si>
  <si>
    <t>32 mm diameter screw down stop valve.</t>
  </si>
  <si>
    <t>110 mm HG PVC WC pan connector.</t>
  </si>
  <si>
    <t>conduits complete.</t>
  </si>
  <si>
    <t xml:space="preserve">150 mm thick bed of approved imported </t>
  </si>
  <si>
    <t xml:space="preserve">hardcore well spread, levelled, rammed and </t>
  </si>
  <si>
    <t>consolidated in layers not excedding 100 mm,</t>
  </si>
  <si>
    <t>blinded with and including 500 mm thick of</t>
  </si>
  <si>
    <t xml:space="preserve">sand, well watered and rolled to receive </t>
  </si>
  <si>
    <t xml:space="preserve">Dig out any existing termite mount, destroy </t>
  </si>
  <si>
    <t xml:space="preserve">queen and apply approved anti-termite spray </t>
  </si>
  <si>
    <t>to entire site.</t>
  </si>
  <si>
    <t>concrete bed (measured separately).</t>
  </si>
  <si>
    <t>polyethene sheeting as damp proof</t>
  </si>
  <si>
    <t>Strip foundation.</t>
  </si>
  <si>
    <t>Plain Insitu concrete Grade 15:</t>
  </si>
  <si>
    <t>100 mm floor bed laid on blinded hardcore with</t>
  </si>
  <si>
    <t xml:space="preserve">1000 Gauge diothene or other equal approved </t>
  </si>
  <si>
    <t xml:space="preserve"> (measured separately) with welted joints </t>
  </si>
  <si>
    <t xml:space="preserve"> membrane joints laid of blinded  hardcore</t>
  </si>
  <si>
    <t xml:space="preserve">steel wire fabric  mesh reinforcement to </t>
  </si>
  <si>
    <r>
      <t>4483 Ref.A98 weighing 1.58kg/m</t>
    </r>
    <r>
      <rPr>
        <vertAlign val="superscript"/>
        <sz val="11"/>
        <color indexed="8"/>
        <rFont val="Calibri"/>
        <family val="2"/>
      </rPr>
      <t xml:space="preserve">2 </t>
    </r>
    <r>
      <rPr>
        <sz val="11"/>
        <color indexed="8"/>
        <rFont val="Calibri"/>
        <family val="2"/>
      </rPr>
      <t>in concrete</t>
    </r>
  </si>
  <si>
    <t xml:space="preserve">floor bed with minimum 300 mm end and side </t>
  </si>
  <si>
    <t>laps.</t>
  </si>
  <si>
    <t>B.S (measured separately).</t>
  </si>
  <si>
    <t>and minimum 200 mm end and side laps.</t>
  </si>
  <si>
    <t>Sides of foundation in trenches.</t>
  </si>
  <si>
    <t>Swan framework:</t>
  </si>
  <si>
    <t>25 x 150 mm softwood to edge slab.</t>
  </si>
  <si>
    <t>Vibrated Reinforcement Insitu Concrete Grade 20:</t>
  </si>
  <si>
    <t>Column base.</t>
  </si>
  <si>
    <t>Plinth walling</t>
  </si>
  <si>
    <t>Brickwork in cement and sand mortor 1:3 mix,</t>
  </si>
  <si>
    <t>laid in suitable bond with 6 mm diameter mild</t>
  </si>
  <si>
    <t>steel strips laid horizontally every aternate wide.</t>
  </si>
  <si>
    <t>Precast concrete grade 20 as described:</t>
  </si>
  <si>
    <t>Columns.</t>
  </si>
  <si>
    <t>16mm bars for beams.</t>
  </si>
  <si>
    <t>Ditto 150mm thick wall.</t>
  </si>
  <si>
    <t>Ditto but raking cutting.</t>
  </si>
  <si>
    <t>Casement lock.</t>
  </si>
  <si>
    <t>fixing and all builders works:</t>
  </si>
  <si>
    <t>Kditto but for 3 W x 600 mm .</t>
  </si>
  <si>
    <t>6 A 1gang 1 way flush mounting light switch.</t>
  </si>
  <si>
    <t>6A 2gang 2 way flush mounting light switch.</t>
  </si>
  <si>
    <r>
      <t>Main earthing by 25mm</t>
    </r>
    <r>
      <rPr>
        <vertAlign val="superscript"/>
        <sz val="11"/>
        <color indexed="8"/>
        <rFont val="Calibri"/>
        <family val="2"/>
      </rPr>
      <t>2</t>
    </r>
    <r>
      <rPr>
        <sz val="11"/>
        <color theme="1"/>
        <rFont val="Calibri"/>
        <family val="2"/>
        <charset val="163"/>
        <scheme val="minor"/>
      </rPr>
      <t xml:space="preserve"> PVC copper cable.</t>
    </r>
  </si>
  <si>
    <t xml:space="preserve"> accessories as by FURSE or equal.</t>
  </si>
  <si>
    <t xml:space="preserve"> accessories by FURSE or equal.</t>
  </si>
  <si>
    <t>Test blocks complete.</t>
  </si>
  <si>
    <t>cap, earth clamp and accessories.</t>
  </si>
  <si>
    <t>Fan suspended from ceiling in lounge.</t>
  </si>
  <si>
    <t>230 mm thick walling.</t>
  </si>
  <si>
    <t>Horizontal: 230 mm wide.</t>
  </si>
  <si>
    <t>.</t>
  </si>
  <si>
    <t>Garage Door</t>
  </si>
  <si>
    <r>
      <t>m</t>
    </r>
    <r>
      <rPr>
        <vertAlign val="superscript"/>
        <sz val="11"/>
        <color indexed="8"/>
        <rFont val="Calibri"/>
        <family val="2"/>
      </rPr>
      <t>2</t>
    </r>
  </si>
  <si>
    <t>Ditto but 12mm.</t>
  </si>
  <si>
    <t>INTERNAL WALL FINISHES</t>
  </si>
  <si>
    <t>sm</t>
  </si>
  <si>
    <t>item</t>
  </si>
  <si>
    <t>cm</t>
  </si>
  <si>
    <t>and frame total overall size 900 x 2100mm high</t>
  </si>
  <si>
    <t>Total to be carried collection at end of element B</t>
  </si>
  <si>
    <t>Total to be carried collection at end of element C</t>
  </si>
  <si>
    <t>Total to be carried collection at end of element D</t>
  </si>
  <si>
    <t>Total to be carried to summary at end of Element E</t>
  </si>
  <si>
    <t>Total to be carried to summary at end of Element F</t>
  </si>
  <si>
    <t>Total to be carried to summary at end of Element G</t>
  </si>
  <si>
    <t>Total to be carried to summary at end of Element H</t>
  </si>
  <si>
    <t>Total to be carried to summary at end of Element I</t>
  </si>
  <si>
    <t>Total to be carried to summary at end of Element  K</t>
  </si>
  <si>
    <t>Plumbing &amp; Drainage system</t>
  </si>
  <si>
    <t>25 degree pitched roof covering of versatiles;</t>
  </si>
  <si>
    <t>Roof covering in versatile sheets</t>
  </si>
  <si>
    <t xml:space="preserve">Walling </t>
  </si>
  <si>
    <t xml:space="preserve">WALLING </t>
  </si>
  <si>
    <t>Amount (Ushs)</t>
  </si>
  <si>
    <t>Rate (Ushs)</t>
  </si>
  <si>
    <t xml:space="preserve">Window size 2300 x 3000mm high overall </t>
  </si>
  <si>
    <t>Window size 1800 x 1500 mm high overall</t>
  </si>
  <si>
    <t>Window size 600 x 900mm high overall</t>
  </si>
  <si>
    <t>Rate(Ushs)</t>
  </si>
  <si>
    <t>Ditto but 750 x 2100 mm high.</t>
  </si>
  <si>
    <t xml:space="preserve">two gloss finishing coats of oil paint on metal </t>
  </si>
  <si>
    <t>Stone cladding as external render to walls.</t>
  </si>
  <si>
    <t>spread levelled murram, rammed and consolidated in</t>
  </si>
  <si>
    <t>230mm th brick work laid in c/s mortar (1:3), in a suitable bond.</t>
  </si>
  <si>
    <t>Sawn timber formwork to sides of columns in starter</t>
  </si>
  <si>
    <t>250 x 75mm cill, splya weathered, threaded and</t>
  </si>
  <si>
    <t xml:space="preserve">finished fair on all exposed surfaces bedded </t>
  </si>
  <si>
    <t xml:space="preserve">High yielded square twisted bar reinforcement to </t>
  </si>
  <si>
    <t>SawnTimber Formwork:</t>
  </si>
  <si>
    <t>Sawn formwork to sides and soffits of beam.</t>
  </si>
  <si>
    <t>Sawn formwork to sides columns.</t>
  </si>
  <si>
    <t xml:space="preserve">walling in cement sand mortar (1:3) </t>
  </si>
  <si>
    <t xml:space="preserve"> </t>
  </si>
  <si>
    <t>Roof construction, covering and pressure</t>
  </si>
  <si>
    <t xml:space="preserve"> impregnate treated sawn approved timber.</t>
  </si>
  <si>
    <t>Chicken mesh fixed to rafter to hold polyethene</t>
  </si>
  <si>
    <t>Frame size 900 x 2100mm high with 50 x 15mm door</t>
  </si>
  <si>
    <t xml:space="preserve">Prepare, prime and apply one undercoat and </t>
  </si>
  <si>
    <t>20mm th rendering to walls in two coats finished</t>
  </si>
  <si>
    <t>Burnt clay facing bricks to walls.</t>
  </si>
  <si>
    <t>Two coats  of rough cast to rendered walls.</t>
  </si>
  <si>
    <t>Prepare and apply three coats of weatherguard</t>
  </si>
  <si>
    <t xml:space="preserve">25mm th floor screed finish trowelled hard and </t>
  </si>
  <si>
    <t>smooth with steeltrowel.</t>
  </si>
  <si>
    <t>PVC tile floor finishing.</t>
  </si>
  <si>
    <t xml:space="preserve">Sawn cypress or other equal approved including </t>
  </si>
  <si>
    <t>Expanded Metal Lathe</t>
  </si>
  <si>
    <t>Ceramic wall tiles  to walls.</t>
  </si>
  <si>
    <t>SUM</t>
  </si>
  <si>
    <t>ELEMENT J:ELECTRICAL INSTALLATIONS</t>
  </si>
  <si>
    <t>Sum</t>
  </si>
  <si>
    <t>Amount (U shs)</t>
  </si>
  <si>
    <t>Total to be carried to collection as and of element J</t>
  </si>
  <si>
    <t>Allow a provisional sum of  U shs 9000,000 (Nine million Uganda Shillings for Electrical installations)</t>
  </si>
  <si>
    <t>Allow for a provisional sum of U shs 6000,000 for Plumbing works</t>
  </si>
  <si>
    <t>Amount(Ushs)</t>
  </si>
  <si>
    <t>NANSANA BOQ</t>
  </si>
  <si>
    <t>Allow a provisinal sum of 5000,000 U g shs for Externalworks ( Including Man holes and Compund work)</t>
  </si>
  <si>
    <t>100 x 50mm ceiling battens at perimeter, plugged.</t>
  </si>
  <si>
    <t>5mm th cement: sand mortar on metal lathe</t>
  </si>
  <si>
    <t>plinths externally.</t>
  </si>
  <si>
    <t>External works &amp; 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</si>
</sst>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&quot;þ&quot;_-;\-* #,##0.00\ &quot;þ&quot;_-;_-* &quot;-&quot;??\ &quot;þ&quot;_-;_-@_-"/>
    <numFmt numFmtId="165" formatCode="_-* #,##0.00\ _þ_-;\-* #,##0.00\ _þ_-;_-* &quot;-&quot;??\ _þ_-;_-@_-"/>
    <numFmt numFmtId="166" formatCode="_-* #,##0\ _þ_-;\-* #,##0\ _þ_-;_-* &quot;-&quot;??\ _þ_-;_-@_-"/>
    <numFmt numFmtId="167" formatCode="_(* #,##0_);_(* \(#,##0\);_(* &quot;-&quot;??_);_(@_)"/>
  </numFmts>
  <fonts count="26" x14ac:knownFonts="1">
    <font>
      <sz val="11"/>
      <color theme="1"/>
      <name val="Calibri"/>
      <family val="2"/>
      <charset val="163"/>
      <scheme val="minor"/>
    </font>
    <font>
      <sz val="11"/>
      <color indexed="8"/>
      <name val="Calibri"/>
      <family val="2"/>
      <charset val="163"/>
    </font>
    <font>
      <sz val="12"/>
      <color indexed="8"/>
      <name val="Calibri"/>
      <family val="2"/>
      <charset val="163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vertAlign val="superscript"/>
      <sz val="12"/>
      <color indexed="8"/>
      <name val="Calibri"/>
      <family val="2"/>
    </font>
    <font>
      <vertAlign val="superscript"/>
      <sz val="11"/>
      <color indexed="8"/>
      <name val="Calibri"/>
      <family val="2"/>
    </font>
    <font>
      <vertAlign val="subscript"/>
      <sz val="11"/>
      <color indexed="8"/>
      <name val="Calibri"/>
      <family val="2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  <font>
      <b/>
      <u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  <charset val="163"/>
    </font>
    <font>
      <b/>
      <sz val="14"/>
      <color indexed="8"/>
      <name val="Calibri"/>
      <family val="2"/>
      <charset val="163"/>
    </font>
    <font>
      <b/>
      <sz val="16"/>
      <color indexed="8"/>
      <name val="Calibri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63"/>
      <scheme val="minor"/>
    </font>
    <font>
      <b/>
      <sz val="12"/>
      <color theme="1"/>
      <name val="Calibri"/>
      <family val="2"/>
      <charset val="163"/>
      <scheme val="minor"/>
    </font>
    <font>
      <b/>
      <sz val="14"/>
      <color theme="1"/>
      <name val="Calibri"/>
      <family val="2"/>
      <charset val="163"/>
      <scheme val="minor"/>
    </font>
    <font>
      <b/>
      <sz val="12"/>
      <color theme="1"/>
      <name val="Arial Black"/>
      <family val="2"/>
    </font>
    <font>
      <b/>
      <sz val="16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2" fillId="0" borderId="0" xfId="0" applyFont="1"/>
    <xf numFmtId="0" fontId="2" fillId="0" borderId="0" xfId="0" applyFont="1" applyBorder="1" applyAlignment="1"/>
    <xf numFmtId="0" fontId="0" fillId="0" borderId="0" xfId="0" applyBorder="1"/>
    <xf numFmtId="0" fontId="0" fillId="0" borderId="4" xfId="0" applyBorder="1"/>
    <xf numFmtId="0" fontId="0" fillId="0" borderId="0" xfId="0" applyBorder="1" applyAlignment="1"/>
    <xf numFmtId="0" fontId="0" fillId="0" borderId="5" xfId="0" applyBorder="1"/>
    <xf numFmtId="0" fontId="0" fillId="0" borderId="6" xfId="0" applyBorder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/>
    <xf numFmtId="0" fontId="0" fillId="0" borderId="9" xfId="0" applyBorder="1" applyAlignment="1"/>
    <xf numFmtId="0" fontId="0" fillId="0" borderId="3" xfId="0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2" fillId="0" borderId="9" xfId="0" applyFont="1" applyBorder="1" applyAlignment="1"/>
    <xf numFmtId="0" fontId="4" fillId="0" borderId="1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11" xfId="0" applyFont="1" applyBorder="1"/>
    <xf numFmtId="0" fontId="0" fillId="0" borderId="13" xfId="0" applyBorder="1"/>
    <xf numFmtId="0" fontId="0" fillId="0" borderId="14" xfId="0" applyBorder="1"/>
    <xf numFmtId="0" fontId="0" fillId="0" borderId="7" xfId="0" applyFill="1" applyBorder="1"/>
    <xf numFmtId="0" fontId="4" fillId="0" borderId="4" xfId="0" applyFont="1" applyBorder="1" applyAlignment="1"/>
    <xf numFmtId="0" fontId="4" fillId="0" borderId="7" xfId="0" applyFont="1" applyBorder="1" applyAlignment="1"/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1" fillId="0" borderId="8" xfId="0" applyFont="1" applyBorder="1"/>
    <xf numFmtId="0" fontId="11" fillId="0" borderId="1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1" xfId="0" applyBorder="1" applyAlignment="1"/>
    <xf numFmtId="0" fontId="11" fillId="0" borderId="7" xfId="0" applyFont="1" applyBorder="1"/>
    <xf numFmtId="0" fontId="3" fillId="0" borderId="9" xfId="0" applyFont="1" applyBorder="1"/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center"/>
    </xf>
    <xf numFmtId="165" fontId="18" fillId="0" borderId="7" xfId="1" applyFont="1" applyBorder="1" applyAlignment="1"/>
    <xf numFmtId="165" fontId="18" fillId="0" borderId="4" xfId="1" applyFont="1" applyBorder="1" applyAlignment="1"/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5" fontId="14" fillId="0" borderId="8" xfId="1" applyFont="1" applyBorder="1" applyAlignmen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Border="1" applyAlignment="1"/>
    <xf numFmtId="165" fontId="18" fillId="0" borderId="7" xfId="1" applyFont="1" applyBorder="1"/>
    <xf numFmtId="165" fontId="18" fillId="0" borderId="6" xfId="1" applyFont="1" applyBorder="1"/>
    <xf numFmtId="165" fontId="3" fillId="0" borderId="8" xfId="1" applyFont="1" applyBorder="1" applyAlignment="1">
      <alignment horizontal="center"/>
    </xf>
    <xf numFmtId="165" fontId="14" fillId="0" borderId="9" xfId="1" applyFont="1" applyBorder="1" applyAlignment="1"/>
    <xf numFmtId="165" fontId="14" fillId="0" borderId="4" xfId="1" applyFont="1" applyBorder="1" applyAlignment="1">
      <alignment horizontal="center"/>
    </xf>
    <xf numFmtId="165" fontId="14" fillId="0" borderId="7" xfId="1" applyFont="1" applyBorder="1" applyAlignment="1">
      <alignment horizontal="center"/>
    </xf>
    <xf numFmtId="165" fontId="14" fillId="0" borderId="8" xfId="1" applyFont="1" applyBorder="1" applyAlignment="1">
      <alignment horizontal="center"/>
    </xf>
    <xf numFmtId="165" fontId="14" fillId="0" borderId="7" xfId="1" applyFont="1" applyBorder="1"/>
    <xf numFmtId="165" fontId="18" fillId="0" borderId="0" xfId="1" applyFont="1"/>
    <xf numFmtId="165" fontId="2" fillId="0" borderId="0" xfId="1" applyFont="1"/>
    <xf numFmtId="165" fontId="2" fillId="0" borderId="7" xfId="1" applyFont="1" applyBorder="1"/>
    <xf numFmtId="165" fontId="2" fillId="0" borderId="7" xfId="1" applyFont="1" applyBorder="1" applyAlignment="1">
      <alignment horizontal="center"/>
    </xf>
    <xf numFmtId="165" fontId="2" fillId="0" borderId="5" xfId="1" applyFont="1" applyBorder="1" applyAlignment="1">
      <alignment horizontal="center"/>
    </xf>
    <xf numFmtId="165" fontId="2" fillId="0" borderId="13" xfId="1" applyFont="1" applyBorder="1" applyAlignment="1">
      <alignment horizontal="center"/>
    </xf>
    <xf numFmtId="165" fontId="13" fillId="0" borderId="4" xfId="1" applyFont="1" applyBorder="1" applyAlignment="1">
      <alignment horizontal="center"/>
    </xf>
    <xf numFmtId="165" fontId="11" fillId="0" borderId="8" xfId="1" applyFont="1" applyBorder="1" applyAlignment="1">
      <alignment horizontal="center"/>
    </xf>
    <xf numFmtId="165" fontId="18" fillId="0" borderId="4" xfId="1" applyFont="1" applyBorder="1"/>
    <xf numFmtId="165" fontId="18" fillId="0" borderId="5" xfId="1" applyFont="1" applyBorder="1"/>
    <xf numFmtId="165" fontId="18" fillId="0" borderId="13" xfId="1" applyFont="1" applyBorder="1"/>
    <xf numFmtId="165" fontId="11" fillId="0" borderId="8" xfId="1" applyFont="1" applyBorder="1"/>
    <xf numFmtId="165" fontId="11" fillId="0" borderId="7" xfId="1" applyFont="1" applyBorder="1"/>
    <xf numFmtId="165" fontId="18" fillId="0" borderId="9" xfId="1" applyFont="1" applyBorder="1"/>
    <xf numFmtId="165" fontId="18" fillId="0" borderId="0" xfId="1" applyFont="1" applyBorder="1"/>
    <xf numFmtId="165" fontId="19" fillId="0" borderId="7" xfId="1" applyFont="1" applyBorder="1"/>
    <xf numFmtId="165" fontId="19" fillId="0" borderId="4" xfId="1" applyFont="1" applyBorder="1"/>
    <xf numFmtId="165" fontId="11" fillId="0" borderId="0" xfId="1" applyFont="1" applyBorder="1" applyAlignment="1">
      <alignment horizontal="center"/>
    </xf>
    <xf numFmtId="165" fontId="19" fillId="0" borderId="4" xfId="0" applyNumberFormat="1" applyFont="1" applyBorder="1"/>
    <xf numFmtId="0" fontId="0" fillId="0" borderId="0" xfId="0" applyBorder="1" applyAlignment="1">
      <alignment horizontal="center"/>
    </xf>
    <xf numFmtId="0" fontId="0" fillId="0" borderId="7" xfId="0" applyBorder="1" applyAlignment="1"/>
    <xf numFmtId="0" fontId="0" fillId="0" borderId="0" xfId="0" applyBorder="1" applyAlignment="1"/>
    <xf numFmtId="0" fontId="0" fillId="0" borderId="10" xfId="0" applyBorder="1" applyAlignment="1">
      <alignment horizontal="left"/>
    </xf>
    <xf numFmtId="0" fontId="0" fillId="0" borderId="7" xfId="0" applyBorder="1" applyAlignment="1"/>
    <xf numFmtId="0" fontId="4" fillId="0" borderId="9" xfId="0" applyFont="1" applyBorder="1" applyAlignment="1"/>
    <xf numFmtId="0" fontId="4" fillId="0" borderId="12" xfId="0" applyFont="1" applyBorder="1" applyAlignment="1"/>
    <xf numFmtId="43" fontId="11" fillId="0" borderId="8" xfId="2" applyNumberFormat="1" applyFont="1" applyBorder="1" applyAlignment="1">
      <alignment horizontal="center"/>
    </xf>
    <xf numFmtId="43" fontId="18" fillId="0" borderId="0" xfId="2" applyNumberFormat="1" applyFont="1"/>
    <xf numFmtId="43" fontId="18" fillId="0" borderId="7" xfId="2" applyNumberFormat="1" applyFont="1" applyBorder="1"/>
    <xf numFmtId="43" fontId="18" fillId="0" borderId="3" xfId="2" applyNumberFormat="1" applyFont="1" applyBorder="1"/>
    <xf numFmtId="43" fontId="18" fillId="0" borderId="0" xfId="2" applyNumberFormat="1" applyFont="1" applyBorder="1"/>
    <xf numFmtId="43" fontId="18" fillId="0" borderId="10" xfId="2" applyNumberFormat="1" applyFont="1" applyBorder="1"/>
    <xf numFmtId="43" fontId="18" fillId="0" borderId="12" xfId="2" applyNumberFormat="1" applyFont="1" applyBorder="1"/>
    <xf numFmtId="43" fontId="18" fillId="0" borderId="11" xfId="2" applyNumberFormat="1" applyFont="1" applyBorder="1"/>
    <xf numFmtId="43" fontId="18" fillId="0" borderId="9" xfId="2" applyNumberFormat="1" applyFont="1" applyBorder="1"/>
    <xf numFmtId="0" fontId="20" fillId="0" borderId="0" xfId="0" applyFont="1"/>
    <xf numFmtId="0" fontId="15" fillId="0" borderId="1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0" fillId="0" borderId="7" xfId="0" applyFont="1" applyBorder="1" applyAlignment="1"/>
    <xf numFmtId="0" fontId="15" fillId="0" borderId="0" xfId="0" applyFont="1" applyBorder="1" applyAlignment="1"/>
    <xf numFmtId="0" fontId="21" fillId="0" borderId="0" xfId="0" applyFont="1"/>
    <xf numFmtId="0" fontId="15" fillId="0" borderId="3" xfId="0" applyFont="1" applyBorder="1" applyAlignment="1"/>
    <xf numFmtId="0" fontId="21" fillId="0" borderId="0" xfId="0" applyFont="1" applyBorder="1"/>
    <xf numFmtId="4" fontId="20" fillId="0" borderId="0" xfId="0" applyNumberFormat="1" applyFont="1"/>
    <xf numFmtId="0" fontId="21" fillId="0" borderId="12" xfId="0" applyFont="1" applyBorder="1"/>
    <xf numFmtId="0" fontId="20" fillId="0" borderId="7" xfId="0" applyFont="1" applyBorder="1"/>
    <xf numFmtId="0" fontId="22" fillId="0" borderId="0" xfId="0" applyFont="1" applyBorder="1"/>
    <xf numFmtId="0" fontId="22" fillId="0" borderId="3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3" fillId="0" borderId="0" xfId="0" applyFont="1" applyBorder="1"/>
    <xf numFmtId="0" fontId="20" fillId="0" borderId="0" xfId="0" applyFont="1" applyBorder="1"/>
    <xf numFmtId="0" fontId="20" fillId="0" borderId="0" xfId="0" applyFont="1" applyBorder="1" applyAlignment="1"/>
    <xf numFmtId="0" fontId="20" fillId="0" borderId="11" xfId="0" applyFont="1" applyBorder="1"/>
    <xf numFmtId="0" fontId="20" fillId="0" borderId="9" xfId="0" applyFont="1" applyBorder="1"/>
    <xf numFmtId="0" fontId="20" fillId="0" borderId="3" xfId="0" applyFont="1" applyBorder="1"/>
    <xf numFmtId="0" fontId="15" fillId="0" borderId="10" xfId="0" applyFont="1" applyBorder="1" applyAlignment="1"/>
    <xf numFmtId="0" fontId="21" fillId="0" borderId="12" xfId="0" applyFont="1" applyBorder="1" applyAlignment="1"/>
    <xf numFmtId="0" fontId="24" fillId="0" borderId="1" xfId="0" applyFont="1" applyBorder="1"/>
    <xf numFmtId="0" fontId="24" fillId="0" borderId="2" xfId="0" applyFont="1" applyBorder="1"/>
    <xf numFmtId="0" fontId="20" fillId="0" borderId="10" xfId="0" applyFont="1" applyBorder="1"/>
    <xf numFmtId="0" fontId="20" fillId="0" borderId="12" xfId="0" applyFont="1" applyBorder="1"/>
    <xf numFmtId="0" fontId="20" fillId="0" borderId="6" xfId="0" applyFont="1" applyBorder="1" applyAlignment="1"/>
    <xf numFmtId="0" fontId="4" fillId="0" borderId="8" xfId="0" applyFont="1" applyBorder="1"/>
    <xf numFmtId="0" fontId="2" fillId="2" borderId="7" xfId="0" applyFont="1" applyFill="1" applyBorder="1"/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6" xfId="0" applyFont="1" applyBorder="1" applyAlignment="1">
      <alignment wrapText="1"/>
    </xf>
    <xf numFmtId="166" fontId="11" fillId="0" borderId="8" xfId="1" applyNumberFormat="1" applyFont="1" applyBorder="1"/>
    <xf numFmtId="166" fontId="11" fillId="0" borderId="7" xfId="1" applyNumberFormat="1" applyFont="1" applyBorder="1"/>
    <xf numFmtId="166" fontId="0" fillId="0" borderId="7" xfId="1" applyNumberFormat="1" applyFont="1" applyBorder="1"/>
    <xf numFmtId="166" fontId="0" fillId="0" borderId="0" xfId="1" applyNumberFormat="1" applyFont="1"/>
    <xf numFmtId="166" fontId="4" fillId="0" borderId="8" xfId="1" applyNumberFormat="1" applyFont="1" applyBorder="1"/>
    <xf numFmtId="166" fontId="18" fillId="0" borderId="7" xfId="1" applyNumberFormat="1" applyFont="1" applyBorder="1"/>
    <xf numFmtId="166" fontId="18" fillId="0" borderId="6" xfId="1" applyNumberFormat="1" applyFont="1" applyBorder="1"/>
    <xf numFmtId="166" fontId="19" fillId="0" borderId="4" xfId="1" applyNumberFormat="1" applyFont="1" applyBorder="1" applyAlignment="1"/>
    <xf numFmtId="166" fontId="19" fillId="0" borderId="6" xfId="1" applyNumberFormat="1" applyFont="1" applyBorder="1" applyAlignment="1"/>
    <xf numFmtId="166" fontId="0" fillId="0" borderId="0" xfId="0" applyNumberFormat="1"/>
    <xf numFmtId="166" fontId="18" fillId="0" borderId="12" xfId="1" applyNumberFormat="1" applyFont="1" applyBorder="1"/>
    <xf numFmtId="166" fontId="3" fillId="0" borderId="8" xfId="1" applyNumberFormat="1" applyFont="1" applyBorder="1" applyAlignment="1">
      <alignment horizontal="center"/>
    </xf>
    <xf numFmtId="166" fontId="19" fillId="0" borderId="4" xfId="1" applyNumberFormat="1" applyFont="1" applyBorder="1"/>
    <xf numFmtId="166" fontId="19" fillId="0" borderId="7" xfId="1" applyNumberFormat="1" applyFont="1" applyBorder="1"/>
    <xf numFmtId="166" fontId="2" fillId="0" borderId="0" xfId="1" applyNumberFormat="1" applyFont="1"/>
    <xf numFmtId="166" fontId="2" fillId="0" borderId="7" xfId="1" applyNumberFormat="1" applyFont="1" applyBorder="1"/>
    <xf numFmtId="166" fontId="2" fillId="0" borderId="7" xfId="1" applyNumberFormat="1" applyFont="1" applyBorder="1" applyAlignment="1">
      <alignment horizontal="center"/>
    </xf>
    <xf numFmtId="166" fontId="2" fillId="0" borderId="5" xfId="1" applyNumberFormat="1" applyFont="1" applyBorder="1" applyAlignment="1">
      <alignment horizontal="center"/>
    </xf>
    <xf numFmtId="166" fontId="2" fillId="0" borderId="7" xfId="1" applyNumberFormat="1" applyFont="1" applyBorder="1" applyAlignment="1">
      <alignment horizontal="center" wrapText="1"/>
    </xf>
    <xf numFmtId="166" fontId="2" fillId="0" borderId="13" xfId="1" applyNumberFormat="1" applyFont="1" applyBorder="1" applyAlignment="1">
      <alignment horizontal="center" wrapText="1"/>
    </xf>
    <xf numFmtId="166" fontId="13" fillId="0" borderId="4" xfId="1" applyNumberFormat="1" applyFont="1" applyBorder="1" applyAlignment="1">
      <alignment horizontal="center"/>
    </xf>
    <xf numFmtId="166" fontId="14" fillId="0" borderId="6" xfId="1" applyNumberFormat="1" applyFont="1" applyBorder="1" applyAlignment="1">
      <alignment horizontal="center"/>
    </xf>
    <xf numFmtId="3" fontId="0" fillId="0" borderId="7" xfId="0" applyNumberFormat="1" applyBorder="1"/>
    <xf numFmtId="166" fontId="0" fillId="0" borderId="6" xfId="1" applyNumberFormat="1" applyFont="1" applyBorder="1"/>
    <xf numFmtId="166" fontId="19" fillId="0" borderId="4" xfId="0" applyNumberFormat="1" applyFont="1" applyBorder="1"/>
    <xf numFmtId="0" fontId="25" fillId="0" borderId="7" xfId="0" applyFont="1" applyBorder="1"/>
    <xf numFmtId="166" fontId="25" fillId="0" borderId="7" xfId="1" applyNumberFormat="1" applyFont="1" applyBorder="1"/>
    <xf numFmtId="0" fontId="25" fillId="0" borderId="11" xfId="0" applyFont="1" applyBorder="1"/>
    <xf numFmtId="166" fontId="4" fillId="0" borderId="9" xfId="1" applyNumberFormat="1" applyFont="1" applyBorder="1" applyAlignment="1"/>
    <xf numFmtId="0" fontId="25" fillId="0" borderId="10" xfId="0" applyFont="1" applyBorder="1"/>
    <xf numFmtId="0" fontId="25" fillId="0" borderId="12" xfId="0" applyFont="1" applyBorder="1"/>
    <xf numFmtId="166" fontId="4" fillId="0" borderId="12" xfId="1" applyNumberFormat="1" applyFont="1" applyBorder="1" applyAlignment="1"/>
    <xf numFmtId="166" fontId="4" fillId="0" borderId="6" xfId="0" applyNumberFormat="1" applyFont="1" applyBorder="1" applyAlignment="1"/>
    <xf numFmtId="0" fontId="25" fillId="0" borderId="0" xfId="0" applyFont="1"/>
    <xf numFmtId="166" fontId="25" fillId="0" borderId="0" xfId="1" applyNumberFormat="1" applyFont="1"/>
    <xf numFmtId="166" fontId="25" fillId="0" borderId="0" xfId="0" applyNumberFormat="1" applyFont="1"/>
    <xf numFmtId="166" fontId="0" fillId="0" borderId="14" xfId="1" applyNumberFormat="1" applyFont="1" applyBorder="1"/>
    <xf numFmtId="166" fontId="18" fillId="0" borderId="14" xfId="1" applyNumberFormat="1" applyFont="1" applyBorder="1"/>
    <xf numFmtId="166" fontId="19" fillId="0" borderId="5" xfId="1" applyNumberFormat="1" applyFont="1" applyBorder="1"/>
    <xf numFmtId="166" fontId="18" fillId="0" borderId="5" xfId="1" applyNumberFormat="1" applyFont="1" applyBorder="1"/>
    <xf numFmtId="166" fontId="18" fillId="0" borderId="13" xfId="1" applyNumberFormat="1" applyFont="1" applyBorder="1"/>
    <xf numFmtId="166" fontId="11" fillId="0" borderId="8" xfId="1" applyNumberFormat="1" applyFont="1" applyBorder="1" applyAlignment="1">
      <alignment horizontal="center"/>
    </xf>
    <xf numFmtId="166" fontId="0" fillId="0" borderId="4" xfId="1" applyNumberFormat="1" applyFont="1" applyBorder="1"/>
    <xf numFmtId="166" fontId="18" fillId="0" borderId="4" xfId="1" applyNumberFormat="1" applyFont="1" applyBorder="1"/>
    <xf numFmtId="166" fontId="18" fillId="0" borderId="0" xfId="1" applyNumberFormat="1" applyFont="1" applyBorder="1"/>
    <xf numFmtId="166" fontId="18" fillId="0" borderId="0" xfId="1" applyNumberFormat="1" applyFont="1"/>
    <xf numFmtId="166" fontId="0" fillId="0" borderId="12" xfId="1" applyNumberFormat="1" applyFont="1" applyBorder="1"/>
    <xf numFmtId="166" fontId="4" fillId="0" borderId="8" xfId="1" applyNumberFormat="1" applyFont="1" applyBorder="1" applyAlignment="1">
      <alignment horizontal="center"/>
    </xf>
    <xf numFmtId="166" fontId="0" fillId="0" borderId="5" xfId="1" applyNumberFormat="1" applyFont="1" applyBorder="1"/>
    <xf numFmtId="166" fontId="0" fillId="0" borderId="13" xfId="1" applyNumberFormat="1" applyFont="1" applyBorder="1"/>
    <xf numFmtId="166" fontId="19" fillId="0" borderId="7" xfId="1" applyNumberFormat="1" applyFont="1" applyBorder="1" applyAlignment="1"/>
    <xf numFmtId="166" fontId="0" fillId="0" borderId="0" xfId="0" applyNumberFormat="1" applyBorder="1"/>
    <xf numFmtId="166" fontId="11" fillId="0" borderId="8" xfId="0" applyNumberFormat="1" applyFont="1" applyBorder="1" applyAlignment="1">
      <alignment horizontal="center"/>
    </xf>
    <xf numFmtId="166" fontId="0" fillId="0" borderId="7" xfId="0" applyNumberFormat="1" applyBorder="1"/>
    <xf numFmtId="0" fontId="0" fillId="0" borderId="22" xfId="0" applyBorder="1"/>
    <xf numFmtId="166" fontId="18" fillId="0" borderId="25" xfId="1" applyNumberFormat="1" applyFont="1" applyBorder="1"/>
    <xf numFmtId="0" fontId="0" fillId="0" borderId="23" xfId="0" applyBorder="1"/>
    <xf numFmtId="43" fontId="4" fillId="0" borderId="8" xfId="2" applyNumberFormat="1" applyFont="1" applyBorder="1" applyAlignment="1">
      <alignment horizontal="center"/>
    </xf>
    <xf numFmtId="43" fontId="0" fillId="0" borderId="7" xfId="2" applyNumberFormat="1" applyFont="1" applyBorder="1" applyAlignment="1">
      <alignment wrapText="1"/>
    </xf>
    <xf numFmtId="43" fontId="0" fillId="0" borderId="7" xfId="2" applyNumberFormat="1" applyFont="1" applyBorder="1"/>
    <xf numFmtId="167" fontId="4" fillId="0" borderId="8" xfId="2" applyNumberFormat="1" applyFont="1" applyBorder="1"/>
    <xf numFmtId="167" fontId="18" fillId="0" borderId="7" xfId="2" applyNumberFormat="1" applyFont="1" applyBorder="1"/>
    <xf numFmtId="167" fontId="18" fillId="0" borderId="4" xfId="2" applyNumberFormat="1" applyFont="1" applyBorder="1"/>
    <xf numFmtId="167" fontId="19" fillId="0" borderId="7" xfId="2" applyNumberFormat="1" applyFont="1" applyBorder="1"/>
    <xf numFmtId="167" fontId="18" fillId="0" borderId="6" xfId="2" applyNumberFormat="1" applyFont="1" applyBorder="1"/>
    <xf numFmtId="167" fontId="18" fillId="0" borderId="0" xfId="2" applyNumberFormat="1" applyFont="1"/>
    <xf numFmtId="166" fontId="2" fillId="0" borderId="6" xfId="1" applyNumberFormat="1" applyFont="1" applyBorder="1" applyAlignment="1">
      <alignment horizontal="center" wrapText="1"/>
    </xf>
    <xf numFmtId="166" fontId="2" fillId="0" borderId="9" xfId="1" applyNumberFormat="1" applyFont="1" applyBorder="1" applyAlignment="1">
      <alignment horizontal="center"/>
    </xf>
    <xf numFmtId="166" fontId="0" fillId="0" borderId="12" xfId="1" applyNumberFormat="1" applyFont="1" applyBorder="1" applyAlignment="1">
      <alignment horizontal="center"/>
    </xf>
    <xf numFmtId="166" fontId="20" fillId="0" borderId="0" xfId="0" applyNumberFormat="1" applyFont="1"/>
    <xf numFmtId="166" fontId="20" fillId="0" borderId="0" xfId="0" applyNumberFormat="1" applyFont="1" applyBorder="1"/>
    <xf numFmtId="166" fontId="20" fillId="0" borderId="0" xfId="1" applyNumberFormat="1" applyFont="1" applyBorder="1" applyAlignment="1"/>
    <xf numFmtId="166" fontId="15" fillId="0" borderId="8" xfId="1" applyNumberFormat="1" applyFont="1" applyBorder="1" applyAlignment="1">
      <alignment horizontal="center"/>
    </xf>
    <xf numFmtId="166" fontId="20" fillId="0" borderId="4" xfId="1" applyNumberFormat="1" applyFont="1" applyBorder="1" applyAlignment="1"/>
    <xf numFmtId="166" fontId="20" fillId="0" borderId="6" xfId="1" applyNumberFormat="1" applyFont="1" applyBorder="1" applyAlignment="1"/>
    <xf numFmtId="166" fontId="20" fillId="0" borderId="7" xfId="1" applyNumberFormat="1" applyFont="1" applyBorder="1" applyAlignment="1"/>
    <xf numFmtId="166" fontId="21" fillId="0" borderId="7" xfId="1" applyNumberFormat="1" applyFont="1" applyBorder="1" applyAlignment="1"/>
    <xf numFmtId="166" fontId="21" fillId="0" borderId="6" xfId="1" applyNumberFormat="1" applyFont="1" applyBorder="1" applyAlignment="1"/>
    <xf numFmtId="166" fontId="16" fillId="0" borderId="7" xfId="1" applyNumberFormat="1" applyFont="1" applyBorder="1" applyAlignment="1"/>
    <xf numFmtId="166" fontId="16" fillId="0" borderId="7" xfId="1" applyNumberFormat="1" applyFont="1" applyBorder="1" applyAlignment="1">
      <alignment horizontal="center"/>
    </xf>
    <xf numFmtId="166" fontId="17" fillId="0" borderId="8" xfId="1" applyNumberFormat="1" applyFont="1" applyBorder="1" applyAlignment="1">
      <alignment horizontal="center"/>
    </xf>
    <xf numFmtId="166" fontId="15" fillId="0" borderId="0" xfId="1" applyNumberFormat="1" applyFont="1" applyBorder="1" applyAlignment="1">
      <alignment horizontal="center"/>
    </xf>
    <xf numFmtId="166" fontId="15" fillId="0" borderId="0" xfId="1" applyNumberFormat="1" applyFont="1" applyBorder="1"/>
    <xf numFmtId="166" fontId="21" fillId="0" borderId="0" xfId="0" applyNumberFormat="1" applyFont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0" fontId="2" fillId="0" borderId="0" xfId="0" applyFont="1" applyBorder="1" applyAlignment="1"/>
    <xf numFmtId="0" fontId="11" fillId="0" borderId="1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1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1" fillId="0" borderId="7" xfId="0" applyFont="1" applyBorder="1" applyAlignment="1"/>
    <xf numFmtId="0" fontId="0" fillId="0" borderId="7" xfId="0" applyBorder="1" applyAlignment="1"/>
    <xf numFmtId="0" fontId="0" fillId="0" borderId="3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11" fillId="0" borderId="3" xfId="0" applyFont="1" applyBorder="1" applyAlignment="1"/>
    <xf numFmtId="0" fontId="11" fillId="0" borderId="0" xfId="0" applyFont="1" applyBorder="1" applyAlignment="1"/>
    <xf numFmtId="0" fontId="11" fillId="0" borderId="5" xfId="0" applyFont="1" applyBorder="1" applyAlignment="1"/>
    <xf numFmtId="0" fontId="11" fillId="0" borderId="9" xfId="0" applyFont="1" applyBorder="1" applyAlignment="1"/>
    <xf numFmtId="0" fontId="11" fillId="0" borderId="14" xfId="0" applyFont="1" applyBorder="1" applyAlignment="1"/>
    <xf numFmtId="0" fontId="11" fillId="0" borderId="12" xfId="0" applyFont="1" applyBorder="1" applyAlignment="1"/>
    <xf numFmtId="0" fontId="11" fillId="0" borderId="13" xfId="0" applyFont="1" applyBorder="1" applyAlignment="1"/>
    <xf numFmtId="0" fontId="11" fillId="0" borderId="0" xfId="0" applyFont="1" applyAlignment="1"/>
    <xf numFmtId="0" fontId="0" fillId="0" borderId="6" xfId="0" applyBorder="1" applyAlignment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/>
    <xf numFmtId="0" fontId="0" fillId="0" borderId="9" xfId="0" applyBorder="1" applyAlignment="1">
      <alignment horizontal="left"/>
    </xf>
    <xf numFmtId="0" fontId="0" fillId="0" borderId="14" xfId="0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2" fillId="0" borderId="7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23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5" fillId="0" borderId="3" xfId="0" applyFont="1" applyBorder="1" applyAlignment="1"/>
    <xf numFmtId="0" fontId="15" fillId="0" borderId="0" xfId="0" applyFont="1" applyBorder="1" applyAlignment="1"/>
    <xf numFmtId="0" fontId="15" fillId="0" borderId="3" xfId="0" applyFont="1" applyBorder="1" applyAlignment="1">
      <alignment horizontal="left"/>
    </xf>
    <xf numFmtId="0" fontId="15" fillId="0" borderId="0" xfId="0" applyFont="1" applyBorder="1" applyAlignment="1">
      <alignment horizontal="left"/>
    </xf>
    <xf numFmtId="0" fontId="15" fillId="0" borderId="15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5" fillId="0" borderId="7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0" borderId="0" xfId="0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166" fontId="25" fillId="0" borderId="7" xfId="1" applyNumberFormat="1" applyFont="1" applyBorder="1" applyAlignment="1">
      <alignment horizontal="center"/>
    </xf>
    <xf numFmtId="0" fontId="4" fillId="0" borderId="9" xfId="0" applyFont="1" applyBorder="1" applyAlignment="1"/>
    <xf numFmtId="0" fontId="0" fillId="0" borderId="3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23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167" fontId="11" fillId="0" borderId="8" xfId="2" applyNumberFormat="1" applyFont="1" applyBorder="1" applyAlignment="1">
      <alignment horizontal="center"/>
    </xf>
    <xf numFmtId="167" fontId="18" fillId="0" borderId="9" xfId="2" applyNumberFormat="1" applyFont="1" applyBorder="1"/>
    <xf numFmtId="167" fontId="18" fillId="0" borderId="12" xfId="2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8</xdr:col>
      <xdr:colOff>1847850</xdr:colOff>
      <xdr:row>5</xdr:row>
      <xdr:rowOff>133351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8100"/>
          <a:ext cx="5334000" cy="109537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0"/>
  <sheetViews>
    <sheetView view="pageLayout" topLeftCell="A76" zoomScaleNormal="100" workbookViewId="0">
      <selection activeCell="A577" sqref="A577:I663"/>
    </sheetView>
  </sheetViews>
  <sheetFormatPr defaultRowHeight="15" x14ac:dyDescent="0.25"/>
  <cols>
    <col min="4" max="4" width="10.42578125" customWidth="1"/>
    <col min="5" max="5" width="11.85546875" customWidth="1"/>
    <col min="6" max="6" width="5" customWidth="1"/>
    <col min="7" max="7" width="6.7109375" customWidth="1"/>
    <col min="8" max="8" width="6" customWidth="1"/>
    <col min="9" max="9" width="15" customWidth="1"/>
  </cols>
  <sheetData>
    <row r="1" spans="1:9" ht="16.5" thickBot="1" x14ac:dyDescent="0.3">
      <c r="A1" s="43" t="s">
        <v>0</v>
      </c>
      <c r="B1" s="245" t="s">
        <v>1</v>
      </c>
      <c r="C1" s="246"/>
      <c r="D1" s="246"/>
      <c r="E1" s="246"/>
      <c r="F1" s="247"/>
      <c r="G1" s="34" t="s">
        <v>2</v>
      </c>
      <c r="H1" s="44" t="s">
        <v>3</v>
      </c>
      <c r="I1" s="61" t="s">
        <v>4</v>
      </c>
    </row>
    <row r="2" spans="1:9" x14ac:dyDescent="0.25">
      <c r="A2" s="12"/>
      <c r="I2" s="48"/>
    </row>
    <row r="3" spans="1:9" ht="15.75" x14ac:dyDescent="0.25">
      <c r="A3" s="12"/>
      <c r="D3" s="248" t="s">
        <v>5</v>
      </c>
      <c r="E3" s="249"/>
      <c r="I3" s="48"/>
    </row>
    <row r="4" spans="1:9" x14ac:dyDescent="0.25">
      <c r="A4" s="12"/>
      <c r="I4" s="48"/>
    </row>
    <row r="5" spans="1:9" ht="15.75" x14ac:dyDescent="0.25">
      <c r="A5" s="12"/>
      <c r="C5" s="248" t="s">
        <v>6</v>
      </c>
      <c r="D5" s="248"/>
      <c r="E5" s="248"/>
      <c r="F5" s="248"/>
      <c r="I5" s="48"/>
    </row>
    <row r="6" spans="1:9" x14ac:dyDescent="0.25">
      <c r="A6" s="12"/>
      <c r="I6" s="48"/>
    </row>
    <row r="7" spans="1:9" ht="15.75" x14ac:dyDescent="0.25">
      <c r="A7" s="12"/>
      <c r="B7" s="233" t="s">
        <v>10</v>
      </c>
      <c r="C7" s="233"/>
      <c r="D7" s="233"/>
      <c r="I7" s="48">
        <v>100333.65</v>
      </c>
    </row>
    <row r="8" spans="1:9" ht="15.75" x14ac:dyDescent="0.25">
      <c r="A8" s="12"/>
      <c r="B8" s="233"/>
      <c r="C8" s="233"/>
      <c r="D8" s="233"/>
      <c r="I8" s="48"/>
    </row>
    <row r="9" spans="1:9" ht="15.75" x14ac:dyDescent="0.25">
      <c r="A9" s="12"/>
      <c r="B9" s="233" t="s">
        <v>11</v>
      </c>
      <c r="C9" s="233"/>
      <c r="D9" s="233"/>
      <c r="I9" s="48">
        <v>95598.399999999994</v>
      </c>
    </row>
    <row r="10" spans="1:9" ht="15.75" x14ac:dyDescent="0.25">
      <c r="A10" s="12"/>
      <c r="B10" s="233"/>
      <c r="C10" s="233"/>
      <c r="D10" s="233"/>
      <c r="I10" s="48"/>
    </row>
    <row r="11" spans="1:9" ht="15.75" x14ac:dyDescent="0.25">
      <c r="A11" s="12"/>
      <c r="B11" s="233" t="s">
        <v>7</v>
      </c>
      <c r="C11" s="233"/>
      <c r="D11" s="233"/>
      <c r="I11" s="48">
        <v>52633</v>
      </c>
    </row>
    <row r="12" spans="1:9" ht="15.75" x14ac:dyDescent="0.25">
      <c r="A12" s="12"/>
      <c r="B12" s="233"/>
      <c r="C12" s="233"/>
      <c r="D12" s="233"/>
      <c r="I12" s="48"/>
    </row>
    <row r="13" spans="1:9" ht="15.75" x14ac:dyDescent="0.25">
      <c r="A13" s="12"/>
      <c r="B13" s="233" t="s">
        <v>8</v>
      </c>
      <c r="C13" s="233"/>
      <c r="D13" s="233"/>
      <c r="I13" s="48">
        <v>42330</v>
      </c>
    </row>
    <row r="14" spans="1:9" ht="15.75" x14ac:dyDescent="0.25">
      <c r="A14" s="12"/>
      <c r="B14" s="233"/>
      <c r="C14" s="233"/>
      <c r="D14" s="233"/>
      <c r="I14" s="48"/>
    </row>
    <row r="15" spans="1:9" ht="15.75" x14ac:dyDescent="0.25">
      <c r="A15" s="12"/>
      <c r="B15" s="233" t="s">
        <v>9</v>
      </c>
      <c r="C15" s="233"/>
      <c r="D15" s="233"/>
      <c r="I15" s="48">
        <v>49367</v>
      </c>
    </row>
    <row r="16" spans="1:9" ht="15.75" x14ac:dyDescent="0.25">
      <c r="A16" s="12"/>
      <c r="B16" s="233"/>
      <c r="C16" s="233"/>
      <c r="D16" s="233"/>
      <c r="I16" s="48"/>
    </row>
    <row r="17" spans="1:9" ht="15.75" x14ac:dyDescent="0.25">
      <c r="A17" s="12"/>
      <c r="B17" s="233" t="s">
        <v>12</v>
      </c>
      <c r="C17" s="233"/>
      <c r="D17" s="233"/>
      <c r="I17" s="48">
        <v>43407</v>
      </c>
    </row>
    <row r="18" spans="1:9" ht="15.75" x14ac:dyDescent="0.25">
      <c r="A18" s="12"/>
      <c r="B18" s="233"/>
      <c r="C18" s="233"/>
      <c r="D18" s="233"/>
      <c r="I18" s="48"/>
    </row>
    <row r="19" spans="1:9" ht="15.75" x14ac:dyDescent="0.25">
      <c r="A19" s="12"/>
      <c r="B19" s="233" t="s">
        <v>13</v>
      </c>
      <c r="C19" s="233"/>
      <c r="D19" s="233"/>
      <c r="I19" s="48">
        <v>51280</v>
      </c>
    </row>
    <row r="20" spans="1:9" ht="15.75" x14ac:dyDescent="0.25">
      <c r="A20" s="12"/>
      <c r="B20" s="233"/>
      <c r="C20" s="233"/>
      <c r="D20" s="233"/>
      <c r="I20" s="48"/>
    </row>
    <row r="21" spans="1:9" ht="15.75" x14ac:dyDescent="0.25">
      <c r="A21" s="12"/>
      <c r="B21" s="233" t="s">
        <v>14</v>
      </c>
      <c r="C21" s="233"/>
      <c r="D21" s="233"/>
      <c r="I21" s="48">
        <v>53174</v>
      </c>
    </row>
    <row r="22" spans="1:9" ht="15.75" x14ac:dyDescent="0.25">
      <c r="A22" s="12"/>
      <c r="B22" s="233"/>
      <c r="C22" s="233"/>
      <c r="D22" s="233"/>
      <c r="I22" s="48"/>
    </row>
    <row r="23" spans="1:9" ht="15.75" x14ac:dyDescent="0.25">
      <c r="A23" s="12"/>
      <c r="B23" s="233" t="s">
        <v>15</v>
      </c>
      <c r="C23" s="233"/>
      <c r="D23" s="233"/>
      <c r="I23" s="48">
        <v>30170</v>
      </c>
    </row>
    <row r="24" spans="1:9" ht="15.75" x14ac:dyDescent="0.25">
      <c r="A24" s="12"/>
      <c r="B24" s="233"/>
      <c r="C24" s="233"/>
      <c r="D24" s="233"/>
      <c r="I24" s="48"/>
    </row>
    <row r="25" spans="1:9" ht="15.75" x14ac:dyDescent="0.25">
      <c r="A25" s="12"/>
      <c r="B25" s="233" t="s">
        <v>16</v>
      </c>
      <c r="C25" s="233"/>
      <c r="D25" s="233"/>
      <c r="I25" s="48">
        <v>52611</v>
      </c>
    </row>
    <row r="26" spans="1:9" ht="15.75" x14ac:dyDescent="0.25">
      <c r="A26" s="12"/>
      <c r="B26" s="233"/>
      <c r="C26" s="233"/>
      <c r="D26" s="233"/>
      <c r="I26" s="48"/>
    </row>
    <row r="27" spans="1:9" ht="15.75" x14ac:dyDescent="0.25">
      <c r="A27" s="12"/>
      <c r="B27" s="233" t="s">
        <v>17</v>
      </c>
      <c r="C27" s="233"/>
      <c r="D27" s="233"/>
      <c r="I27" s="48">
        <v>37120.6</v>
      </c>
    </row>
    <row r="28" spans="1:9" ht="15.75" x14ac:dyDescent="0.25">
      <c r="A28" s="12"/>
      <c r="B28" s="233"/>
      <c r="C28" s="233"/>
      <c r="D28" s="233"/>
      <c r="I28" s="48"/>
    </row>
    <row r="29" spans="1:9" ht="16.5" thickBot="1" x14ac:dyDescent="0.3">
      <c r="A29" s="12"/>
      <c r="B29" s="6"/>
      <c r="C29" s="6"/>
      <c r="D29" s="6"/>
      <c r="E29" s="7"/>
      <c r="F29" s="7"/>
      <c r="G29" s="7"/>
      <c r="H29" s="7"/>
      <c r="I29" s="48"/>
    </row>
    <row r="30" spans="1:9" ht="15.75" x14ac:dyDescent="0.25">
      <c r="A30" s="12"/>
      <c r="B30" s="250" t="s">
        <v>6</v>
      </c>
      <c r="C30" s="250"/>
      <c r="D30" s="250"/>
      <c r="E30" s="14"/>
      <c r="F30" s="14"/>
      <c r="G30" s="14"/>
      <c r="H30" s="14"/>
      <c r="I30" s="49"/>
    </row>
    <row r="31" spans="1:9" ht="16.5" thickBot="1" x14ac:dyDescent="0.3">
      <c r="A31" s="12"/>
      <c r="B31" s="251" t="s">
        <v>18</v>
      </c>
      <c r="C31" s="251"/>
      <c r="D31" s="251"/>
      <c r="E31" s="7"/>
      <c r="F31" s="7"/>
      <c r="G31" s="7"/>
      <c r="H31" s="7"/>
      <c r="I31" s="48"/>
    </row>
    <row r="32" spans="1:9" ht="16.5" thickBot="1" x14ac:dyDescent="0.3">
      <c r="A32" s="13"/>
      <c r="B32" s="21"/>
      <c r="C32" s="15"/>
      <c r="D32" s="15"/>
      <c r="E32" s="14"/>
      <c r="F32" s="14"/>
      <c r="G32" s="14"/>
      <c r="H32" s="14"/>
      <c r="I32" s="49"/>
    </row>
    <row r="33" spans="1:9" ht="15.75" thickBot="1" x14ac:dyDescent="0.3">
      <c r="A33" s="13"/>
      <c r="B33" s="22" t="s">
        <v>19</v>
      </c>
      <c r="C33" s="1"/>
      <c r="D33" s="1"/>
      <c r="E33" s="1"/>
      <c r="F33" s="1"/>
      <c r="G33" s="1"/>
      <c r="H33" s="1"/>
      <c r="I33" s="53">
        <f>SUM(I7:I27)</f>
        <v>608024.65</v>
      </c>
    </row>
    <row r="34" spans="1:9" ht="15.75" thickBot="1" x14ac:dyDescent="0.3">
      <c r="A34" s="9"/>
      <c r="B34" s="7"/>
      <c r="C34" s="14"/>
      <c r="D34" s="14"/>
      <c r="E34" s="14"/>
      <c r="F34" s="14"/>
      <c r="G34" s="14"/>
      <c r="H34" s="14"/>
      <c r="I34" s="62"/>
    </row>
    <row r="35" spans="1:9" x14ac:dyDescent="0.25">
      <c r="A35" s="8"/>
      <c r="B35" s="252" t="s">
        <v>20</v>
      </c>
      <c r="C35" s="253"/>
      <c r="D35" s="14"/>
      <c r="E35" s="14"/>
      <c r="F35" s="14"/>
      <c r="G35" s="14"/>
      <c r="H35" s="14"/>
      <c r="I35" s="63"/>
    </row>
    <row r="36" spans="1:9" x14ac:dyDescent="0.25">
      <c r="A36" s="18"/>
      <c r="B36" s="3"/>
      <c r="C36" s="4"/>
      <c r="D36" s="7"/>
      <c r="E36" s="7"/>
      <c r="F36" s="7"/>
      <c r="G36" s="7"/>
      <c r="H36" s="7"/>
      <c r="I36" s="64"/>
    </row>
    <row r="37" spans="1:9" x14ac:dyDescent="0.25">
      <c r="A37" s="12"/>
      <c r="B37" s="254" t="s">
        <v>21</v>
      </c>
      <c r="C37" s="228"/>
      <c r="D37" s="228"/>
      <c r="E37" s="7"/>
      <c r="F37" s="7"/>
      <c r="G37" s="7"/>
      <c r="H37" s="7"/>
      <c r="I37" s="64">
        <f>0.02*608024.65</f>
        <v>12160.493</v>
      </c>
    </row>
    <row r="38" spans="1:9" ht="15.75" thickBot="1" x14ac:dyDescent="0.3">
      <c r="A38" s="12"/>
      <c r="B38" s="7"/>
      <c r="C38" s="7"/>
      <c r="D38" s="7"/>
      <c r="E38" s="7"/>
      <c r="F38" s="7"/>
      <c r="G38" s="7"/>
      <c r="H38" s="7"/>
      <c r="I38" s="64"/>
    </row>
    <row r="39" spans="1:9" ht="15.75" thickBot="1" x14ac:dyDescent="0.3">
      <c r="A39" s="13"/>
      <c r="B39" s="255" t="s">
        <v>22</v>
      </c>
      <c r="C39" s="256"/>
      <c r="D39" s="1"/>
      <c r="E39" s="1"/>
      <c r="F39" s="1"/>
      <c r="G39" s="1"/>
      <c r="H39" s="1"/>
      <c r="I39" s="65">
        <f>SUM(I33:I37)</f>
        <v>620185.14300000004</v>
      </c>
    </row>
    <row r="40" spans="1:9" x14ac:dyDescent="0.25">
      <c r="A40" s="12"/>
      <c r="B40" s="7"/>
      <c r="C40" s="7"/>
      <c r="D40" s="7"/>
      <c r="E40" s="7"/>
      <c r="I40" s="63"/>
    </row>
    <row r="41" spans="1:9" ht="15.75" thickBot="1" x14ac:dyDescent="0.3">
      <c r="A41" s="12"/>
      <c r="B41" s="7"/>
      <c r="C41" s="7"/>
      <c r="D41" s="7"/>
      <c r="E41" s="7"/>
      <c r="I41" s="66"/>
    </row>
    <row r="42" spans="1:9" ht="15.75" thickBot="1" x14ac:dyDescent="0.3">
      <c r="A42" s="13"/>
      <c r="B42" s="255" t="s">
        <v>23</v>
      </c>
      <c r="C42" s="256"/>
      <c r="D42" s="1"/>
      <c r="E42" s="1"/>
      <c r="F42" s="1"/>
      <c r="G42" s="1"/>
      <c r="H42" s="2"/>
      <c r="I42" s="65">
        <v>620185.14</v>
      </c>
    </row>
    <row r="43" spans="1:9" x14ac:dyDescent="0.25">
      <c r="A43" s="7"/>
      <c r="B43" s="7"/>
      <c r="C43" s="7"/>
      <c r="D43" s="7"/>
      <c r="E43" s="7"/>
      <c r="I43" s="67"/>
    </row>
    <row r="44" spans="1:9" x14ac:dyDescent="0.25">
      <c r="A44" s="7"/>
      <c r="B44" s="7"/>
      <c r="C44" s="7"/>
      <c r="D44" s="7"/>
      <c r="E44" s="7"/>
      <c r="I44" s="67"/>
    </row>
    <row r="45" spans="1:9" x14ac:dyDescent="0.25">
      <c r="A45" s="7"/>
      <c r="B45" s="7"/>
      <c r="C45" s="7"/>
      <c r="D45" s="7"/>
      <c r="E45" s="7"/>
      <c r="I45" s="67"/>
    </row>
    <row r="46" spans="1:9" ht="16.5" thickBot="1" x14ac:dyDescent="0.3">
      <c r="A46" s="23"/>
      <c r="B46" s="23"/>
      <c r="C46" s="23"/>
      <c r="D46" s="23"/>
      <c r="E46" s="23"/>
      <c r="F46" s="5"/>
      <c r="G46" s="5"/>
      <c r="H46" s="5"/>
      <c r="I46" s="68"/>
    </row>
    <row r="47" spans="1:9" ht="16.5" thickBot="1" x14ac:dyDescent="0.3">
      <c r="A47" s="44" t="s">
        <v>0</v>
      </c>
      <c r="B47" s="245" t="s">
        <v>1</v>
      </c>
      <c r="C47" s="246"/>
      <c r="D47" s="246"/>
      <c r="E47" s="247"/>
      <c r="F47" s="44" t="s">
        <v>24</v>
      </c>
      <c r="G47" s="35" t="s">
        <v>2</v>
      </c>
      <c r="H47" s="44" t="s">
        <v>25</v>
      </c>
      <c r="I47" s="61" t="s">
        <v>26</v>
      </c>
    </row>
    <row r="48" spans="1:9" ht="15.75" x14ac:dyDescent="0.25">
      <c r="A48" s="24"/>
      <c r="B48" s="268" t="s">
        <v>6</v>
      </c>
      <c r="C48" s="269"/>
      <c r="D48" s="269"/>
      <c r="E48" s="270"/>
      <c r="F48" s="24"/>
      <c r="G48" s="24"/>
      <c r="H48" s="24"/>
      <c r="I48" s="69"/>
    </row>
    <row r="49" spans="1:9" ht="15.75" x14ac:dyDescent="0.25">
      <c r="A49" s="24"/>
      <c r="B49" s="257" t="s">
        <v>27</v>
      </c>
      <c r="C49" s="258"/>
      <c r="D49" s="258"/>
      <c r="E49" s="259"/>
      <c r="F49" s="24"/>
      <c r="G49" s="24"/>
      <c r="H49" s="24"/>
      <c r="I49" s="69"/>
    </row>
    <row r="50" spans="1:9" ht="15.75" x14ac:dyDescent="0.25">
      <c r="A50" s="24"/>
      <c r="B50" s="257" t="s">
        <v>28</v>
      </c>
      <c r="C50" s="258"/>
      <c r="D50" s="258"/>
      <c r="E50" s="259"/>
      <c r="F50" s="24"/>
      <c r="G50" s="24"/>
      <c r="H50" s="24"/>
      <c r="I50" s="69"/>
    </row>
    <row r="51" spans="1:9" ht="15.75" x14ac:dyDescent="0.25">
      <c r="A51" s="24"/>
      <c r="B51" s="257" t="s">
        <v>29</v>
      </c>
      <c r="C51" s="258"/>
      <c r="D51" s="258"/>
      <c r="E51" s="259"/>
      <c r="F51" s="24"/>
      <c r="G51" s="24"/>
      <c r="H51" s="24"/>
      <c r="I51" s="69"/>
    </row>
    <row r="52" spans="1:9" ht="15.75" x14ac:dyDescent="0.25">
      <c r="A52" s="24"/>
      <c r="B52" s="260"/>
      <c r="C52" s="261"/>
      <c r="D52" s="261"/>
      <c r="E52" s="262"/>
      <c r="F52" s="24"/>
      <c r="G52" s="50"/>
      <c r="H52" s="50"/>
      <c r="I52" s="70"/>
    </row>
    <row r="53" spans="1:9" ht="15.75" x14ac:dyDescent="0.25">
      <c r="A53" s="24" t="s">
        <v>30</v>
      </c>
      <c r="B53" s="260" t="s">
        <v>31</v>
      </c>
      <c r="C53" s="261"/>
      <c r="D53" s="261"/>
      <c r="E53" s="262"/>
      <c r="F53" s="24" t="s">
        <v>35</v>
      </c>
      <c r="G53" s="50">
        <v>0.2</v>
      </c>
      <c r="H53" s="50">
        <v>5</v>
      </c>
      <c r="I53" s="70">
        <v>1500</v>
      </c>
    </row>
    <row r="54" spans="1:9" ht="15.75" x14ac:dyDescent="0.25">
      <c r="A54" s="24"/>
      <c r="B54" s="260" t="s">
        <v>32</v>
      </c>
      <c r="C54" s="261"/>
      <c r="D54" s="261"/>
      <c r="E54" s="262"/>
      <c r="F54" s="24"/>
      <c r="G54" s="50"/>
      <c r="H54" s="50"/>
      <c r="I54" s="70"/>
    </row>
    <row r="55" spans="1:9" ht="15.75" x14ac:dyDescent="0.25">
      <c r="A55" s="24"/>
      <c r="B55" s="260" t="s">
        <v>33</v>
      </c>
      <c r="C55" s="261"/>
      <c r="D55" s="261"/>
      <c r="E55" s="262"/>
      <c r="F55" s="24"/>
      <c r="G55" s="50"/>
      <c r="H55" s="50"/>
      <c r="I55" s="70"/>
    </row>
    <row r="56" spans="1:9" ht="15.75" x14ac:dyDescent="0.25">
      <c r="A56" s="24"/>
      <c r="B56" s="260" t="s">
        <v>34</v>
      </c>
      <c r="C56" s="261"/>
      <c r="D56" s="261"/>
      <c r="E56" s="262"/>
      <c r="F56" s="24"/>
      <c r="G56" s="50" t="s">
        <v>442</v>
      </c>
      <c r="H56" s="50"/>
      <c r="I56" s="70"/>
    </row>
    <row r="57" spans="1:9" ht="18" x14ac:dyDescent="0.25">
      <c r="A57" s="24" t="s">
        <v>36</v>
      </c>
      <c r="B57" s="260" t="s">
        <v>37</v>
      </c>
      <c r="C57" s="261"/>
      <c r="D57" s="261"/>
      <c r="E57" s="262"/>
      <c r="F57" s="24" t="s">
        <v>43</v>
      </c>
      <c r="G57" s="50">
        <v>93.75</v>
      </c>
      <c r="H57" s="50">
        <v>15</v>
      </c>
      <c r="I57" s="70">
        <v>1406.25</v>
      </c>
    </row>
    <row r="58" spans="1:9" ht="15.75" x14ac:dyDescent="0.25">
      <c r="A58" s="24"/>
      <c r="B58" s="260" t="s">
        <v>38</v>
      </c>
      <c r="C58" s="261"/>
      <c r="D58" s="261"/>
      <c r="E58" s="262"/>
      <c r="F58" s="24"/>
      <c r="G58" s="50"/>
      <c r="H58" s="50"/>
      <c r="I58" s="70"/>
    </row>
    <row r="59" spans="1:9" ht="15.75" x14ac:dyDescent="0.25">
      <c r="A59" s="24"/>
      <c r="B59" s="260" t="s">
        <v>292</v>
      </c>
      <c r="C59" s="261"/>
      <c r="D59" s="261"/>
      <c r="E59" s="262"/>
      <c r="F59" s="24"/>
      <c r="G59" s="50"/>
      <c r="H59" s="50"/>
      <c r="I59" s="70"/>
    </row>
    <row r="60" spans="1:9" ht="9" customHeight="1" x14ac:dyDescent="0.25">
      <c r="A60" s="24"/>
      <c r="B60" s="260"/>
      <c r="C60" s="261"/>
      <c r="D60" s="261"/>
      <c r="E60" s="262"/>
      <c r="F60" s="24"/>
      <c r="G60" s="50"/>
      <c r="H60" s="50"/>
      <c r="I60" s="70"/>
    </row>
    <row r="61" spans="1:9" ht="18" x14ac:dyDescent="0.25">
      <c r="A61" s="24" t="s">
        <v>39</v>
      </c>
      <c r="B61" s="260" t="s">
        <v>40</v>
      </c>
      <c r="C61" s="261"/>
      <c r="D61" s="261"/>
      <c r="E61" s="262"/>
      <c r="F61" s="24" t="s">
        <v>44</v>
      </c>
      <c r="G61" s="50">
        <v>78</v>
      </c>
      <c r="H61" s="50">
        <v>25</v>
      </c>
      <c r="I61" s="70">
        <v>1950</v>
      </c>
    </row>
    <row r="62" spans="1:9" ht="15.75" x14ac:dyDescent="0.25">
      <c r="A62" s="24"/>
      <c r="B62" s="260" t="s">
        <v>41</v>
      </c>
      <c r="C62" s="261"/>
      <c r="D62" s="261"/>
      <c r="E62" s="262"/>
      <c r="F62" s="24"/>
      <c r="G62" s="50"/>
      <c r="H62" s="50"/>
      <c r="I62" s="70"/>
    </row>
    <row r="63" spans="1:9" ht="15.75" x14ac:dyDescent="0.25">
      <c r="A63" s="24"/>
      <c r="B63" s="260" t="s">
        <v>293</v>
      </c>
      <c r="C63" s="261"/>
      <c r="D63" s="261"/>
      <c r="E63" s="262"/>
      <c r="F63" s="24"/>
      <c r="G63" s="50"/>
      <c r="H63" s="50"/>
      <c r="I63" s="70"/>
    </row>
    <row r="64" spans="1:9" ht="5.25" customHeight="1" x14ac:dyDescent="0.25">
      <c r="A64" s="24"/>
      <c r="B64" s="260"/>
      <c r="C64" s="261"/>
      <c r="D64" s="261"/>
      <c r="E64" s="262"/>
      <c r="F64" s="24"/>
      <c r="G64" s="50"/>
      <c r="H64" s="50"/>
      <c r="I64" s="70"/>
    </row>
    <row r="65" spans="1:9" ht="18" x14ac:dyDescent="0.25">
      <c r="A65" s="24" t="s">
        <v>42</v>
      </c>
      <c r="B65" s="260" t="s">
        <v>45</v>
      </c>
      <c r="C65" s="261"/>
      <c r="D65" s="261"/>
      <c r="E65" s="262"/>
      <c r="F65" s="24" t="s">
        <v>44</v>
      </c>
      <c r="G65" s="50">
        <v>184</v>
      </c>
      <c r="H65" s="50">
        <v>20</v>
      </c>
      <c r="I65" s="70">
        <v>3680</v>
      </c>
    </row>
    <row r="66" spans="1:9" ht="15.75" x14ac:dyDescent="0.25">
      <c r="A66" s="24"/>
      <c r="B66" s="260" t="s">
        <v>294</v>
      </c>
      <c r="C66" s="261"/>
      <c r="D66" s="261"/>
      <c r="E66" s="262"/>
      <c r="F66" s="24"/>
      <c r="G66" s="50"/>
      <c r="H66" s="50"/>
      <c r="I66" s="70"/>
    </row>
    <row r="67" spans="1:9" ht="7.5" customHeight="1" x14ac:dyDescent="0.25">
      <c r="A67" s="24"/>
      <c r="B67" s="260"/>
      <c r="C67" s="261"/>
      <c r="D67" s="261"/>
      <c r="E67" s="262"/>
      <c r="F67" s="24"/>
      <c r="G67" s="50"/>
      <c r="H67" s="50"/>
      <c r="I67" s="70"/>
    </row>
    <row r="68" spans="1:9" ht="18" x14ac:dyDescent="0.25">
      <c r="A68" s="24" t="s">
        <v>46</v>
      </c>
      <c r="B68" s="260" t="s">
        <v>47</v>
      </c>
      <c r="C68" s="261"/>
      <c r="D68" s="261"/>
      <c r="E68" s="262"/>
      <c r="F68" s="24" t="s">
        <v>43</v>
      </c>
      <c r="G68" s="50">
        <v>184</v>
      </c>
      <c r="H68" s="50">
        <v>15</v>
      </c>
      <c r="I68" s="70">
        <v>2760</v>
      </c>
    </row>
    <row r="69" spans="1:9" ht="15.75" x14ac:dyDescent="0.25">
      <c r="A69" s="24"/>
      <c r="B69" s="260" t="s">
        <v>48</v>
      </c>
      <c r="C69" s="261"/>
      <c r="D69" s="261"/>
      <c r="E69" s="262"/>
      <c r="F69" s="24"/>
      <c r="G69" s="50"/>
      <c r="H69" s="50"/>
      <c r="I69" s="70"/>
    </row>
    <row r="70" spans="1:9" ht="15.75" x14ac:dyDescent="0.25">
      <c r="A70" s="24"/>
      <c r="B70" s="260" t="s">
        <v>295</v>
      </c>
      <c r="C70" s="261"/>
      <c r="D70" s="261"/>
      <c r="E70" s="262"/>
      <c r="F70" s="24"/>
      <c r="G70" s="50"/>
      <c r="H70" s="50"/>
      <c r="I70" s="70"/>
    </row>
    <row r="71" spans="1:9" ht="6" customHeight="1" x14ac:dyDescent="0.25">
      <c r="A71" s="24"/>
      <c r="B71" s="260"/>
      <c r="C71" s="261"/>
      <c r="D71" s="261"/>
      <c r="E71" s="262"/>
      <c r="F71" s="24"/>
      <c r="G71" s="50"/>
      <c r="H71" s="50"/>
      <c r="I71" s="70"/>
    </row>
    <row r="72" spans="1:9" ht="18" x14ac:dyDescent="0.25">
      <c r="A72" s="24" t="s">
        <v>49</v>
      </c>
      <c r="B72" s="260" t="s">
        <v>50</v>
      </c>
      <c r="C72" s="261"/>
      <c r="D72" s="261"/>
      <c r="E72" s="262"/>
      <c r="F72" s="24" t="s">
        <v>44</v>
      </c>
      <c r="G72" s="50">
        <v>33</v>
      </c>
      <c r="H72" s="50">
        <v>35</v>
      </c>
      <c r="I72" s="70">
        <v>1155</v>
      </c>
    </row>
    <row r="73" spans="1:9" ht="15.75" x14ac:dyDescent="0.25">
      <c r="A73" s="24"/>
      <c r="B73" s="260" t="s">
        <v>51</v>
      </c>
      <c r="C73" s="261"/>
      <c r="D73" s="261"/>
      <c r="E73" s="262"/>
      <c r="F73" s="24"/>
      <c r="G73" s="50"/>
      <c r="H73" s="50"/>
      <c r="I73" s="70"/>
    </row>
    <row r="74" spans="1:9" ht="15.75" x14ac:dyDescent="0.25">
      <c r="A74" s="24"/>
      <c r="B74" s="260" t="s">
        <v>52</v>
      </c>
      <c r="C74" s="261"/>
      <c r="D74" s="261"/>
      <c r="E74" s="262"/>
      <c r="F74" s="24"/>
      <c r="G74" s="50"/>
      <c r="H74" s="50"/>
      <c r="I74" s="70"/>
    </row>
    <row r="75" spans="1:9" ht="15.75" x14ac:dyDescent="0.25">
      <c r="A75" s="24"/>
      <c r="B75" s="260" t="s">
        <v>296</v>
      </c>
      <c r="C75" s="261"/>
      <c r="D75" s="261"/>
      <c r="E75" s="262"/>
      <c r="F75" s="24"/>
      <c r="G75" s="50"/>
      <c r="H75" s="50"/>
      <c r="I75" s="70"/>
    </row>
    <row r="76" spans="1:9" ht="9.75" customHeight="1" x14ac:dyDescent="0.25">
      <c r="A76" s="24"/>
      <c r="B76" s="260"/>
      <c r="C76" s="261"/>
      <c r="D76" s="261"/>
      <c r="E76" s="262"/>
      <c r="F76" s="24"/>
      <c r="G76" s="50"/>
      <c r="H76" s="50"/>
      <c r="I76" s="70"/>
    </row>
    <row r="77" spans="1:9" ht="15.75" x14ac:dyDescent="0.25">
      <c r="A77" s="24" t="s">
        <v>53</v>
      </c>
      <c r="B77" s="260" t="s">
        <v>54</v>
      </c>
      <c r="C77" s="261"/>
      <c r="D77" s="261"/>
      <c r="E77" s="262"/>
      <c r="F77" s="24" t="s">
        <v>0</v>
      </c>
      <c r="G77" s="50">
        <v>1</v>
      </c>
      <c r="H77" s="50">
        <v>564.20000000000005</v>
      </c>
      <c r="I77" s="70">
        <v>564.20000000000005</v>
      </c>
    </row>
    <row r="78" spans="1:9" ht="15.75" x14ac:dyDescent="0.25">
      <c r="A78" s="24"/>
      <c r="B78" s="260" t="s">
        <v>297</v>
      </c>
      <c r="C78" s="261"/>
      <c r="D78" s="261"/>
      <c r="E78" s="262"/>
      <c r="F78" s="24"/>
      <c r="G78" s="50"/>
      <c r="H78" s="50"/>
      <c r="I78" s="70"/>
    </row>
    <row r="79" spans="1:9" ht="6.75" customHeight="1" x14ac:dyDescent="0.25">
      <c r="A79" s="26"/>
      <c r="B79" s="260"/>
      <c r="C79" s="261"/>
      <c r="D79" s="261"/>
      <c r="E79" s="262"/>
      <c r="F79" s="27"/>
      <c r="G79" s="50"/>
      <c r="H79" s="50"/>
      <c r="I79" s="70"/>
    </row>
    <row r="80" spans="1:9" ht="15.75" x14ac:dyDescent="0.25">
      <c r="A80" s="26" t="s">
        <v>55</v>
      </c>
      <c r="B80" s="260" t="s">
        <v>56</v>
      </c>
      <c r="C80" s="261"/>
      <c r="D80" s="261"/>
      <c r="E80" s="261"/>
      <c r="F80" s="18" t="s">
        <v>0</v>
      </c>
      <c r="G80" s="50">
        <v>1</v>
      </c>
      <c r="H80" s="50">
        <v>564.20000000000005</v>
      </c>
      <c r="I80" s="71">
        <v>564.20000000000005</v>
      </c>
    </row>
    <row r="81" spans="1:9" ht="15.75" x14ac:dyDescent="0.25">
      <c r="A81" s="24"/>
      <c r="B81" s="261" t="s">
        <v>298</v>
      </c>
      <c r="C81" s="261"/>
      <c r="D81" s="261"/>
      <c r="E81" s="262"/>
      <c r="F81" s="24"/>
      <c r="G81" s="50"/>
      <c r="H81" s="50"/>
      <c r="I81" s="71"/>
    </row>
    <row r="82" spans="1:9" ht="5.25" customHeight="1" x14ac:dyDescent="0.25">
      <c r="A82" s="24"/>
      <c r="B82" s="261"/>
      <c r="C82" s="261"/>
      <c r="D82" s="261"/>
      <c r="E82" s="262"/>
      <c r="F82" s="24"/>
      <c r="G82" s="50"/>
      <c r="H82" s="50"/>
      <c r="I82" s="70"/>
    </row>
    <row r="83" spans="1:9" ht="18" x14ac:dyDescent="0.25">
      <c r="A83" s="24" t="s">
        <v>57</v>
      </c>
      <c r="B83" s="261" t="s">
        <v>58</v>
      </c>
      <c r="C83" s="261"/>
      <c r="D83" s="261"/>
      <c r="E83" s="262"/>
      <c r="F83" s="24" t="s">
        <v>43</v>
      </c>
      <c r="G83" s="50">
        <v>335</v>
      </c>
      <c r="H83" s="50">
        <v>20</v>
      </c>
      <c r="I83" s="70">
        <v>1700</v>
      </c>
    </row>
    <row r="84" spans="1:9" ht="15.75" x14ac:dyDescent="0.25">
      <c r="A84" s="24"/>
      <c r="B84" s="261" t="s">
        <v>59</v>
      </c>
      <c r="C84" s="261"/>
      <c r="D84" s="261"/>
      <c r="E84" s="262"/>
      <c r="F84" s="24"/>
      <c r="G84" s="50"/>
      <c r="H84" s="50"/>
      <c r="I84" s="70"/>
    </row>
    <row r="85" spans="1:9" ht="15.75" x14ac:dyDescent="0.25">
      <c r="A85" s="24"/>
      <c r="B85" s="261" t="s">
        <v>60</v>
      </c>
      <c r="C85" s="261"/>
      <c r="D85" s="261"/>
      <c r="E85" s="262"/>
      <c r="F85" s="24"/>
      <c r="G85" s="50"/>
      <c r="H85" s="50"/>
      <c r="I85" s="70"/>
    </row>
    <row r="86" spans="1:9" ht="16.5" thickBot="1" x14ac:dyDescent="0.3">
      <c r="A86" s="25"/>
      <c r="B86" s="271" t="s">
        <v>299</v>
      </c>
      <c r="C86" s="271"/>
      <c r="D86" s="271"/>
      <c r="E86" s="272"/>
      <c r="F86" s="25"/>
      <c r="G86" s="25"/>
      <c r="H86" s="51"/>
      <c r="I86" s="72"/>
    </row>
    <row r="87" spans="1:9" ht="15.75" x14ac:dyDescent="0.25">
      <c r="A87" s="28"/>
      <c r="B87" s="42"/>
      <c r="C87" s="42"/>
      <c r="D87" s="42"/>
      <c r="E87" s="42"/>
      <c r="F87" s="42"/>
      <c r="G87" s="42"/>
      <c r="H87" s="52"/>
      <c r="I87" s="73"/>
    </row>
    <row r="88" spans="1:9" x14ac:dyDescent="0.25">
      <c r="A88" s="3"/>
      <c r="B88" s="226" t="s">
        <v>61</v>
      </c>
      <c r="C88" s="226"/>
      <c r="D88" s="226"/>
      <c r="E88" s="226"/>
      <c r="F88" s="226"/>
      <c r="G88" s="226"/>
      <c r="H88" s="45"/>
      <c r="I88" s="64">
        <f>SUM(I53:I83)</f>
        <v>15279.650000000001</v>
      </c>
    </row>
    <row r="89" spans="1:9" x14ac:dyDescent="0.25">
      <c r="A89" s="55"/>
      <c r="B89" s="57"/>
      <c r="C89" s="57"/>
      <c r="D89" s="57"/>
      <c r="E89" s="57"/>
      <c r="F89" s="57"/>
      <c r="G89" s="57"/>
      <c r="H89" s="54"/>
      <c r="I89" s="64"/>
    </row>
    <row r="90" spans="1:9" x14ac:dyDescent="0.25">
      <c r="A90" s="55"/>
      <c r="B90" s="57"/>
      <c r="C90" s="57"/>
      <c r="D90" s="57"/>
      <c r="E90" s="57"/>
      <c r="F90" s="57"/>
      <c r="G90" s="57"/>
      <c r="H90" s="54"/>
      <c r="I90" s="64"/>
    </row>
    <row r="91" spans="1:9" x14ac:dyDescent="0.25">
      <c r="A91" s="55"/>
      <c r="B91" s="57"/>
      <c r="C91" s="57"/>
      <c r="D91" s="57"/>
      <c r="E91" s="57"/>
      <c r="F91" s="57"/>
      <c r="G91" s="57"/>
      <c r="H91" s="54"/>
      <c r="I91" s="64"/>
    </row>
    <row r="92" spans="1:9" x14ac:dyDescent="0.25">
      <c r="A92" s="55"/>
      <c r="B92" s="57"/>
      <c r="C92" s="57"/>
      <c r="D92" s="57"/>
      <c r="E92" s="57"/>
      <c r="F92" s="57"/>
      <c r="G92" s="57"/>
      <c r="H92" s="54"/>
      <c r="I92" s="64"/>
    </row>
    <row r="93" spans="1:9" x14ac:dyDescent="0.25">
      <c r="A93" s="55"/>
      <c r="B93" s="57"/>
      <c r="C93" s="57"/>
      <c r="D93" s="57"/>
      <c r="E93" s="57"/>
      <c r="F93" s="57"/>
      <c r="G93" s="57"/>
      <c r="H93" s="54"/>
      <c r="I93" s="64"/>
    </row>
    <row r="94" spans="1:9" x14ac:dyDescent="0.25">
      <c r="A94" s="55"/>
      <c r="B94" s="57"/>
      <c r="C94" s="57"/>
      <c r="D94" s="57"/>
      <c r="E94" s="57"/>
      <c r="F94" s="57"/>
      <c r="G94" s="57"/>
      <c r="H94" s="54"/>
      <c r="I94" s="64"/>
    </row>
    <row r="95" spans="1:9" x14ac:dyDescent="0.25">
      <c r="A95" s="3"/>
      <c r="B95" s="226"/>
      <c r="C95" s="226"/>
      <c r="D95" s="226"/>
      <c r="E95" s="226"/>
      <c r="F95" s="226"/>
      <c r="G95" s="226"/>
      <c r="H95" s="7"/>
      <c r="I95" s="59"/>
    </row>
    <row r="96" spans="1:9" x14ac:dyDescent="0.25">
      <c r="A96" s="3"/>
      <c r="B96" s="226" t="s">
        <v>6</v>
      </c>
      <c r="C96" s="226"/>
      <c r="D96" s="226"/>
      <c r="E96" s="226"/>
      <c r="F96" s="226"/>
      <c r="G96" s="226"/>
      <c r="H96" s="7"/>
      <c r="I96" s="59"/>
    </row>
    <row r="97" spans="1:9" x14ac:dyDescent="0.25">
      <c r="A97" s="3"/>
      <c r="B97" s="226"/>
      <c r="C97" s="226"/>
      <c r="D97" s="226"/>
      <c r="E97" s="226"/>
      <c r="F97" s="226"/>
      <c r="G97" s="226"/>
      <c r="H97" s="7"/>
      <c r="I97" s="59"/>
    </row>
    <row r="98" spans="1:9" ht="15.75" thickBot="1" x14ac:dyDescent="0.3">
      <c r="A98" s="17"/>
      <c r="B98" s="263" t="s">
        <v>10</v>
      </c>
      <c r="C98" s="263"/>
      <c r="D98" s="263"/>
      <c r="E98" s="263"/>
      <c r="F98" s="263"/>
      <c r="G98" s="263"/>
      <c r="H98" s="20"/>
      <c r="I98" s="60"/>
    </row>
    <row r="99" spans="1:9" ht="15.75" thickBot="1" x14ac:dyDescent="0.3">
      <c r="A99" s="38" t="s">
        <v>0</v>
      </c>
      <c r="B99" s="234" t="s">
        <v>1</v>
      </c>
      <c r="C99" s="235"/>
      <c r="D99" s="235"/>
      <c r="E99" s="236"/>
      <c r="F99" s="38" t="s">
        <v>24</v>
      </c>
      <c r="G99" s="38" t="s">
        <v>2</v>
      </c>
      <c r="H99" s="38" t="s">
        <v>3</v>
      </c>
      <c r="I99" s="74" t="s">
        <v>4</v>
      </c>
    </row>
    <row r="100" spans="1:9" x14ac:dyDescent="0.25">
      <c r="A100" s="18"/>
      <c r="B100" s="267" t="s">
        <v>62</v>
      </c>
      <c r="C100" s="226"/>
      <c r="D100" s="226"/>
      <c r="E100" s="227"/>
      <c r="F100" s="18"/>
      <c r="G100" s="18"/>
      <c r="H100" s="18"/>
      <c r="I100" s="59"/>
    </row>
    <row r="101" spans="1:9" x14ac:dyDescent="0.25">
      <c r="A101" s="18"/>
      <c r="B101" s="254"/>
      <c r="C101" s="228"/>
      <c r="D101" s="228"/>
      <c r="E101" s="229"/>
      <c r="F101" s="18"/>
      <c r="G101" s="18"/>
      <c r="H101" s="18"/>
      <c r="I101" s="59"/>
    </row>
    <row r="102" spans="1:9" ht="17.25" x14ac:dyDescent="0.25">
      <c r="A102" s="18" t="s">
        <v>30</v>
      </c>
      <c r="B102" s="254" t="s">
        <v>63</v>
      </c>
      <c r="C102" s="228"/>
      <c r="D102" s="228"/>
      <c r="E102" s="229"/>
      <c r="F102" s="18" t="s">
        <v>279</v>
      </c>
      <c r="G102" s="18">
        <v>135</v>
      </c>
      <c r="H102" s="18">
        <v>35</v>
      </c>
      <c r="I102" s="59">
        <v>4725</v>
      </c>
    </row>
    <row r="103" spans="1:9" x14ac:dyDescent="0.25">
      <c r="A103" s="18"/>
      <c r="B103" s="254" t="s">
        <v>300</v>
      </c>
      <c r="C103" s="228"/>
      <c r="D103" s="228"/>
      <c r="E103" s="229"/>
      <c r="F103" s="18"/>
      <c r="G103" s="18"/>
      <c r="H103" s="18"/>
      <c r="I103" s="59"/>
    </row>
    <row r="104" spans="1:9" x14ac:dyDescent="0.25">
      <c r="A104" s="18"/>
      <c r="B104" s="254"/>
      <c r="C104" s="228"/>
      <c r="D104" s="228"/>
      <c r="E104" s="229"/>
      <c r="F104" s="18"/>
      <c r="G104" s="18"/>
      <c r="H104" s="18"/>
      <c r="I104" s="59"/>
    </row>
    <row r="105" spans="1:9" ht="17.25" x14ac:dyDescent="0.25">
      <c r="A105" s="18" t="s">
        <v>36</v>
      </c>
      <c r="B105" s="254" t="s">
        <v>64</v>
      </c>
      <c r="C105" s="228"/>
      <c r="D105" s="228"/>
      <c r="E105" s="229"/>
      <c r="F105" s="18" t="s">
        <v>279</v>
      </c>
      <c r="G105" s="18">
        <v>135</v>
      </c>
      <c r="H105" s="18">
        <v>17</v>
      </c>
      <c r="I105" s="59">
        <v>2295</v>
      </c>
    </row>
    <row r="106" spans="1:9" x14ac:dyDescent="0.25">
      <c r="A106" s="18"/>
      <c r="B106" s="254" t="s">
        <v>65</v>
      </c>
      <c r="C106" s="228"/>
      <c r="D106" s="228"/>
      <c r="E106" s="229"/>
      <c r="F106" s="18"/>
      <c r="G106" s="18"/>
      <c r="H106" s="18"/>
      <c r="I106" s="59"/>
    </row>
    <row r="107" spans="1:9" x14ac:dyDescent="0.25">
      <c r="A107" s="18"/>
      <c r="B107" s="254" t="s">
        <v>300</v>
      </c>
      <c r="C107" s="228"/>
      <c r="D107" s="228"/>
      <c r="E107" s="229"/>
      <c r="F107" s="18"/>
      <c r="G107" s="18"/>
      <c r="H107" s="18"/>
      <c r="I107" s="59"/>
    </row>
    <row r="108" spans="1:9" x14ac:dyDescent="0.25">
      <c r="A108" s="18"/>
      <c r="B108" s="254"/>
      <c r="C108" s="228"/>
      <c r="D108" s="228"/>
      <c r="E108" s="229"/>
      <c r="F108" s="18"/>
      <c r="G108" s="18"/>
      <c r="H108" s="18"/>
      <c r="I108" s="59"/>
    </row>
    <row r="109" spans="1:9" x14ac:dyDescent="0.25">
      <c r="A109" s="18"/>
      <c r="B109" s="267" t="s">
        <v>66</v>
      </c>
      <c r="C109" s="226"/>
      <c r="D109" s="226"/>
      <c r="E109" s="227"/>
      <c r="F109" s="18"/>
      <c r="G109" s="18"/>
      <c r="H109" s="18"/>
      <c r="I109" s="59"/>
    </row>
    <row r="110" spans="1:9" ht="17.25" x14ac:dyDescent="0.25">
      <c r="A110" s="18" t="s">
        <v>39</v>
      </c>
      <c r="B110" s="254" t="s">
        <v>67</v>
      </c>
      <c r="C110" s="228"/>
      <c r="D110" s="228"/>
      <c r="E110" s="229"/>
      <c r="F110" s="18" t="s">
        <v>279</v>
      </c>
      <c r="G110" s="18">
        <v>45</v>
      </c>
      <c r="H110" s="18">
        <v>57</v>
      </c>
      <c r="I110" s="59">
        <v>2565</v>
      </c>
    </row>
    <row r="111" spans="1:9" x14ac:dyDescent="0.25">
      <c r="A111" s="18"/>
      <c r="B111" s="254" t="s">
        <v>301</v>
      </c>
      <c r="C111" s="228"/>
      <c r="D111" s="228"/>
      <c r="E111" s="229"/>
      <c r="F111" s="18"/>
      <c r="G111" s="18"/>
      <c r="H111" s="18"/>
      <c r="I111" s="59"/>
    </row>
    <row r="112" spans="1:9" x14ac:dyDescent="0.25">
      <c r="A112" s="18"/>
      <c r="B112" s="254"/>
      <c r="C112" s="228"/>
      <c r="D112" s="228"/>
      <c r="E112" s="229"/>
      <c r="F112" s="18"/>
      <c r="G112" s="18"/>
      <c r="H112" s="18"/>
      <c r="I112" s="59"/>
    </row>
    <row r="113" spans="1:9" x14ac:dyDescent="0.25">
      <c r="A113" s="18" t="s">
        <v>42</v>
      </c>
      <c r="B113" s="254" t="s">
        <v>68</v>
      </c>
      <c r="C113" s="228"/>
      <c r="D113" s="228"/>
      <c r="E113" s="229"/>
      <c r="F113" s="18" t="s">
        <v>214</v>
      </c>
      <c r="G113" s="18">
        <v>75</v>
      </c>
      <c r="H113" s="18">
        <v>35</v>
      </c>
      <c r="I113" s="59">
        <v>2625</v>
      </c>
    </row>
    <row r="114" spans="1:9" x14ac:dyDescent="0.25">
      <c r="A114" s="18"/>
      <c r="B114" s="254" t="s">
        <v>302</v>
      </c>
      <c r="C114" s="228"/>
      <c r="D114" s="228"/>
      <c r="E114" s="229"/>
      <c r="F114" s="18"/>
      <c r="G114" s="18"/>
      <c r="H114" s="18"/>
      <c r="I114" s="59"/>
    </row>
    <row r="115" spans="1:9" x14ac:dyDescent="0.25">
      <c r="A115" s="18"/>
      <c r="B115" s="254"/>
      <c r="C115" s="228"/>
      <c r="D115" s="228"/>
      <c r="E115" s="229"/>
      <c r="F115" s="18"/>
      <c r="G115" s="18"/>
      <c r="H115" s="18"/>
      <c r="I115" s="59"/>
    </row>
    <row r="116" spans="1:9" ht="17.25" x14ac:dyDescent="0.25">
      <c r="A116" s="18" t="s">
        <v>46</v>
      </c>
      <c r="B116" s="254" t="s">
        <v>69</v>
      </c>
      <c r="C116" s="228"/>
      <c r="D116" s="228"/>
      <c r="E116" s="229"/>
      <c r="F116" s="18" t="s">
        <v>279</v>
      </c>
      <c r="G116" s="18">
        <v>72</v>
      </c>
      <c r="H116" s="18">
        <v>32</v>
      </c>
      <c r="I116" s="59">
        <v>2304</v>
      </c>
    </row>
    <row r="117" spans="1:9" x14ac:dyDescent="0.25">
      <c r="A117" s="18"/>
      <c r="B117" s="254" t="s">
        <v>303</v>
      </c>
      <c r="C117" s="228"/>
      <c r="D117" s="228"/>
      <c r="E117" s="229"/>
      <c r="F117" s="18"/>
      <c r="G117" s="18"/>
      <c r="H117" s="18"/>
      <c r="I117" s="59"/>
    </row>
    <row r="118" spans="1:9" x14ac:dyDescent="0.25">
      <c r="A118" s="18"/>
      <c r="B118" s="254"/>
      <c r="C118" s="228"/>
      <c r="D118" s="228"/>
      <c r="E118" s="229"/>
      <c r="F118" s="18"/>
      <c r="G118" s="18"/>
      <c r="H118" s="18"/>
      <c r="I118" s="59"/>
    </row>
    <row r="119" spans="1:9" x14ac:dyDescent="0.25">
      <c r="A119" s="18"/>
      <c r="B119" s="267" t="s">
        <v>305</v>
      </c>
      <c r="C119" s="226"/>
      <c r="D119" s="226"/>
      <c r="E119" s="227"/>
      <c r="F119" s="18"/>
      <c r="G119" s="18"/>
      <c r="H119" s="18"/>
      <c r="I119" s="59"/>
    </row>
    <row r="120" spans="1:9" x14ac:dyDescent="0.25">
      <c r="A120" s="18" t="s">
        <v>49</v>
      </c>
      <c r="B120" s="254" t="s">
        <v>304</v>
      </c>
      <c r="C120" s="228"/>
      <c r="D120" s="228"/>
      <c r="E120" s="229"/>
      <c r="F120" s="18" t="s">
        <v>280</v>
      </c>
      <c r="G120" s="18">
        <v>240</v>
      </c>
      <c r="H120" s="18">
        <v>17</v>
      </c>
      <c r="I120" s="59">
        <v>4080</v>
      </c>
    </row>
    <row r="121" spans="1:9" x14ac:dyDescent="0.25">
      <c r="A121" s="18"/>
      <c r="B121" s="254"/>
      <c r="C121" s="228"/>
      <c r="D121" s="228"/>
      <c r="E121" s="229"/>
      <c r="F121" s="18"/>
      <c r="G121" s="18"/>
      <c r="H121" s="18"/>
      <c r="I121" s="59"/>
    </row>
    <row r="122" spans="1:9" x14ac:dyDescent="0.25">
      <c r="A122" s="18" t="s">
        <v>53</v>
      </c>
      <c r="B122" s="254" t="s">
        <v>70</v>
      </c>
      <c r="C122" s="228"/>
      <c r="D122" s="228"/>
      <c r="E122" s="229"/>
      <c r="F122" s="18" t="s">
        <v>280</v>
      </c>
      <c r="G122" s="18">
        <v>680</v>
      </c>
      <c r="H122" s="18">
        <v>17</v>
      </c>
      <c r="I122" s="59">
        <v>11560</v>
      </c>
    </row>
    <row r="123" spans="1:9" x14ac:dyDescent="0.25">
      <c r="A123" s="18"/>
      <c r="B123" s="254" t="s">
        <v>306</v>
      </c>
      <c r="C123" s="228"/>
      <c r="D123" s="228"/>
      <c r="E123" s="229"/>
      <c r="F123" s="18"/>
      <c r="G123" s="18"/>
      <c r="H123" s="18"/>
      <c r="I123" s="59"/>
    </row>
    <row r="124" spans="1:9" x14ac:dyDescent="0.25">
      <c r="A124" s="18"/>
      <c r="B124" s="254"/>
      <c r="C124" s="228"/>
      <c r="D124" s="228"/>
      <c r="E124" s="229"/>
      <c r="F124" s="18"/>
      <c r="G124" s="18"/>
      <c r="H124" s="18"/>
      <c r="I124" s="59"/>
    </row>
    <row r="125" spans="1:9" x14ac:dyDescent="0.25">
      <c r="A125" s="18" t="s">
        <v>55</v>
      </c>
      <c r="B125" s="254" t="s">
        <v>71</v>
      </c>
      <c r="C125" s="228"/>
      <c r="D125" s="228"/>
      <c r="E125" s="229"/>
      <c r="F125" s="18" t="s">
        <v>280</v>
      </c>
      <c r="G125" s="18">
        <v>640</v>
      </c>
      <c r="H125" s="18">
        <v>17</v>
      </c>
      <c r="I125" s="59">
        <v>10880</v>
      </c>
    </row>
    <row r="126" spans="1:9" x14ac:dyDescent="0.25">
      <c r="A126" s="18"/>
      <c r="B126" s="254" t="s">
        <v>306</v>
      </c>
      <c r="C126" s="228"/>
      <c r="D126" s="228"/>
      <c r="E126" s="229"/>
      <c r="F126" s="18"/>
      <c r="G126" s="18"/>
      <c r="H126" s="18"/>
      <c r="I126" s="59"/>
    </row>
    <row r="127" spans="1:9" x14ac:dyDescent="0.25">
      <c r="A127" s="18"/>
      <c r="B127" s="254"/>
      <c r="C127" s="228"/>
      <c r="D127" s="228"/>
      <c r="E127" s="229"/>
      <c r="F127" s="18"/>
      <c r="G127" s="18"/>
      <c r="H127" s="18"/>
      <c r="I127" s="59"/>
    </row>
    <row r="128" spans="1:9" ht="17.25" x14ac:dyDescent="0.25">
      <c r="A128" s="18" t="s">
        <v>57</v>
      </c>
      <c r="B128" s="254" t="s">
        <v>72</v>
      </c>
      <c r="C128" s="228"/>
      <c r="D128" s="228"/>
      <c r="E128" s="229"/>
      <c r="F128" s="18" t="s">
        <v>279</v>
      </c>
      <c r="G128" s="18">
        <v>72</v>
      </c>
      <c r="H128" s="18">
        <v>8</v>
      </c>
      <c r="I128" s="59">
        <v>576</v>
      </c>
    </row>
    <row r="129" spans="1:9" ht="15.75" thickBot="1" x14ac:dyDescent="0.3">
      <c r="A129" s="18"/>
      <c r="B129" s="254" t="s">
        <v>307</v>
      </c>
      <c r="C129" s="228"/>
      <c r="D129" s="228"/>
      <c r="E129" s="229"/>
      <c r="F129" s="18"/>
      <c r="G129" s="18"/>
      <c r="H129" s="18"/>
      <c r="I129" s="59"/>
    </row>
    <row r="130" spans="1:9" x14ac:dyDescent="0.25">
      <c r="A130" s="19"/>
      <c r="B130" s="253" t="s">
        <v>308</v>
      </c>
      <c r="C130" s="253"/>
      <c r="D130" s="253"/>
      <c r="E130" s="253"/>
      <c r="F130" s="14"/>
      <c r="G130" s="14"/>
      <c r="H130" s="30"/>
      <c r="I130" s="83">
        <f>SUM(I102:I128)</f>
        <v>41610</v>
      </c>
    </row>
    <row r="131" spans="1:9" x14ac:dyDescent="0.25">
      <c r="A131" s="16"/>
      <c r="B131" s="226"/>
      <c r="C131" s="226"/>
      <c r="D131" s="226"/>
      <c r="E131" s="226"/>
      <c r="F131" s="7"/>
      <c r="G131" s="7"/>
      <c r="H131" s="10"/>
      <c r="I131" s="82"/>
    </row>
    <row r="132" spans="1:9" ht="15.75" thickBot="1" x14ac:dyDescent="0.3">
      <c r="A132" s="17"/>
      <c r="B132" s="263"/>
      <c r="C132" s="263"/>
      <c r="D132" s="263"/>
      <c r="E132" s="263"/>
      <c r="F132" s="20"/>
      <c r="G132" s="20"/>
      <c r="H132" s="29"/>
      <c r="I132" s="60"/>
    </row>
    <row r="133" spans="1:9" x14ac:dyDescent="0.25">
      <c r="A133" s="14"/>
      <c r="B133" s="264"/>
      <c r="C133" s="264"/>
      <c r="D133" s="264"/>
      <c r="E133" s="264"/>
      <c r="F133" s="14"/>
      <c r="G133" s="14"/>
      <c r="H133" s="14"/>
      <c r="I133" s="80"/>
    </row>
    <row r="134" spans="1:9" x14ac:dyDescent="0.25">
      <c r="A134" s="7"/>
      <c r="B134" s="243"/>
      <c r="C134" s="243"/>
      <c r="D134" s="243"/>
      <c r="E134" s="243"/>
      <c r="F134" s="7"/>
      <c r="G134" s="7"/>
      <c r="H134" s="7"/>
      <c r="I134" s="81"/>
    </row>
    <row r="135" spans="1:9" x14ac:dyDescent="0.25">
      <c r="A135" s="7"/>
      <c r="B135" s="243"/>
      <c r="C135" s="243"/>
      <c r="D135" s="243"/>
      <c r="E135" s="243"/>
      <c r="F135" s="7"/>
      <c r="G135" s="7"/>
      <c r="H135" s="7"/>
      <c r="I135" s="81"/>
    </row>
    <row r="136" spans="1:9" x14ac:dyDescent="0.25">
      <c r="A136" s="7"/>
      <c r="B136" s="266"/>
      <c r="C136" s="266"/>
      <c r="D136" s="266"/>
      <c r="E136" s="266"/>
      <c r="F136" s="7"/>
      <c r="G136" s="7"/>
      <c r="H136" s="7"/>
      <c r="I136" s="81"/>
    </row>
    <row r="137" spans="1:9" x14ac:dyDescent="0.25">
      <c r="A137" s="7"/>
      <c r="B137" s="228"/>
      <c r="C137" s="228"/>
      <c r="D137" s="228"/>
      <c r="E137" s="228"/>
      <c r="F137" s="7"/>
      <c r="G137" s="7"/>
      <c r="H137" s="7"/>
      <c r="I137" s="81"/>
    </row>
    <row r="138" spans="1:9" x14ac:dyDescent="0.25">
      <c r="A138" s="7"/>
      <c r="B138" s="228"/>
      <c r="C138" s="228"/>
      <c r="D138" s="228"/>
      <c r="E138" s="228"/>
      <c r="F138" s="7"/>
      <c r="G138" s="7"/>
      <c r="H138" s="7"/>
      <c r="I138" s="81"/>
    </row>
    <row r="139" spans="1:9" x14ac:dyDescent="0.25">
      <c r="A139" s="7"/>
      <c r="B139" s="228"/>
      <c r="C139" s="228"/>
      <c r="D139" s="228"/>
      <c r="E139" s="228"/>
      <c r="F139" s="7"/>
      <c r="G139" s="7"/>
      <c r="H139" s="7"/>
      <c r="I139" s="81"/>
    </row>
    <row r="140" spans="1:9" x14ac:dyDescent="0.25">
      <c r="A140" s="7"/>
      <c r="B140" s="56"/>
      <c r="C140" s="56"/>
      <c r="D140" s="56"/>
      <c r="E140" s="56"/>
      <c r="F140" s="7"/>
      <c r="G140" s="7"/>
      <c r="H140" s="7"/>
      <c r="I140" s="81"/>
    </row>
    <row r="141" spans="1:9" x14ac:dyDescent="0.25">
      <c r="A141" s="7"/>
      <c r="B141" s="56"/>
      <c r="C141" s="56"/>
      <c r="D141" s="56"/>
      <c r="E141" s="56"/>
      <c r="F141" s="7"/>
      <c r="G141" s="7"/>
      <c r="H141" s="7"/>
      <c r="I141" s="81"/>
    </row>
    <row r="142" spans="1:9" x14ac:dyDescent="0.25">
      <c r="A142" s="7"/>
      <c r="B142" s="56"/>
      <c r="C142" s="56"/>
      <c r="D142" s="56"/>
      <c r="E142" s="56"/>
      <c r="F142" s="7"/>
      <c r="G142" s="7"/>
      <c r="H142" s="7"/>
      <c r="I142" s="81"/>
    </row>
    <row r="143" spans="1:9" x14ac:dyDescent="0.25">
      <c r="A143" s="7"/>
      <c r="B143" s="56"/>
      <c r="C143" s="56"/>
      <c r="D143" s="56"/>
      <c r="E143" s="56"/>
      <c r="F143" s="7"/>
      <c r="G143" s="7"/>
      <c r="H143" s="7"/>
      <c r="I143" s="81"/>
    </row>
    <row r="144" spans="1:9" ht="15.75" thickBot="1" x14ac:dyDescent="0.3">
      <c r="I144" s="67"/>
    </row>
    <row r="145" spans="1:9" ht="15.75" thickBot="1" x14ac:dyDescent="0.3">
      <c r="A145" s="36" t="s">
        <v>0</v>
      </c>
      <c r="B145" s="234" t="s">
        <v>1</v>
      </c>
      <c r="C145" s="235"/>
      <c r="D145" s="235"/>
      <c r="E145" s="236"/>
      <c r="F145" s="36" t="s">
        <v>24</v>
      </c>
      <c r="G145" s="36" t="s">
        <v>2</v>
      </c>
      <c r="H145" s="36" t="s">
        <v>25</v>
      </c>
      <c r="I145" s="78" t="s">
        <v>26</v>
      </c>
    </row>
    <row r="146" spans="1:9" x14ac:dyDescent="0.25">
      <c r="A146" s="41"/>
      <c r="B146" s="224" t="s">
        <v>73</v>
      </c>
      <c r="C146" s="224"/>
      <c r="D146" s="224"/>
      <c r="E146" s="224"/>
      <c r="F146" s="41"/>
      <c r="G146" s="41"/>
      <c r="H146" s="41"/>
      <c r="I146" s="79"/>
    </row>
    <row r="147" spans="1:9" x14ac:dyDescent="0.25">
      <c r="A147" s="41"/>
      <c r="B147" s="224" t="s">
        <v>74</v>
      </c>
      <c r="C147" s="224"/>
      <c r="D147" s="224"/>
      <c r="E147" s="224"/>
      <c r="F147" s="41"/>
      <c r="G147" s="41"/>
      <c r="H147" s="41"/>
      <c r="I147" s="79"/>
    </row>
    <row r="148" spans="1:9" x14ac:dyDescent="0.25">
      <c r="A148" s="41"/>
      <c r="B148" s="265" t="s">
        <v>75</v>
      </c>
      <c r="C148" s="265"/>
      <c r="D148" s="265"/>
      <c r="E148" s="265"/>
      <c r="F148" s="41"/>
      <c r="G148" s="41"/>
      <c r="H148" s="41"/>
      <c r="I148" s="79"/>
    </row>
    <row r="149" spans="1:9" x14ac:dyDescent="0.25">
      <c r="A149" s="18"/>
      <c r="B149" s="231" t="s">
        <v>424</v>
      </c>
      <c r="C149" s="231"/>
      <c r="D149" s="231"/>
      <c r="E149" s="231"/>
      <c r="F149" s="18"/>
      <c r="G149" s="18"/>
      <c r="H149" s="18"/>
      <c r="I149" s="59"/>
    </row>
    <row r="150" spans="1:9" x14ac:dyDescent="0.25">
      <c r="A150" s="18"/>
      <c r="B150" s="221"/>
      <c r="C150" s="221"/>
      <c r="D150" s="221"/>
      <c r="E150" s="221"/>
      <c r="F150" s="18"/>
      <c r="G150" s="18"/>
      <c r="H150" s="18"/>
      <c r="I150" s="59"/>
    </row>
    <row r="151" spans="1:9" x14ac:dyDescent="0.25">
      <c r="A151" s="18" t="s">
        <v>30</v>
      </c>
      <c r="B151" s="221" t="s">
        <v>76</v>
      </c>
      <c r="C151" s="221"/>
      <c r="D151" s="221"/>
      <c r="E151" s="221"/>
      <c r="F151" s="18" t="s">
        <v>214</v>
      </c>
      <c r="G151" s="18">
        <v>22</v>
      </c>
      <c r="H151" s="18">
        <v>50.7</v>
      </c>
      <c r="I151" s="59">
        <v>1115.4000000000001</v>
      </c>
    </row>
    <row r="152" spans="1:9" x14ac:dyDescent="0.25">
      <c r="A152" s="18"/>
      <c r="B152" s="221" t="s">
        <v>77</v>
      </c>
      <c r="C152" s="221"/>
      <c r="D152" s="221"/>
      <c r="E152" s="221"/>
      <c r="F152" s="18"/>
      <c r="G152" s="18"/>
      <c r="H152" s="18"/>
      <c r="I152" s="59"/>
    </row>
    <row r="153" spans="1:9" x14ac:dyDescent="0.25">
      <c r="A153" s="18"/>
      <c r="B153" s="221" t="s">
        <v>78</v>
      </c>
      <c r="C153" s="221"/>
      <c r="D153" s="221"/>
      <c r="E153" s="221"/>
      <c r="F153" s="18"/>
      <c r="G153" s="18"/>
      <c r="H153" s="18"/>
      <c r="I153" s="59"/>
    </row>
    <row r="154" spans="1:9" x14ac:dyDescent="0.25">
      <c r="A154" s="18"/>
      <c r="B154" s="221"/>
      <c r="C154" s="221"/>
      <c r="D154" s="221"/>
      <c r="E154" s="221"/>
      <c r="F154" s="18"/>
      <c r="G154" s="18"/>
      <c r="H154" s="18"/>
      <c r="I154" s="59"/>
    </row>
    <row r="155" spans="1:9" x14ac:dyDescent="0.25">
      <c r="A155" s="18"/>
      <c r="B155" s="231" t="s">
        <v>79</v>
      </c>
      <c r="C155" s="231"/>
      <c r="D155" s="231"/>
      <c r="E155" s="231"/>
      <c r="F155" s="18"/>
      <c r="G155" s="18"/>
      <c r="H155" s="18"/>
      <c r="I155" s="59"/>
    </row>
    <row r="156" spans="1:9" ht="17.25" x14ac:dyDescent="0.25">
      <c r="A156" s="18" t="s">
        <v>36</v>
      </c>
      <c r="B156" s="221" t="s">
        <v>284</v>
      </c>
      <c r="C156" s="221"/>
      <c r="D156" s="221"/>
      <c r="E156" s="221"/>
      <c r="F156" s="18" t="s">
        <v>281</v>
      </c>
      <c r="G156" s="18">
        <v>5</v>
      </c>
      <c r="H156" s="18">
        <v>1085</v>
      </c>
      <c r="I156" s="59">
        <v>5425</v>
      </c>
    </row>
    <row r="157" spans="1:9" x14ac:dyDescent="0.25">
      <c r="A157" s="18"/>
      <c r="B157" s="221"/>
      <c r="C157" s="221"/>
      <c r="D157" s="221"/>
      <c r="E157" s="221"/>
      <c r="F157" s="18"/>
      <c r="G157" s="18"/>
      <c r="H157" s="18"/>
      <c r="I157" s="59"/>
    </row>
    <row r="158" spans="1:9" ht="17.25" x14ac:dyDescent="0.25">
      <c r="A158" s="18" t="s">
        <v>39</v>
      </c>
      <c r="B158" s="221" t="s">
        <v>425</v>
      </c>
      <c r="C158" s="221"/>
      <c r="D158" s="221"/>
      <c r="E158" s="221"/>
      <c r="F158" s="18" t="s">
        <v>281</v>
      </c>
      <c r="G158" s="18">
        <v>2</v>
      </c>
      <c r="H158" s="18">
        <v>1085</v>
      </c>
      <c r="I158" s="59">
        <v>2170</v>
      </c>
    </row>
    <row r="159" spans="1:9" x14ac:dyDescent="0.25">
      <c r="A159" s="18"/>
      <c r="B159" s="221"/>
      <c r="C159" s="221"/>
      <c r="D159" s="221"/>
      <c r="E159" s="221"/>
      <c r="F159" s="18"/>
      <c r="G159" s="18"/>
      <c r="H159" s="18"/>
      <c r="I159" s="59"/>
    </row>
    <row r="160" spans="1:9" x14ac:dyDescent="0.25">
      <c r="A160" s="18"/>
      <c r="B160" s="231" t="s">
        <v>80</v>
      </c>
      <c r="C160" s="231"/>
      <c r="D160" s="231"/>
      <c r="E160" s="231"/>
      <c r="F160" s="18"/>
      <c r="G160" s="18"/>
      <c r="H160" s="18"/>
      <c r="I160" s="59"/>
    </row>
    <row r="161" spans="1:9" x14ac:dyDescent="0.25">
      <c r="A161" s="18"/>
      <c r="B161" s="231" t="s">
        <v>81</v>
      </c>
      <c r="C161" s="231"/>
      <c r="D161" s="231"/>
      <c r="E161" s="231"/>
      <c r="F161" s="18"/>
      <c r="G161" s="18"/>
      <c r="H161" s="18"/>
      <c r="I161" s="59"/>
    </row>
    <row r="162" spans="1:9" x14ac:dyDescent="0.25">
      <c r="A162" s="18"/>
      <c r="B162" s="221"/>
      <c r="C162" s="221"/>
      <c r="D162" s="221"/>
      <c r="E162" s="221"/>
      <c r="F162" s="18"/>
      <c r="G162" s="18"/>
      <c r="H162" s="18"/>
      <c r="I162" s="59"/>
    </row>
    <row r="163" spans="1:9" x14ac:dyDescent="0.25">
      <c r="A163" s="18" t="s">
        <v>42</v>
      </c>
      <c r="B163" s="221" t="s">
        <v>285</v>
      </c>
      <c r="C163" s="221"/>
      <c r="D163" s="221"/>
      <c r="E163" s="221"/>
      <c r="F163" s="18" t="s">
        <v>280</v>
      </c>
      <c r="G163" s="18">
        <v>435</v>
      </c>
      <c r="H163" s="18">
        <v>17</v>
      </c>
      <c r="I163" s="59">
        <v>7395</v>
      </c>
    </row>
    <row r="164" spans="1:9" x14ac:dyDescent="0.25">
      <c r="A164" s="18"/>
      <c r="B164" s="221"/>
      <c r="C164" s="221"/>
      <c r="D164" s="221"/>
      <c r="E164" s="221"/>
      <c r="F164" s="18"/>
      <c r="G164" s="18"/>
      <c r="H164" s="18"/>
      <c r="I164" s="59"/>
    </row>
    <row r="165" spans="1:9" x14ac:dyDescent="0.25">
      <c r="A165" s="18" t="s">
        <v>46</v>
      </c>
      <c r="B165" s="221" t="s">
        <v>426</v>
      </c>
      <c r="C165" s="221"/>
      <c r="D165" s="221"/>
      <c r="E165" s="221"/>
      <c r="F165" s="18" t="s">
        <v>280</v>
      </c>
      <c r="G165" s="18">
        <v>1100</v>
      </c>
      <c r="H165" s="18">
        <v>17</v>
      </c>
      <c r="I165" s="59">
        <v>1870</v>
      </c>
    </row>
    <row r="166" spans="1:9" x14ac:dyDescent="0.25">
      <c r="A166" s="18"/>
      <c r="B166" s="221"/>
      <c r="C166" s="221"/>
      <c r="D166" s="221"/>
      <c r="E166" s="221"/>
      <c r="F166" s="18"/>
      <c r="G166" s="18"/>
      <c r="H166" s="18"/>
      <c r="I166" s="59"/>
    </row>
    <row r="167" spans="1:9" x14ac:dyDescent="0.25">
      <c r="A167" s="18"/>
      <c r="B167" s="231" t="s">
        <v>286</v>
      </c>
      <c r="C167" s="231"/>
      <c r="D167" s="231"/>
      <c r="E167" s="231"/>
      <c r="F167" s="18"/>
      <c r="G167" s="18"/>
      <c r="H167" s="18"/>
      <c r="I167" s="59"/>
    </row>
    <row r="168" spans="1:9" x14ac:dyDescent="0.25">
      <c r="A168" s="18" t="s">
        <v>49</v>
      </c>
      <c r="B168" s="221" t="s">
        <v>287</v>
      </c>
      <c r="C168" s="221"/>
      <c r="D168" s="221"/>
      <c r="E168" s="221"/>
      <c r="F168" s="18" t="s">
        <v>280</v>
      </c>
      <c r="G168" s="18">
        <v>765</v>
      </c>
      <c r="H168" s="18">
        <v>17</v>
      </c>
      <c r="I168" s="59">
        <v>13005</v>
      </c>
    </row>
    <row r="169" spans="1:9" x14ac:dyDescent="0.25">
      <c r="A169" s="18"/>
      <c r="B169" s="221"/>
      <c r="C169" s="221"/>
      <c r="D169" s="221"/>
      <c r="E169" s="221"/>
      <c r="F169" s="18"/>
      <c r="G169" s="18"/>
      <c r="H169" s="18"/>
      <c r="I169" s="59"/>
    </row>
    <row r="170" spans="1:9" x14ac:dyDescent="0.25">
      <c r="A170" s="18"/>
      <c r="B170" s="231" t="s">
        <v>288</v>
      </c>
      <c r="C170" s="231"/>
      <c r="D170" s="231"/>
      <c r="E170" s="231"/>
      <c r="F170" s="18"/>
      <c r="G170" s="18"/>
      <c r="H170" s="18"/>
      <c r="I170" s="59"/>
    </row>
    <row r="171" spans="1:9" ht="17.25" x14ac:dyDescent="0.25">
      <c r="A171" s="18" t="s">
        <v>53</v>
      </c>
      <c r="B171" s="221" t="s">
        <v>289</v>
      </c>
      <c r="C171" s="221"/>
      <c r="D171" s="221"/>
      <c r="E171" s="221"/>
      <c r="F171" s="18" t="s">
        <v>279</v>
      </c>
      <c r="G171" s="18">
        <v>262</v>
      </c>
      <c r="H171" s="18">
        <v>31</v>
      </c>
      <c r="I171" s="59">
        <v>8122</v>
      </c>
    </row>
    <row r="172" spans="1:9" x14ac:dyDescent="0.25">
      <c r="A172" s="18"/>
      <c r="B172" s="221"/>
      <c r="C172" s="221"/>
      <c r="D172" s="221"/>
      <c r="E172" s="221"/>
      <c r="F172" s="18"/>
      <c r="G172" s="18"/>
      <c r="H172" s="18"/>
      <c r="I172" s="59"/>
    </row>
    <row r="173" spans="1:9" ht="17.25" x14ac:dyDescent="0.25">
      <c r="A173" s="18" t="s">
        <v>55</v>
      </c>
      <c r="B173" s="221" t="s">
        <v>290</v>
      </c>
      <c r="C173" s="221"/>
      <c r="D173" s="221"/>
      <c r="E173" s="221"/>
      <c r="F173" s="18" t="s">
        <v>281</v>
      </c>
      <c r="G173" s="18">
        <v>125</v>
      </c>
      <c r="H173" s="18">
        <v>31</v>
      </c>
      <c r="I173" s="59">
        <v>3875</v>
      </c>
    </row>
    <row r="174" spans="1:9" x14ac:dyDescent="0.25">
      <c r="A174" s="18"/>
      <c r="B174" s="221"/>
      <c r="C174" s="221"/>
      <c r="D174" s="221"/>
      <c r="E174" s="221"/>
      <c r="F174" s="18"/>
      <c r="G174" s="18"/>
      <c r="H174" s="18"/>
      <c r="I174" s="59"/>
    </row>
    <row r="175" spans="1:9" x14ac:dyDescent="0.25">
      <c r="A175" s="18"/>
      <c r="B175" s="231" t="s">
        <v>82</v>
      </c>
      <c r="C175" s="231"/>
      <c r="D175" s="231"/>
      <c r="E175" s="231"/>
      <c r="F175" s="18"/>
      <c r="G175" s="18"/>
      <c r="H175" s="18"/>
      <c r="I175" s="59"/>
    </row>
    <row r="176" spans="1:9" ht="17.25" x14ac:dyDescent="0.25">
      <c r="A176" s="18" t="s">
        <v>57</v>
      </c>
      <c r="B176" s="221" t="s">
        <v>83</v>
      </c>
      <c r="C176" s="221"/>
      <c r="D176" s="221"/>
      <c r="E176" s="221"/>
      <c r="F176" s="18" t="s">
        <v>279</v>
      </c>
      <c r="G176" s="18">
        <v>242</v>
      </c>
      <c r="H176" s="18">
        <v>142</v>
      </c>
      <c r="I176" s="59">
        <v>34364</v>
      </c>
    </row>
    <row r="177" spans="1:9" x14ac:dyDescent="0.25">
      <c r="A177" s="18"/>
      <c r="B177" s="221" t="s">
        <v>84</v>
      </c>
      <c r="C177" s="221"/>
      <c r="D177" s="221"/>
      <c r="E177" s="221"/>
      <c r="F177" s="18"/>
      <c r="G177" s="18"/>
      <c r="H177" s="18"/>
      <c r="I177" s="59"/>
    </row>
    <row r="178" spans="1:9" x14ac:dyDescent="0.25">
      <c r="A178" s="18"/>
      <c r="B178" s="221" t="s">
        <v>291</v>
      </c>
      <c r="C178" s="221"/>
      <c r="D178" s="221"/>
      <c r="E178" s="221"/>
      <c r="F178" s="18"/>
      <c r="G178" s="18"/>
      <c r="H178" s="18"/>
      <c r="I178" s="59"/>
    </row>
    <row r="179" spans="1:9" x14ac:dyDescent="0.25">
      <c r="A179" s="18"/>
      <c r="B179" s="221"/>
      <c r="C179" s="221"/>
      <c r="D179" s="221"/>
      <c r="E179" s="221"/>
      <c r="F179" s="18"/>
      <c r="G179" s="18"/>
      <c r="H179" s="18"/>
      <c r="I179" s="59"/>
    </row>
    <row r="180" spans="1:9" ht="17.25" x14ac:dyDescent="0.25">
      <c r="A180" s="18" t="s">
        <v>85</v>
      </c>
      <c r="B180" s="221" t="s">
        <v>427</v>
      </c>
      <c r="C180" s="221"/>
      <c r="D180" s="221"/>
      <c r="E180" s="221"/>
      <c r="F180" s="18" t="s">
        <v>279</v>
      </c>
      <c r="G180" s="18">
        <v>163</v>
      </c>
      <c r="H180" s="18">
        <v>107</v>
      </c>
      <c r="I180" s="59">
        <v>17441</v>
      </c>
    </row>
    <row r="181" spans="1:9" x14ac:dyDescent="0.25">
      <c r="A181" s="18"/>
      <c r="B181" s="221"/>
      <c r="C181" s="221"/>
      <c r="D181" s="221"/>
      <c r="E181" s="221"/>
      <c r="F181" s="18"/>
      <c r="G181" s="18"/>
      <c r="H181" s="18"/>
      <c r="I181" s="59"/>
    </row>
    <row r="182" spans="1:9" x14ac:dyDescent="0.25">
      <c r="A182" s="18" t="s">
        <v>86</v>
      </c>
      <c r="B182" s="221" t="s">
        <v>428</v>
      </c>
      <c r="C182" s="221"/>
      <c r="D182" s="221"/>
      <c r="E182" s="221"/>
      <c r="F182" s="18" t="s">
        <v>214</v>
      </c>
      <c r="G182" s="18">
        <v>48</v>
      </c>
      <c r="H182" s="18">
        <v>17</v>
      </c>
      <c r="I182" s="59">
        <v>816</v>
      </c>
    </row>
    <row r="183" spans="1:9" ht="15.75" thickBot="1" x14ac:dyDescent="0.3">
      <c r="A183" s="18"/>
      <c r="B183" s="221"/>
      <c r="C183" s="221"/>
      <c r="D183" s="221"/>
      <c r="E183" s="221"/>
      <c r="F183" s="18"/>
      <c r="G183" s="18"/>
      <c r="H183" s="18"/>
      <c r="I183" s="59"/>
    </row>
    <row r="184" spans="1:9" x14ac:dyDescent="0.25">
      <c r="A184" s="19"/>
      <c r="B184" s="253" t="s">
        <v>282</v>
      </c>
      <c r="C184" s="253"/>
      <c r="D184" s="253"/>
      <c r="E184" s="253"/>
      <c r="F184" s="253"/>
      <c r="G184" s="253"/>
      <c r="H184" s="275"/>
      <c r="I184" s="83">
        <f>SUM(I149:I182)</f>
        <v>95598.399999999994</v>
      </c>
    </row>
    <row r="185" spans="1:9" x14ac:dyDescent="0.25">
      <c r="A185" s="16"/>
      <c r="B185" s="226" t="s">
        <v>6</v>
      </c>
      <c r="C185" s="226"/>
      <c r="D185" s="226"/>
      <c r="E185" s="226"/>
      <c r="F185" s="226"/>
      <c r="G185" s="226"/>
      <c r="H185" s="227"/>
      <c r="I185" s="82"/>
    </row>
    <row r="186" spans="1:9" ht="15.75" thickBot="1" x14ac:dyDescent="0.3">
      <c r="A186" s="17"/>
      <c r="B186" s="263" t="s">
        <v>283</v>
      </c>
      <c r="C186" s="263"/>
      <c r="D186" s="263"/>
      <c r="E186" s="263"/>
      <c r="F186" s="263"/>
      <c r="G186" s="263"/>
      <c r="H186" s="273"/>
      <c r="I186" s="60"/>
    </row>
    <row r="187" spans="1:9" x14ac:dyDescent="0.25">
      <c r="I187" s="67"/>
    </row>
    <row r="188" spans="1:9" x14ac:dyDescent="0.25">
      <c r="I188" s="67"/>
    </row>
    <row r="189" spans="1:9" x14ac:dyDescent="0.25">
      <c r="I189" s="67"/>
    </row>
    <row r="190" spans="1:9" x14ac:dyDescent="0.25">
      <c r="I190" s="67"/>
    </row>
    <row r="191" spans="1:9" x14ac:dyDescent="0.25">
      <c r="I191" s="67"/>
    </row>
    <row r="192" spans="1:9" ht="15.75" thickBot="1" x14ac:dyDescent="0.3">
      <c r="I192" s="67"/>
    </row>
    <row r="193" spans="1:9" ht="15.75" thickBot="1" x14ac:dyDescent="0.3">
      <c r="A193" s="36" t="s">
        <v>0</v>
      </c>
      <c r="B193" s="234" t="s">
        <v>1</v>
      </c>
      <c r="C193" s="235"/>
      <c r="D193" s="235"/>
      <c r="E193" s="236"/>
      <c r="F193" s="36" t="s">
        <v>24</v>
      </c>
      <c r="G193" s="36" t="s">
        <v>2</v>
      </c>
      <c r="H193" s="36" t="s">
        <v>3</v>
      </c>
      <c r="I193" s="78" t="s">
        <v>4</v>
      </c>
    </row>
    <row r="194" spans="1:9" x14ac:dyDescent="0.25">
      <c r="A194" s="18"/>
      <c r="B194" s="231"/>
      <c r="C194" s="231"/>
      <c r="D194" s="231"/>
      <c r="E194" s="231"/>
      <c r="F194" s="18"/>
      <c r="G194" s="18"/>
      <c r="H194" s="18"/>
      <c r="I194" s="59"/>
    </row>
    <row r="195" spans="1:9" x14ac:dyDescent="0.25">
      <c r="A195" s="18"/>
      <c r="B195" s="242" t="s">
        <v>87</v>
      </c>
      <c r="C195" s="243"/>
      <c r="D195" s="243"/>
      <c r="E195" s="244"/>
      <c r="F195" s="18"/>
      <c r="G195" s="18"/>
      <c r="H195" s="18"/>
      <c r="I195" s="59"/>
    </row>
    <row r="196" spans="1:9" x14ac:dyDescent="0.25">
      <c r="A196" s="18"/>
      <c r="B196" s="242" t="s">
        <v>88</v>
      </c>
      <c r="C196" s="243"/>
      <c r="D196" s="243"/>
      <c r="E196" s="244"/>
      <c r="F196" s="18"/>
      <c r="G196" s="18"/>
      <c r="H196" s="18"/>
      <c r="I196" s="59"/>
    </row>
    <row r="197" spans="1:9" x14ac:dyDescent="0.25">
      <c r="A197" s="18"/>
      <c r="B197" s="221"/>
      <c r="C197" s="221"/>
      <c r="D197" s="221"/>
      <c r="E197" s="221"/>
      <c r="F197" s="18"/>
      <c r="G197" s="18"/>
      <c r="H197" s="18"/>
      <c r="I197" s="59"/>
    </row>
    <row r="198" spans="1:9" x14ac:dyDescent="0.25">
      <c r="A198" s="18"/>
      <c r="B198" s="231" t="s">
        <v>89</v>
      </c>
      <c r="C198" s="231"/>
      <c r="D198" s="231"/>
      <c r="E198" s="231"/>
      <c r="F198" s="18"/>
      <c r="G198" s="18"/>
      <c r="H198" s="18"/>
      <c r="I198" s="59"/>
    </row>
    <row r="199" spans="1:9" x14ac:dyDescent="0.25">
      <c r="A199" s="18"/>
      <c r="B199" s="231" t="s">
        <v>309</v>
      </c>
      <c r="C199" s="231"/>
      <c r="D199" s="231"/>
      <c r="E199" s="231"/>
      <c r="F199" s="18"/>
      <c r="G199" s="18"/>
      <c r="H199" s="18"/>
      <c r="I199" s="59"/>
    </row>
    <row r="200" spans="1:9" x14ac:dyDescent="0.25">
      <c r="A200" s="18"/>
      <c r="B200" s="221"/>
      <c r="C200" s="221"/>
      <c r="D200" s="221"/>
      <c r="E200" s="221"/>
      <c r="F200" s="18"/>
      <c r="G200" s="18"/>
      <c r="H200" s="18"/>
      <c r="I200" s="59"/>
    </row>
    <row r="201" spans="1:9" x14ac:dyDescent="0.25">
      <c r="A201" s="18" t="s">
        <v>30</v>
      </c>
      <c r="B201" s="221" t="s">
        <v>90</v>
      </c>
      <c r="C201" s="221"/>
      <c r="D201" s="221"/>
      <c r="E201" s="221"/>
      <c r="F201" s="18" t="s">
        <v>214</v>
      </c>
      <c r="G201" s="18">
        <v>42</v>
      </c>
      <c r="H201" s="18">
        <v>50</v>
      </c>
      <c r="I201" s="59">
        <v>2100</v>
      </c>
    </row>
    <row r="202" spans="1:9" x14ac:dyDescent="0.25">
      <c r="A202" s="18"/>
      <c r="B202" s="221" t="s">
        <v>310</v>
      </c>
      <c r="C202" s="221"/>
      <c r="D202" s="221"/>
      <c r="E202" s="221"/>
      <c r="F202" s="18"/>
      <c r="G202" s="18"/>
      <c r="H202" s="18"/>
      <c r="I202" s="59"/>
    </row>
    <row r="203" spans="1:9" x14ac:dyDescent="0.25">
      <c r="A203" s="18" t="s">
        <v>36</v>
      </c>
      <c r="B203" s="221" t="s">
        <v>311</v>
      </c>
      <c r="C203" s="221"/>
      <c r="D203" s="221"/>
      <c r="E203" s="221"/>
      <c r="F203" s="18" t="s">
        <v>214</v>
      </c>
      <c r="G203" s="18">
        <v>220</v>
      </c>
      <c r="H203" s="18">
        <v>26</v>
      </c>
      <c r="I203" s="59">
        <v>5720</v>
      </c>
    </row>
    <row r="204" spans="1:9" x14ac:dyDescent="0.25">
      <c r="A204" s="18" t="s">
        <v>39</v>
      </c>
      <c r="B204" s="221" t="s">
        <v>312</v>
      </c>
      <c r="C204" s="221"/>
      <c r="D204" s="221"/>
      <c r="E204" s="221"/>
      <c r="F204" s="18" t="s">
        <v>214</v>
      </c>
      <c r="G204" s="18">
        <v>270</v>
      </c>
      <c r="H204" s="18">
        <v>26</v>
      </c>
      <c r="I204" s="59">
        <v>7020</v>
      </c>
    </row>
    <row r="205" spans="1:9" x14ac:dyDescent="0.25">
      <c r="A205" s="18" t="s">
        <v>42</v>
      </c>
      <c r="B205" s="221" t="s">
        <v>313</v>
      </c>
      <c r="C205" s="221"/>
      <c r="D205" s="221"/>
      <c r="E205" s="221"/>
      <c r="F205" s="18" t="s">
        <v>214</v>
      </c>
      <c r="G205" s="18">
        <v>170</v>
      </c>
      <c r="H205" s="18">
        <v>26</v>
      </c>
      <c r="I205" s="59">
        <v>4420</v>
      </c>
    </row>
    <row r="206" spans="1:9" x14ac:dyDescent="0.25">
      <c r="A206" s="18" t="s">
        <v>46</v>
      </c>
      <c r="B206" s="221" t="s">
        <v>314</v>
      </c>
      <c r="C206" s="221"/>
      <c r="D206" s="221"/>
      <c r="E206" s="221"/>
      <c r="F206" s="18" t="s">
        <v>214</v>
      </c>
      <c r="G206" s="18">
        <v>215</v>
      </c>
      <c r="H206" s="18">
        <v>26</v>
      </c>
      <c r="I206" s="59">
        <v>5590</v>
      </c>
    </row>
    <row r="207" spans="1:9" x14ac:dyDescent="0.25">
      <c r="A207" s="18" t="s">
        <v>49</v>
      </c>
      <c r="B207" s="221" t="s">
        <v>315</v>
      </c>
      <c r="C207" s="221"/>
      <c r="D207" s="221"/>
      <c r="E207" s="221"/>
      <c r="F207" s="18" t="s">
        <v>214</v>
      </c>
      <c r="G207" s="18">
        <v>220</v>
      </c>
      <c r="H207" s="18">
        <v>24</v>
      </c>
      <c r="I207" s="59">
        <v>5328</v>
      </c>
    </row>
    <row r="208" spans="1:9" x14ac:dyDescent="0.25">
      <c r="A208" s="18" t="s">
        <v>53</v>
      </c>
      <c r="B208" s="221" t="s">
        <v>316</v>
      </c>
      <c r="C208" s="221"/>
      <c r="D208" s="221"/>
      <c r="E208" s="221"/>
      <c r="F208" s="18" t="s">
        <v>214</v>
      </c>
      <c r="G208" s="18">
        <v>280</v>
      </c>
      <c r="H208" s="18">
        <v>24</v>
      </c>
      <c r="I208" s="59">
        <v>6720</v>
      </c>
    </row>
    <row r="209" spans="1:9" x14ac:dyDescent="0.25">
      <c r="A209" s="18" t="s">
        <v>55</v>
      </c>
      <c r="B209" s="221" t="s">
        <v>317</v>
      </c>
      <c r="C209" s="221"/>
      <c r="D209" s="221"/>
      <c r="E209" s="221"/>
      <c r="F209" s="18" t="s">
        <v>214</v>
      </c>
      <c r="G209" s="18">
        <v>17</v>
      </c>
      <c r="H209" s="18">
        <v>20</v>
      </c>
      <c r="I209" s="59">
        <v>340</v>
      </c>
    </row>
    <row r="210" spans="1:9" x14ac:dyDescent="0.25">
      <c r="A210" s="18"/>
      <c r="B210" s="274" t="s">
        <v>91</v>
      </c>
      <c r="C210" s="274"/>
      <c r="D210" s="274"/>
      <c r="E210" s="274"/>
      <c r="F210" s="18"/>
      <c r="G210" s="18"/>
      <c r="H210" s="18"/>
      <c r="I210" s="59"/>
    </row>
    <row r="211" spans="1:9" x14ac:dyDescent="0.25">
      <c r="A211" s="18" t="s">
        <v>57</v>
      </c>
      <c r="B211" s="221" t="s">
        <v>318</v>
      </c>
      <c r="C211" s="221"/>
      <c r="D211" s="221"/>
      <c r="E211" s="221"/>
      <c r="F211" s="18" t="s">
        <v>214</v>
      </c>
      <c r="G211" s="18">
        <v>85</v>
      </c>
      <c r="H211" s="18">
        <v>40</v>
      </c>
      <c r="I211" s="59">
        <v>3400</v>
      </c>
    </row>
    <row r="212" spans="1:9" x14ac:dyDescent="0.25">
      <c r="A212" s="18"/>
      <c r="B212" s="274" t="s">
        <v>92</v>
      </c>
      <c r="C212" s="274"/>
      <c r="D212" s="274"/>
      <c r="E212" s="274"/>
      <c r="F212" s="18"/>
      <c r="G212" s="18"/>
      <c r="H212" s="18"/>
      <c r="I212" s="59"/>
    </row>
    <row r="213" spans="1:9" ht="17.25" x14ac:dyDescent="0.25">
      <c r="A213" s="18" t="s">
        <v>85</v>
      </c>
      <c r="B213" s="221" t="s">
        <v>93</v>
      </c>
      <c r="C213" s="221"/>
      <c r="D213" s="221"/>
      <c r="E213" s="221"/>
      <c r="F213" s="18" t="s">
        <v>279</v>
      </c>
      <c r="G213" s="18">
        <v>280</v>
      </c>
      <c r="H213" s="18">
        <v>155</v>
      </c>
      <c r="I213" s="59">
        <v>4200</v>
      </c>
    </row>
    <row r="214" spans="1:9" x14ac:dyDescent="0.25">
      <c r="A214" s="18"/>
      <c r="B214" s="221" t="s">
        <v>94</v>
      </c>
      <c r="C214" s="221"/>
      <c r="D214" s="221"/>
      <c r="E214" s="221"/>
      <c r="F214" s="18"/>
      <c r="G214" s="18"/>
      <c r="H214" s="18"/>
      <c r="I214" s="59"/>
    </row>
    <row r="215" spans="1:9" x14ac:dyDescent="0.25">
      <c r="A215" s="18"/>
      <c r="B215" s="221" t="s">
        <v>319</v>
      </c>
      <c r="C215" s="221"/>
      <c r="D215" s="221"/>
      <c r="E215" s="221"/>
      <c r="F215" s="18"/>
      <c r="G215" s="18"/>
      <c r="H215" s="18"/>
      <c r="I215" s="59"/>
    </row>
    <row r="216" spans="1:9" ht="17.25" x14ac:dyDescent="0.25">
      <c r="A216" s="18" t="s">
        <v>86</v>
      </c>
      <c r="B216" s="221" t="s">
        <v>95</v>
      </c>
      <c r="C216" s="221"/>
      <c r="D216" s="221"/>
      <c r="E216" s="221"/>
      <c r="F216" s="18" t="s">
        <v>279</v>
      </c>
      <c r="G216" s="18">
        <v>321</v>
      </c>
      <c r="H216" s="18">
        <v>17</v>
      </c>
      <c r="I216" s="59">
        <v>5457</v>
      </c>
    </row>
    <row r="217" spans="1:9" x14ac:dyDescent="0.25">
      <c r="A217" s="18"/>
      <c r="B217" s="221" t="s">
        <v>320</v>
      </c>
      <c r="C217" s="221"/>
      <c r="D217" s="221"/>
      <c r="E217" s="221"/>
      <c r="F217" s="18"/>
      <c r="G217" s="18"/>
      <c r="H217" s="18"/>
      <c r="I217" s="59"/>
    </row>
    <row r="218" spans="1:9" x14ac:dyDescent="0.25">
      <c r="A218" s="18" t="s">
        <v>96</v>
      </c>
      <c r="B218" s="221" t="s">
        <v>99</v>
      </c>
      <c r="C218" s="221"/>
      <c r="D218" s="221"/>
      <c r="E218" s="221"/>
      <c r="F218" s="18" t="s">
        <v>214</v>
      </c>
      <c r="G218" s="18">
        <v>87</v>
      </c>
      <c r="H218" s="18">
        <v>11</v>
      </c>
      <c r="I218" s="59">
        <v>957</v>
      </c>
    </row>
    <row r="219" spans="1:9" x14ac:dyDescent="0.25">
      <c r="A219" s="18"/>
      <c r="B219" s="221" t="s">
        <v>100</v>
      </c>
      <c r="C219" s="221"/>
      <c r="D219" s="221"/>
      <c r="E219" s="221"/>
      <c r="F219" s="18"/>
      <c r="G219" s="18"/>
      <c r="H219" s="18"/>
      <c r="I219" s="59"/>
    </row>
    <row r="220" spans="1:9" x14ac:dyDescent="0.25">
      <c r="A220" s="18"/>
      <c r="B220" s="221" t="s">
        <v>321</v>
      </c>
      <c r="C220" s="221"/>
      <c r="D220" s="221"/>
      <c r="E220" s="221"/>
      <c r="F220" s="18"/>
      <c r="G220" s="18"/>
      <c r="H220" s="18"/>
      <c r="I220" s="59"/>
    </row>
    <row r="221" spans="1:9" x14ac:dyDescent="0.25">
      <c r="A221" s="18" t="s">
        <v>97</v>
      </c>
      <c r="B221" s="221" t="s">
        <v>322</v>
      </c>
      <c r="C221" s="221"/>
      <c r="D221" s="221"/>
      <c r="E221" s="221"/>
      <c r="F221" s="18" t="s">
        <v>214</v>
      </c>
      <c r="G221" s="18">
        <v>8</v>
      </c>
      <c r="H221" s="18">
        <v>11</v>
      </c>
      <c r="I221" s="59">
        <v>85</v>
      </c>
    </row>
    <row r="222" spans="1:9" x14ac:dyDescent="0.25">
      <c r="A222" s="31" t="s">
        <v>98</v>
      </c>
      <c r="B222" s="221" t="s">
        <v>323</v>
      </c>
      <c r="C222" s="221"/>
      <c r="D222" s="221"/>
      <c r="E222" s="221"/>
      <c r="F222" s="18" t="s">
        <v>214</v>
      </c>
      <c r="G222" s="18">
        <v>40</v>
      </c>
      <c r="H222" s="18">
        <v>20</v>
      </c>
      <c r="I222" s="59">
        <v>800</v>
      </c>
    </row>
    <row r="223" spans="1:9" x14ac:dyDescent="0.25">
      <c r="A223" s="31" t="s">
        <v>101</v>
      </c>
      <c r="B223" s="221" t="s">
        <v>324</v>
      </c>
      <c r="C223" s="221"/>
      <c r="D223" s="221"/>
      <c r="E223" s="221"/>
      <c r="F223" s="18" t="s">
        <v>214</v>
      </c>
      <c r="G223" s="18">
        <v>8</v>
      </c>
      <c r="H223" s="18">
        <v>62</v>
      </c>
      <c r="I223" s="59">
        <v>496</v>
      </c>
    </row>
    <row r="224" spans="1:9" ht="15.75" thickBot="1" x14ac:dyDescent="0.3">
      <c r="A224" s="11"/>
      <c r="B224" s="279"/>
      <c r="C224" s="279"/>
      <c r="D224" s="279"/>
      <c r="E224" s="279"/>
      <c r="F224" s="11"/>
      <c r="G224" s="11"/>
      <c r="H224" s="11"/>
      <c r="I224" s="60"/>
    </row>
    <row r="225" spans="1:9" x14ac:dyDescent="0.25">
      <c r="A225" s="19"/>
      <c r="B225" s="253"/>
      <c r="C225" s="253"/>
      <c r="D225" s="253"/>
      <c r="E225" s="253"/>
      <c r="F225" s="253"/>
      <c r="G225" s="253"/>
      <c r="H225" s="275"/>
      <c r="I225" s="75"/>
    </row>
    <row r="226" spans="1:9" x14ac:dyDescent="0.25">
      <c r="A226" s="16"/>
      <c r="B226" s="226" t="s">
        <v>104</v>
      </c>
      <c r="C226" s="226"/>
      <c r="D226" s="226"/>
      <c r="E226" s="226"/>
      <c r="F226" s="226"/>
      <c r="G226" s="226"/>
      <c r="H226" s="227"/>
      <c r="I226" s="82">
        <f>SUM(I201:I223)</f>
        <v>52633</v>
      </c>
    </row>
    <row r="227" spans="1:9" x14ac:dyDescent="0.25">
      <c r="A227" s="16"/>
      <c r="B227" s="226"/>
      <c r="C227" s="226"/>
      <c r="D227" s="226"/>
      <c r="E227" s="226"/>
      <c r="F227" s="226"/>
      <c r="G227" s="226"/>
      <c r="H227" s="227"/>
      <c r="I227" s="59"/>
    </row>
    <row r="228" spans="1:9" x14ac:dyDescent="0.25">
      <c r="A228" s="16"/>
      <c r="B228" s="226" t="s">
        <v>6</v>
      </c>
      <c r="C228" s="226"/>
      <c r="D228" s="226"/>
      <c r="E228" s="226"/>
      <c r="F228" s="226"/>
      <c r="G228" s="226"/>
      <c r="H228" s="227"/>
      <c r="I228" s="59"/>
    </row>
    <row r="229" spans="1:9" x14ac:dyDescent="0.25">
      <c r="A229" s="16"/>
      <c r="B229" s="226"/>
      <c r="C229" s="226"/>
      <c r="D229" s="226"/>
      <c r="E229" s="226"/>
      <c r="F229" s="226"/>
      <c r="G229" s="226"/>
      <c r="H229" s="227"/>
      <c r="I229" s="59"/>
    </row>
    <row r="230" spans="1:9" ht="15.75" thickBot="1" x14ac:dyDescent="0.3">
      <c r="A230" s="17"/>
      <c r="B230" s="263" t="s">
        <v>105</v>
      </c>
      <c r="C230" s="263"/>
      <c r="D230" s="263"/>
      <c r="E230" s="263"/>
      <c r="F230" s="263"/>
      <c r="G230" s="263"/>
      <c r="H230" s="273"/>
      <c r="I230" s="60"/>
    </row>
    <row r="231" spans="1:9" x14ac:dyDescent="0.25">
      <c r="B231" s="4"/>
      <c r="C231" s="4"/>
      <c r="D231" s="4"/>
      <c r="E231" s="4"/>
      <c r="I231" s="67"/>
    </row>
    <row r="232" spans="1:9" x14ac:dyDescent="0.25">
      <c r="B232" s="46"/>
      <c r="C232" s="46"/>
      <c r="D232" s="46"/>
      <c r="E232" s="46"/>
      <c r="I232" s="67"/>
    </row>
    <row r="233" spans="1:9" x14ac:dyDescent="0.25">
      <c r="B233" s="56"/>
      <c r="C233" s="56"/>
      <c r="D233" s="56"/>
      <c r="E233" s="56"/>
      <c r="I233" s="67"/>
    </row>
    <row r="234" spans="1:9" x14ac:dyDescent="0.25">
      <c r="B234" s="56"/>
      <c r="C234" s="56"/>
      <c r="D234" s="56"/>
      <c r="E234" s="56"/>
      <c r="I234" s="67"/>
    </row>
    <row r="235" spans="1:9" x14ac:dyDescent="0.25">
      <c r="B235" s="56"/>
      <c r="C235" s="56"/>
      <c r="D235" s="56"/>
      <c r="E235" s="56"/>
      <c r="I235" s="67"/>
    </row>
    <row r="236" spans="1:9" x14ac:dyDescent="0.25">
      <c r="B236" s="56"/>
      <c r="C236" s="56"/>
      <c r="D236" s="56"/>
      <c r="E236" s="56"/>
      <c r="I236" s="67"/>
    </row>
    <row r="237" spans="1:9" x14ac:dyDescent="0.25">
      <c r="B237" s="46"/>
      <c r="C237" s="46"/>
      <c r="D237" s="46"/>
      <c r="E237" s="46"/>
      <c r="I237" s="67"/>
    </row>
    <row r="238" spans="1:9" x14ac:dyDescent="0.25">
      <c r="B238" s="4"/>
      <c r="C238" s="4"/>
      <c r="D238" s="4"/>
      <c r="E238" s="4"/>
      <c r="I238" s="67"/>
    </row>
    <row r="239" spans="1:9" x14ac:dyDescent="0.25">
      <c r="B239" s="4"/>
      <c r="C239" s="4"/>
      <c r="D239" s="4"/>
      <c r="E239" s="4"/>
      <c r="I239" s="67"/>
    </row>
    <row r="240" spans="1:9" ht="15.75" thickBot="1" x14ac:dyDescent="0.3">
      <c r="I240" s="67"/>
    </row>
    <row r="241" spans="1:9" ht="15.75" thickBot="1" x14ac:dyDescent="0.3">
      <c r="A241" s="36" t="s">
        <v>0</v>
      </c>
      <c r="B241" s="234" t="s">
        <v>1</v>
      </c>
      <c r="C241" s="235"/>
      <c r="D241" s="235"/>
      <c r="E241" s="236"/>
      <c r="F241" s="36" t="s">
        <v>24</v>
      </c>
      <c r="G241" s="36" t="s">
        <v>2</v>
      </c>
      <c r="H241" s="36" t="s">
        <v>3</v>
      </c>
      <c r="I241" s="78" t="s">
        <v>4</v>
      </c>
    </row>
    <row r="242" spans="1:9" x14ac:dyDescent="0.25">
      <c r="A242" s="18"/>
      <c r="B242" s="221"/>
      <c r="C242" s="221"/>
      <c r="D242" s="221"/>
      <c r="E242" s="221"/>
      <c r="F242" s="18"/>
      <c r="G242" s="18"/>
      <c r="H242" s="18"/>
      <c r="I242" s="59"/>
    </row>
    <row r="243" spans="1:9" x14ac:dyDescent="0.25">
      <c r="A243" s="18"/>
      <c r="B243" s="242" t="s">
        <v>106</v>
      </c>
      <c r="C243" s="243"/>
      <c r="D243" s="243"/>
      <c r="E243" s="244"/>
      <c r="F243" s="18"/>
      <c r="G243" s="18"/>
      <c r="H243" s="18"/>
      <c r="I243" s="59"/>
    </row>
    <row r="244" spans="1:9" x14ac:dyDescent="0.25">
      <c r="A244" s="18"/>
      <c r="B244" s="242" t="s">
        <v>107</v>
      </c>
      <c r="C244" s="243"/>
      <c r="D244" s="243"/>
      <c r="E244" s="244"/>
      <c r="F244" s="18"/>
      <c r="G244" s="18"/>
      <c r="H244" s="18"/>
      <c r="I244" s="59"/>
    </row>
    <row r="245" spans="1:9" x14ac:dyDescent="0.25">
      <c r="A245" s="18"/>
      <c r="B245" s="221"/>
      <c r="C245" s="221"/>
      <c r="D245" s="221"/>
      <c r="E245" s="221"/>
      <c r="F245" s="18"/>
      <c r="G245" s="18"/>
      <c r="H245" s="18"/>
      <c r="I245" s="59"/>
    </row>
    <row r="246" spans="1:9" x14ac:dyDescent="0.25">
      <c r="A246" s="18"/>
      <c r="B246" s="274" t="s">
        <v>108</v>
      </c>
      <c r="C246" s="274"/>
      <c r="D246" s="274"/>
      <c r="E246" s="274"/>
      <c r="F246" s="18"/>
      <c r="G246" s="18"/>
      <c r="H246" s="18"/>
      <c r="I246" s="59"/>
    </row>
    <row r="247" spans="1:9" x14ac:dyDescent="0.25">
      <c r="A247" s="18"/>
      <c r="B247" s="274" t="s">
        <v>109</v>
      </c>
      <c r="C247" s="274"/>
      <c r="D247" s="274"/>
      <c r="E247" s="274"/>
      <c r="F247" s="18"/>
      <c r="G247" s="18"/>
      <c r="H247" s="18"/>
      <c r="I247" s="59"/>
    </row>
    <row r="248" spans="1:9" x14ac:dyDescent="0.25">
      <c r="A248" s="18"/>
      <c r="B248" s="274" t="s">
        <v>110</v>
      </c>
      <c r="C248" s="274"/>
      <c r="D248" s="274"/>
      <c r="E248" s="274"/>
      <c r="F248" s="18"/>
      <c r="G248" s="18"/>
      <c r="H248" s="18"/>
      <c r="I248" s="59"/>
    </row>
    <row r="249" spans="1:9" x14ac:dyDescent="0.25">
      <c r="A249" s="18"/>
      <c r="B249" s="274" t="s">
        <v>111</v>
      </c>
      <c r="C249" s="274"/>
      <c r="D249" s="274"/>
      <c r="E249" s="274"/>
      <c r="F249" s="18"/>
      <c r="G249" s="18"/>
      <c r="H249" s="18"/>
      <c r="I249" s="59"/>
    </row>
    <row r="250" spans="1:9" x14ac:dyDescent="0.25">
      <c r="A250" s="18"/>
      <c r="B250" s="276" t="s">
        <v>112</v>
      </c>
      <c r="C250" s="277"/>
      <c r="D250" s="277"/>
      <c r="E250" s="278"/>
      <c r="F250" s="18"/>
      <c r="G250" s="18"/>
      <c r="H250" s="18"/>
      <c r="I250" s="59"/>
    </row>
    <row r="251" spans="1:9" x14ac:dyDescent="0.25">
      <c r="A251" s="18"/>
      <c r="B251" s="276" t="s">
        <v>113</v>
      </c>
      <c r="C251" s="277"/>
      <c r="D251" s="277"/>
      <c r="E251" s="278"/>
      <c r="F251" s="18"/>
      <c r="G251" s="18"/>
      <c r="H251" s="18"/>
      <c r="I251" s="59"/>
    </row>
    <row r="252" spans="1:9" x14ac:dyDescent="0.25">
      <c r="A252" s="18"/>
      <c r="B252" s="276" t="s">
        <v>325</v>
      </c>
      <c r="C252" s="277"/>
      <c r="D252" s="277"/>
      <c r="E252" s="278"/>
      <c r="F252" s="18"/>
      <c r="G252" s="18"/>
      <c r="H252" s="18"/>
      <c r="I252" s="59"/>
    </row>
    <row r="253" spans="1:9" x14ac:dyDescent="0.25">
      <c r="A253" s="18"/>
      <c r="B253" s="254"/>
      <c r="C253" s="228"/>
      <c r="D253" s="228"/>
      <c r="E253" s="229"/>
      <c r="F253" s="18"/>
      <c r="G253" s="18"/>
      <c r="H253" s="18"/>
      <c r="I253" s="59"/>
    </row>
    <row r="254" spans="1:9" x14ac:dyDescent="0.25">
      <c r="A254" s="18"/>
      <c r="B254" s="254"/>
      <c r="C254" s="228"/>
      <c r="D254" s="228"/>
      <c r="E254" s="229"/>
      <c r="F254" s="18"/>
      <c r="G254" s="18"/>
      <c r="H254" s="18"/>
      <c r="I254" s="59"/>
    </row>
    <row r="255" spans="1:9" x14ac:dyDescent="0.25">
      <c r="A255" s="18"/>
      <c r="B255" s="254"/>
      <c r="C255" s="228"/>
      <c r="D255" s="228"/>
      <c r="E255" s="229"/>
      <c r="F255" s="18"/>
      <c r="G255" s="18"/>
      <c r="H255" s="18"/>
      <c r="I255" s="59"/>
    </row>
    <row r="256" spans="1:9" x14ac:dyDescent="0.25">
      <c r="A256" s="18" t="s">
        <v>42</v>
      </c>
      <c r="B256" s="254" t="s">
        <v>115</v>
      </c>
      <c r="C256" s="228"/>
      <c r="D256" s="228"/>
      <c r="E256" s="229"/>
      <c r="F256" s="18" t="s">
        <v>216</v>
      </c>
      <c r="G256" s="18">
        <v>4</v>
      </c>
      <c r="H256" s="18">
        <v>4231</v>
      </c>
      <c r="I256" s="59">
        <v>16926</v>
      </c>
    </row>
    <row r="257" spans="1:9" x14ac:dyDescent="0.25">
      <c r="A257" s="18"/>
      <c r="B257" s="254" t="s">
        <v>114</v>
      </c>
      <c r="C257" s="228"/>
      <c r="D257" s="228"/>
      <c r="E257" s="229"/>
      <c r="F257" s="18"/>
      <c r="G257" s="18"/>
      <c r="H257" s="18"/>
      <c r="I257" s="59"/>
    </row>
    <row r="258" spans="1:9" x14ac:dyDescent="0.25">
      <c r="A258" s="18"/>
      <c r="B258" s="254" t="s">
        <v>326</v>
      </c>
      <c r="C258" s="228"/>
      <c r="D258" s="228"/>
      <c r="E258" s="229"/>
      <c r="F258" s="18"/>
      <c r="G258" s="18"/>
      <c r="H258" s="18"/>
      <c r="I258" s="59"/>
    </row>
    <row r="259" spans="1:9" x14ac:dyDescent="0.25">
      <c r="A259" s="18"/>
      <c r="B259" s="254"/>
      <c r="C259" s="228"/>
      <c r="D259" s="228"/>
      <c r="E259" s="229"/>
      <c r="F259" s="18"/>
      <c r="G259" s="18"/>
      <c r="H259" s="18"/>
      <c r="I259" s="59"/>
    </row>
    <row r="260" spans="1:9" x14ac:dyDescent="0.25">
      <c r="A260" s="18" t="s">
        <v>46</v>
      </c>
      <c r="B260" s="254" t="s">
        <v>116</v>
      </c>
      <c r="C260" s="228"/>
      <c r="D260" s="228"/>
      <c r="E260" s="229"/>
      <c r="F260" s="18" t="s">
        <v>216</v>
      </c>
      <c r="G260" s="18">
        <v>5</v>
      </c>
      <c r="H260" s="18">
        <v>31062</v>
      </c>
      <c r="I260" s="59">
        <v>15531</v>
      </c>
    </row>
    <row r="261" spans="1:9" x14ac:dyDescent="0.25">
      <c r="A261" s="18"/>
      <c r="B261" s="254" t="s">
        <v>117</v>
      </c>
      <c r="C261" s="228"/>
      <c r="D261" s="228"/>
      <c r="E261" s="229"/>
      <c r="F261" s="18"/>
      <c r="G261" s="18"/>
      <c r="H261" s="18"/>
      <c r="I261" s="59"/>
    </row>
    <row r="262" spans="1:9" x14ac:dyDescent="0.25">
      <c r="A262" s="18"/>
      <c r="B262" s="254" t="s">
        <v>327</v>
      </c>
      <c r="C262" s="228"/>
      <c r="D262" s="228"/>
      <c r="E262" s="229"/>
      <c r="F262" s="18"/>
      <c r="G262" s="18"/>
      <c r="H262" s="18"/>
      <c r="I262" s="59"/>
    </row>
    <row r="263" spans="1:9" x14ac:dyDescent="0.25">
      <c r="A263" s="18"/>
      <c r="B263" s="254"/>
      <c r="C263" s="228"/>
      <c r="D263" s="228"/>
      <c r="E263" s="229"/>
      <c r="F263" s="18"/>
      <c r="G263" s="18"/>
      <c r="H263" s="18"/>
      <c r="I263" s="59"/>
    </row>
    <row r="264" spans="1:9" x14ac:dyDescent="0.25">
      <c r="A264" s="18" t="s">
        <v>49</v>
      </c>
      <c r="B264" s="254" t="s">
        <v>118</v>
      </c>
      <c r="C264" s="228"/>
      <c r="D264" s="228"/>
      <c r="E264" s="229"/>
      <c r="F264" s="18" t="s">
        <v>216</v>
      </c>
      <c r="G264" s="18">
        <v>5</v>
      </c>
      <c r="H264" s="18">
        <v>1974.7</v>
      </c>
      <c r="I264" s="59">
        <v>9873</v>
      </c>
    </row>
    <row r="265" spans="1:9" x14ac:dyDescent="0.25">
      <c r="A265" s="18"/>
      <c r="B265" s="254" t="s">
        <v>119</v>
      </c>
      <c r="C265" s="228"/>
      <c r="D265" s="228"/>
      <c r="E265" s="229"/>
      <c r="F265" s="18"/>
      <c r="G265" s="18"/>
      <c r="H265" s="18"/>
      <c r="I265" s="59"/>
    </row>
    <row r="266" spans="1:9" x14ac:dyDescent="0.25">
      <c r="A266" s="18"/>
      <c r="B266" s="254" t="s">
        <v>328</v>
      </c>
      <c r="C266" s="228"/>
      <c r="D266" s="228"/>
      <c r="E266" s="229"/>
      <c r="F266" s="18"/>
      <c r="G266" s="18"/>
      <c r="H266" s="18"/>
      <c r="I266" s="59"/>
    </row>
    <row r="267" spans="1:9" x14ac:dyDescent="0.25">
      <c r="A267" s="18"/>
      <c r="B267" s="254"/>
      <c r="C267" s="228"/>
      <c r="D267" s="228"/>
      <c r="E267" s="229"/>
      <c r="F267" s="18"/>
      <c r="G267" s="18"/>
      <c r="H267" s="18"/>
      <c r="I267" s="59"/>
    </row>
    <row r="268" spans="1:9" x14ac:dyDescent="0.25">
      <c r="A268" s="18"/>
      <c r="B268" s="254"/>
      <c r="C268" s="228"/>
      <c r="D268" s="228"/>
      <c r="E268" s="229"/>
      <c r="F268" s="18"/>
      <c r="G268" s="18"/>
      <c r="H268" s="18"/>
      <c r="I268" s="59"/>
    </row>
    <row r="269" spans="1:9" x14ac:dyDescent="0.25">
      <c r="A269" s="18"/>
      <c r="B269" s="254"/>
      <c r="C269" s="228"/>
      <c r="D269" s="228"/>
      <c r="E269" s="229"/>
      <c r="F269" s="18"/>
      <c r="G269" s="18"/>
      <c r="H269" s="18"/>
      <c r="I269" s="59"/>
    </row>
    <row r="270" spans="1:9" x14ac:dyDescent="0.25">
      <c r="A270" s="18"/>
      <c r="B270" s="254"/>
      <c r="C270" s="228"/>
      <c r="D270" s="228"/>
      <c r="E270" s="229"/>
      <c r="F270" s="18"/>
      <c r="G270" s="18"/>
      <c r="H270" s="18"/>
      <c r="I270" s="59"/>
    </row>
    <row r="271" spans="1:9" x14ac:dyDescent="0.25">
      <c r="A271" s="18"/>
      <c r="B271" s="254"/>
      <c r="C271" s="228"/>
      <c r="D271" s="228"/>
      <c r="E271" s="229"/>
      <c r="F271" s="18"/>
      <c r="G271" s="18"/>
      <c r="H271" s="18"/>
      <c r="I271" s="59"/>
    </row>
    <row r="272" spans="1:9" x14ac:dyDescent="0.25">
      <c r="A272" s="18"/>
      <c r="B272" s="254"/>
      <c r="C272" s="228"/>
      <c r="D272" s="228"/>
      <c r="E272" s="229"/>
      <c r="F272" s="18"/>
      <c r="G272" s="18"/>
      <c r="H272" s="18"/>
      <c r="I272" s="59"/>
    </row>
    <row r="273" spans="1:9" x14ac:dyDescent="0.25">
      <c r="A273" s="18"/>
      <c r="B273" s="254"/>
      <c r="C273" s="228"/>
      <c r="D273" s="228"/>
      <c r="E273" s="229"/>
      <c r="F273" s="18"/>
      <c r="G273" s="18"/>
      <c r="H273" s="18"/>
      <c r="I273" s="59"/>
    </row>
    <row r="274" spans="1:9" x14ac:dyDescent="0.25">
      <c r="A274" s="18"/>
      <c r="B274" s="254"/>
      <c r="C274" s="228"/>
      <c r="D274" s="228"/>
      <c r="E274" s="229"/>
      <c r="F274" s="18"/>
      <c r="G274" s="18"/>
      <c r="H274" s="18"/>
      <c r="I274" s="59"/>
    </row>
    <row r="275" spans="1:9" x14ac:dyDescent="0.25">
      <c r="A275" s="18"/>
      <c r="B275" s="254"/>
      <c r="C275" s="228"/>
      <c r="D275" s="228"/>
      <c r="E275" s="229"/>
      <c r="F275" s="18"/>
      <c r="G275" s="18"/>
      <c r="H275" s="18"/>
      <c r="I275" s="59"/>
    </row>
    <row r="276" spans="1:9" x14ac:dyDescent="0.25">
      <c r="A276" s="18"/>
      <c r="B276" s="254"/>
      <c r="C276" s="228"/>
      <c r="D276" s="228"/>
      <c r="E276" s="229"/>
      <c r="F276" s="18"/>
      <c r="G276" s="18"/>
      <c r="H276" s="18"/>
      <c r="I276" s="59"/>
    </row>
    <row r="277" spans="1:9" ht="15.75" thickBot="1" x14ac:dyDescent="0.3">
      <c r="A277" s="18"/>
      <c r="B277" s="254"/>
      <c r="C277" s="228"/>
      <c r="D277" s="228"/>
      <c r="E277" s="229"/>
      <c r="F277" s="18"/>
      <c r="G277" s="18"/>
      <c r="H277" s="18"/>
      <c r="I277" s="59"/>
    </row>
    <row r="278" spans="1:9" x14ac:dyDescent="0.25">
      <c r="A278" s="19"/>
      <c r="B278" s="253" t="s">
        <v>104</v>
      </c>
      <c r="C278" s="253"/>
      <c r="D278" s="253"/>
      <c r="E278" s="253"/>
      <c r="F278" s="14"/>
      <c r="G278" s="14"/>
      <c r="H278" s="30"/>
      <c r="I278" s="83">
        <f>SUM(I256:I264)</f>
        <v>42330</v>
      </c>
    </row>
    <row r="279" spans="1:9" x14ac:dyDescent="0.25">
      <c r="A279" s="16"/>
      <c r="B279" s="57"/>
      <c r="C279" s="57"/>
      <c r="D279" s="57"/>
      <c r="E279" s="57"/>
      <c r="F279" s="7"/>
      <c r="G279" s="7"/>
      <c r="H279" s="10"/>
      <c r="I279" s="82"/>
    </row>
    <row r="280" spans="1:9" x14ac:dyDescent="0.25">
      <c r="A280" s="16"/>
      <c r="B280" s="57"/>
      <c r="C280" s="57"/>
      <c r="D280" s="57"/>
      <c r="E280" s="57"/>
      <c r="F280" s="7"/>
      <c r="G280" s="7"/>
      <c r="H280" s="10"/>
      <c r="I280" s="82"/>
    </row>
    <row r="281" spans="1:9" x14ac:dyDescent="0.25">
      <c r="A281" s="16"/>
      <c r="B281" s="57"/>
      <c r="C281" s="57"/>
      <c r="D281" s="57"/>
      <c r="E281" s="57"/>
      <c r="F281" s="7"/>
      <c r="G281" s="7"/>
      <c r="H281" s="10"/>
      <c r="I281" s="82"/>
    </row>
    <row r="282" spans="1:9" x14ac:dyDescent="0.25">
      <c r="A282" s="16"/>
      <c r="B282" s="57"/>
      <c r="C282" s="57"/>
      <c r="D282" s="57"/>
      <c r="E282" s="57"/>
      <c r="F282" s="7"/>
      <c r="G282" s="7"/>
      <c r="H282" s="10"/>
      <c r="I282" s="82"/>
    </row>
    <row r="283" spans="1:9" x14ac:dyDescent="0.25">
      <c r="A283" s="16"/>
      <c r="B283" s="57"/>
      <c r="C283" s="57"/>
      <c r="D283" s="57"/>
      <c r="E283" s="57"/>
      <c r="F283" s="7"/>
      <c r="G283" s="7"/>
      <c r="H283" s="10"/>
      <c r="I283" s="82"/>
    </row>
    <row r="284" spans="1:9" x14ac:dyDescent="0.25">
      <c r="A284" s="16"/>
      <c r="B284" s="57"/>
      <c r="C284" s="57"/>
      <c r="D284" s="57"/>
      <c r="E284" s="57"/>
      <c r="F284" s="7"/>
      <c r="G284" s="7"/>
      <c r="H284" s="10"/>
      <c r="I284" s="82"/>
    </row>
    <row r="285" spans="1:9" x14ac:dyDescent="0.25">
      <c r="A285" s="16"/>
      <c r="B285" s="57"/>
      <c r="C285" s="57"/>
      <c r="D285" s="57"/>
      <c r="E285" s="57"/>
      <c r="F285" s="7"/>
      <c r="G285" s="7"/>
      <c r="H285" s="10"/>
      <c r="I285" s="82"/>
    </row>
    <row r="286" spans="1:9" x14ac:dyDescent="0.25">
      <c r="A286" s="16"/>
      <c r="B286" s="57"/>
      <c r="C286" s="57"/>
      <c r="D286" s="57"/>
      <c r="E286" s="57"/>
      <c r="F286" s="7"/>
      <c r="G286" s="7"/>
      <c r="H286" s="10"/>
      <c r="I286" s="82"/>
    </row>
    <row r="287" spans="1:9" x14ac:dyDescent="0.25">
      <c r="A287" s="16"/>
      <c r="B287" s="226"/>
      <c r="C287" s="226"/>
      <c r="D287" s="226"/>
      <c r="E287" s="226"/>
      <c r="F287" s="7"/>
      <c r="G287" s="7"/>
      <c r="H287" s="10"/>
      <c r="I287" s="59"/>
    </row>
    <row r="288" spans="1:9" x14ac:dyDescent="0.25">
      <c r="A288" s="16"/>
      <c r="B288" s="226" t="s">
        <v>6</v>
      </c>
      <c r="C288" s="226"/>
      <c r="D288" s="226"/>
      <c r="E288" s="226"/>
      <c r="F288" s="7"/>
      <c r="G288" s="7"/>
      <c r="H288" s="10"/>
      <c r="I288" s="59"/>
    </row>
    <row r="289" spans="1:9" x14ac:dyDescent="0.25">
      <c r="A289" s="16"/>
      <c r="B289" s="226"/>
      <c r="C289" s="226"/>
      <c r="D289" s="226"/>
      <c r="E289" s="226"/>
      <c r="F289" s="7"/>
      <c r="G289" s="7"/>
      <c r="H289" s="10"/>
      <c r="I289" s="59"/>
    </row>
    <row r="290" spans="1:9" ht="15.75" thickBot="1" x14ac:dyDescent="0.3">
      <c r="A290" s="17"/>
      <c r="B290" s="263" t="s">
        <v>8</v>
      </c>
      <c r="C290" s="263"/>
      <c r="D290" s="263"/>
      <c r="E290" s="263"/>
      <c r="F290" s="20"/>
      <c r="G290" s="20"/>
      <c r="H290" s="29"/>
      <c r="I290" s="60"/>
    </row>
    <row r="291" spans="1:9" x14ac:dyDescent="0.25">
      <c r="I291" s="67"/>
    </row>
    <row r="292" spans="1:9" ht="15.75" thickBot="1" x14ac:dyDescent="0.3">
      <c r="I292" s="67"/>
    </row>
    <row r="293" spans="1:9" ht="15.75" thickBot="1" x14ac:dyDescent="0.3">
      <c r="A293" s="36" t="s">
        <v>0</v>
      </c>
      <c r="B293" s="234" t="s">
        <v>1</v>
      </c>
      <c r="C293" s="235"/>
      <c r="D293" s="235"/>
      <c r="E293" s="236"/>
      <c r="F293" s="36" t="s">
        <v>24</v>
      </c>
      <c r="G293" s="36" t="s">
        <v>2</v>
      </c>
      <c r="H293" s="36" t="s">
        <v>3</v>
      </c>
      <c r="I293" s="78" t="s">
        <v>4</v>
      </c>
    </row>
    <row r="294" spans="1:9" x14ac:dyDescent="0.25">
      <c r="A294" s="18"/>
      <c r="B294" s="281"/>
      <c r="C294" s="282"/>
      <c r="D294" s="282"/>
      <c r="E294" s="283"/>
      <c r="F294" s="18"/>
      <c r="G294" s="18"/>
      <c r="H294" s="18"/>
      <c r="I294" s="59"/>
    </row>
    <row r="295" spans="1:9" x14ac:dyDescent="0.25">
      <c r="A295" s="18"/>
      <c r="B295" s="284" t="s">
        <v>120</v>
      </c>
      <c r="C295" s="285"/>
      <c r="D295" s="285"/>
      <c r="E295" s="286"/>
      <c r="F295" s="18"/>
      <c r="G295" s="18"/>
      <c r="H295" s="18"/>
      <c r="I295" s="59"/>
    </row>
    <row r="296" spans="1:9" x14ac:dyDescent="0.25">
      <c r="A296" s="18"/>
      <c r="B296" s="284" t="s">
        <v>121</v>
      </c>
      <c r="C296" s="285"/>
      <c r="D296" s="285"/>
      <c r="E296" s="286"/>
      <c r="F296" s="18"/>
      <c r="G296" s="18"/>
      <c r="H296" s="18"/>
      <c r="I296" s="59"/>
    </row>
    <row r="297" spans="1:9" x14ac:dyDescent="0.25">
      <c r="A297" s="18"/>
      <c r="B297" s="276"/>
      <c r="C297" s="277"/>
      <c r="D297" s="277"/>
      <c r="E297" s="278"/>
      <c r="F297" s="18"/>
      <c r="G297" s="18"/>
      <c r="H297" s="18"/>
      <c r="I297" s="59"/>
    </row>
    <row r="298" spans="1:9" x14ac:dyDescent="0.25">
      <c r="A298" s="18"/>
      <c r="B298" s="276" t="s">
        <v>122</v>
      </c>
      <c r="C298" s="277"/>
      <c r="D298" s="277"/>
      <c r="E298" s="278"/>
      <c r="F298" s="18"/>
      <c r="G298" s="18"/>
      <c r="H298" s="18"/>
      <c r="I298" s="59"/>
    </row>
    <row r="299" spans="1:9" x14ac:dyDescent="0.25">
      <c r="A299" s="18"/>
      <c r="B299" s="276" t="s">
        <v>123</v>
      </c>
      <c r="C299" s="277"/>
      <c r="D299" s="277"/>
      <c r="E299" s="278"/>
      <c r="F299" s="18"/>
      <c r="G299" s="18"/>
      <c r="H299" s="18"/>
      <c r="I299" s="59"/>
    </row>
    <row r="300" spans="1:9" x14ac:dyDescent="0.25">
      <c r="A300" s="18"/>
      <c r="B300" s="276" t="s">
        <v>124</v>
      </c>
      <c r="C300" s="277"/>
      <c r="D300" s="277"/>
      <c r="E300" s="278"/>
      <c r="F300" s="18"/>
      <c r="G300" s="18"/>
      <c r="H300" s="18"/>
      <c r="I300" s="59"/>
    </row>
    <row r="301" spans="1:9" x14ac:dyDescent="0.25">
      <c r="A301" s="18"/>
      <c r="B301" s="276" t="s">
        <v>329</v>
      </c>
      <c r="C301" s="277"/>
      <c r="D301" s="277"/>
      <c r="E301" s="278"/>
      <c r="F301" s="18"/>
      <c r="G301" s="18"/>
      <c r="H301" s="18"/>
      <c r="I301" s="59"/>
    </row>
    <row r="302" spans="1:9" x14ac:dyDescent="0.25">
      <c r="A302" s="18"/>
      <c r="B302" s="254"/>
      <c r="C302" s="228"/>
      <c r="D302" s="228"/>
      <c r="E302" s="229"/>
      <c r="F302" s="18"/>
      <c r="G302" s="18"/>
      <c r="H302" s="18"/>
      <c r="I302" s="59"/>
    </row>
    <row r="303" spans="1:9" x14ac:dyDescent="0.25">
      <c r="A303" s="18" t="s">
        <v>30</v>
      </c>
      <c r="B303" s="254" t="s">
        <v>125</v>
      </c>
      <c r="C303" s="228"/>
      <c r="D303" s="228"/>
      <c r="E303" s="229"/>
      <c r="F303" s="18" t="s">
        <v>216</v>
      </c>
      <c r="G303" s="18">
        <v>2</v>
      </c>
      <c r="H303" s="18">
        <v>2325</v>
      </c>
      <c r="I303" s="59">
        <v>4650</v>
      </c>
    </row>
    <row r="304" spans="1:9" x14ac:dyDescent="0.25">
      <c r="A304" s="18"/>
      <c r="B304" s="254" t="s">
        <v>126</v>
      </c>
      <c r="C304" s="228"/>
      <c r="D304" s="228"/>
      <c r="E304" s="229"/>
      <c r="F304" s="18"/>
      <c r="G304" s="18"/>
      <c r="H304" s="18"/>
      <c r="I304" s="59"/>
    </row>
    <row r="305" spans="1:9" x14ac:dyDescent="0.25">
      <c r="A305" s="18"/>
      <c r="B305" s="254" t="s">
        <v>330</v>
      </c>
      <c r="C305" s="228"/>
      <c r="D305" s="228"/>
      <c r="E305" s="229"/>
      <c r="F305" s="18"/>
      <c r="G305" s="18"/>
      <c r="H305" s="18"/>
      <c r="I305" s="59"/>
    </row>
    <row r="306" spans="1:9" x14ac:dyDescent="0.25">
      <c r="A306" s="18" t="s">
        <v>42</v>
      </c>
      <c r="B306" s="254" t="s">
        <v>127</v>
      </c>
      <c r="C306" s="228"/>
      <c r="D306" s="228"/>
      <c r="E306" s="229"/>
      <c r="F306" s="18" t="s">
        <v>216</v>
      </c>
      <c r="G306" s="18">
        <v>10</v>
      </c>
      <c r="H306" s="18">
        <v>1370</v>
      </c>
      <c r="I306" s="59">
        <v>13700</v>
      </c>
    </row>
    <row r="307" spans="1:9" x14ac:dyDescent="0.25">
      <c r="A307" s="18"/>
      <c r="B307" s="254" t="s">
        <v>128</v>
      </c>
      <c r="C307" s="228"/>
      <c r="D307" s="228"/>
      <c r="E307" s="229"/>
      <c r="F307" s="18"/>
      <c r="G307" s="18"/>
      <c r="H307" s="18"/>
      <c r="I307" s="59"/>
    </row>
    <row r="308" spans="1:9" x14ac:dyDescent="0.25">
      <c r="A308" s="18"/>
      <c r="B308" s="254" t="s">
        <v>331</v>
      </c>
      <c r="C308" s="228"/>
      <c r="D308" s="228"/>
      <c r="E308" s="229"/>
      <c r="F308" s="18"/>
      <c r="G308" s="18"/>
      <c r="H308" s="18"/>
      <c r="I308" s="59"/>
    </row>
    <row r="309" spans="1:9" x14ac:dyDescent="0.25">
      <c r="A309" s="18" t="s">
        <v>46</v>
      </c>
      <c r="B309" s="254" t="s">
        <v>129</v>
      </c>
      <c r="C309" s="228"/>
      <c r="D309" s="228"/>
      <c r="E309" s="229"/>
      <c r="F309" s="18" t="s">
        <v>216</v>
      </c>
      <c r="G309" s="18">
        <v>10</v>
      </c>
      <c r="H309" s="18">
        <v>252</v>
      </c>
      <c r="I309" s="59">
        <v>2520</v>
      </c>
    </row>
    <row r="310" spans="1:9" x14ac:dyDescent="0.25">
      <c r="A310" s="18"/>
      <c r="B310" s="254" t="s">
        <v>332</v>
      </c>
      <c r="C310" s="228"/>
      <c r="D310" s="228"/>
      <c r="E310" s="229"/>
      <c r="G310" s="18"/>
      <c r="H310" s="18"/>
      <c r="I310" s="59"/>
    </row>
    <row r="311" spans="1:9" x14ac:dyDescent="0.25">
      <c r="A311" s="18" t="s">
        <v>49</v>
      </c>
      <c r="B311" s="254" t="s">
        <v>333</v>
      </c>
      <c r="C311" s="228"/>
      <c r="D311" s="228"/>
      <c r="E311" s="229"/>
      <c r="F311" s="18" t="s">
        <v>216</v>
      </c>
      <c r="G311" s="18">
        <v>4</v>
      </c>
      <c r="H311" s="18">
        <v>252</v>
      </c>
      <c r="I311" s="59">
        <v>1008</v>
      </c>
    </row>
    <row r="312" spans="1:9" x14ac:dyDescent="0.25">
      <c r="A312" s="18"/>
      <c r="B312" s="254"/>
      <c r="C312" s="228"/>
      <c r="D312" s="228"/>
      <c r="E312" s="229"/>
      <c r="F312" s="18"/>
      <c r="G312" s="18"/>
      <c r="H312" s="18"/>
      <c r="I312" s="59"/>
    </row>
    <row r="313" spans="1:9" x14ac:dyDescent="0.25">
      <c r="A313" s="18"/>
      <c r="B313" s="276" t="s">
        <v>130</v>
      </c>
      <c r="C313" s="277"/>
      <c r="D313" s="277"/>
      <c r="E313" s="278"/>
      <c r="F313" s="18"/>
      <c r="G313" s="18"/>
      <c r="H313" s="18"/>
      <c r="I313" s="59"/>
    </row>
    <row r="314" spans="1:9" x14ac:dyDescent="0.25">
      <c r="A314" s="18"/>
      <c r="B314" s="276" t="s">
        <v>131</v>
      </c>
      <c r="C314" s="277"/>
      <c r="D314" s="277"/>
      <c r="E314" s="278"/>
      <c r="F314" s="18"/>
      <c r="G314" s="18"/>
      <c r="H314" s="18"/>
      <c r="I314" s="59"/>
    </row>
    <row r="315" spans="1:9" x14ac:dyDescent="0.25">
      <c r="A315" s="18"/>
      <c r="B315" s="276" t="s">
        <v>334</v>
      </c>
      <c r="C315" s="277"/>
      <c r="D315" s="277"/>
      <c r="E315" s="278"/>
      <c r="F315" s="18"/>
      <c r="G315" s="18"/>
      <c r="H315" s="18"/>
      <c r="I315" s="59"/>
    </row>
    <row r="316" spans="1:9" x14ac:dyDescent="0.25">
      <c r="A316" s="18" t="s">
        <v>53</v>
      </c>
      <c r="B316" s="254" t="s">
        <v>335</v>
      </c>
      <c r="C316" s="228"/>
      <c r="D316" s="228"/>
      <c r="E316" s="229"/>
      <c r="F316" s="18" t="s">
        <v>216</v>
      </c>
      <c r="G316" s="18">
        <v>10</v>
      </c>
      <c r="H316" s="18">
        <v>620</v>
      </c>
      <c r="I316" s="59">
        <v>6200</v>
      </c>
    </row>
    <row r="317" spans="1:9" x14ac:dyDescent="0.25">
      <c r="A317" s="18" t="s">
        <v>55</v>
      </c>
      <c r="B317" s="254" t="s">
        <v>336</v>
      </c>
      <c r="C317" s="228"/>
      <c r="D317" s="228"/>
      <c r="E317" s="229"/>
      <c r="F317" s="18" t="s">
        <v>216</v>
      </c>
      <c r="G317" s="18">
        <v>4</v>
      </c>
      <c r="H317" s="18">
        <v>620</v>
      </c>
      <c r="I317" s="59">
        <v>2480</v>
      </c>
    </row>
    <row r="318" spans="1:9" ht="17.25" x14ac:dyDescent="0.25">
      <c r="A318" s="18" t="s">
        <v>57</v>
      </c>
      <c r="B318" s="254" t="s">
        <v>132</v>
      </c>
      <c r="C318" s="228"/>
      <c r="D318" s="228"/>
      <c r="E318" s="229"/>
      <c r="F318" s="18" t="s">
        <v>279</v>
      </c>
      <c r="G318" s="18">
        <v>6</v>
      </c>
      <c r="H318" s="18">
        <v>17</v>
      </c>
      <c r="I318" s="59">
        <v>102</v>
      </c>
    </row>
    <row r="319" spans="1:9" x14ac:dyDescent="0.25">
      <c r="A319" s="18"/>
      <c r="B319" s="254" t="s">
        <v>133</v>
      </c>
      <c r="C319" s="228"/>
      <c r="D319" s="228"/>
      <c r="E319" s="229"/>
      <c r="F319" s="18"/>
      <c r="G319" s="18"/>
      <c r="H319" s="18"/>
      <c r="I319" s="59"/>
    </row>
    <row r="320" spans="1:9" x14ac:dyDescent="0.25">
      <c r="A320" s="18"/>
      <c r="B320" s="254" t="s">
        <v>134</v>
      </c>
      <c r="C320" s="228"/>
      <c r="D320" s="228"/>
      <c r="E320" s="229"/>
      <c r="F320" s="18"/>
      <c r="G320" s="18"/>
      <c r="H320" s="18"/>
      <c r="I320" s="59"/>
    </row>
    <row r="321" spans="1:9" x14ac:dyDescent="0.25">
      <c r="A321" s="18"/>
      <c r="B321" s="254" t="s">
        <v>337</v>
      </c>
      <c r="C321" s="228"/>
      <c r="D321" s="228"/>
      <c r="E321" s="229"/>
      <c r="F321" s="18"/>
      <c r="G321" s="18"/>
      <c r="H321" s="18"/>
      <c r="I321" s="59"/>
    </row>
    <row r="322" spans="1:9" ht="17.25" x14ac:dyDescent="0.25">
      <c r="A322" s="18" t="s">
        <v>85</v>
      </c>
      <c r="B322" s="254" t="s">
        <v>135</v>
      </c>
      <c r="C322" s="228"/>
      <c r="D322" s="228"/>
      <c r="E322" s="229"/>
      <c r="F322" s="18" t="s">
        <v>279</v>
      </c>
      <c r="G322" s="18">
        <v>48</v>
      </c>
      <c r="H322" s="18">
        <v>37</v>
      </c>
      <c r="I322" s="59">
        <v>1776</v>
      </c>
    </row>
    <row r="323" spans="1:9" x14ac:dyDescent="0.25">
      <c r="A323" s="18" t="s">
        <v>86</v>
      </c>
      <c r="B323" s="254" t="s">
        <v>338</v>
      </c>
      <c r="C323" s="228"/>
      <c r="D323" s="228"/>
      <c r="E323" s="229"/>
      <c r="F323" s="18" t="s">
        <v>214</v>
      </c>
      <c r="G323" s="18">
        <v>48</v>
      </c>
      <c r="H323" s="18">
        <v>6</v>
      </c>
      <c r="I323" s="59">
        <v>288</v>
      </c>
    </row>
    <row r="324" spans="1:9" x14ac:dyDescent="0.25">
      <c r="A324" s="18"/>
      <c r="B324" s="267" t="s">
        <v>136</v>
      </c>
      <c r="C324" s="226"/>
      <c r="D324" s="226"/>
      <c r="E324" s="227"/>
      <c r="F324" s="18"/>
      <c r="G324" s="18"/>
      <c r="H324" s="18"/>
      <c r="I324" s="59"/>
    </row>
    <row r="325" spans="1:9" x14ac:dyDescent="0.25">
      <c r="A325" s="18"/>
      <c r="B325" s="267" t="s">
        <v>137</v>
      </c>
      <c r="C325" s="226"/>
      <c r="D325" s="226"/>
      <c r="E325" s="227"/>
      <c r="F325" s="18"/>
      <c r="G325" s="18"/>
      <c r="H325" s="18"/>
      <c r="I325" s="59"/>
    </row>
    <row r="326" spans="1:9" x14ac:dyDescent="0.25">
      <c r="A326" s="18"/>
      <c r="B326" s="267" t="s">
        <v>339</v>
      </c>
      <c r="C326" s="226"/>
      <c r="D326" s="226"/>
      <c r="E326" s="227"/>
      <c r="F326" s="18"/>
      <c r="G326" s="18"/>
      <c r="H326" s="18"/>
      <c r="I326" s="59"/>
    </row>
    <row r="327" spans="1:9" x14ac:dyDescent="0.25">
      <c r="A327" s="18" t="s">
        <v>96</v>
      </c>
      <c r="B327" s="254" t="s">
        <v>340</v>
      </c>
      <c r="C327" s="228"/>
      <c r="D327" s="228"/>
      <c r="E327" s="229"/>
      <c r="F327" s="18" t="s">
        <v>341</v>
      </c>
      <c r="G327" s="18">
        <v>18</v>
      </c>
      <c r="H327" s="18">
        <v>33</v>
      </c>
      <c r="I327" s="59">
        <v>609</v>
      </c>
    </row>
    <row r="328" spans="1:9" x14ac:dyDescent="0.25">
      <c r="A328" s="18" t="s">
        <v>97</v>
      </c>
      <c r="B328" s="254" t="s">
        <v>138</v>
      </c>
      <c r="C328" s="228"/>
      <c r="D328" s="228"/>
      <c r="E328" s="229"/>
      <c r="F328" s="18" t="s">
        <v>216</v>
      </c>
      <c r="G328" s="18">
        <v>18</v>
      </c>
      <c r="H328" s="18">
        <v>395</v>
      </c>
      <c r="I328" s="59">
        <v>7108</v>
      </c>
    </row>
    <row r="329" spans="1:9" x14ac:dyDescent="0.25">
      <c r="A329" s="18"/>
      <c r="B329" s="254" t="s">
        <v>342</v>
      </c>
      <c r="C329" s="228"/>
      <c r="D329" s="228"/>
      <c r="E329" s="228"/>
      <c r="F329" s="18"/>
      <c r="G329" s="18"/>
      <c r="H329" s="18"/>
      <c r="I329" s="59"/>
    </row>
    <row r="330" spans="1:9" x14ac:dyDescent="0.25">
      <c r="A330" s="18" t="s">
        <v>98</v>
      </c>
      <c r="B330" s="254" t="s">
        <v>429</v>
      </c>
      <c r="C330" s="228"/>
      <c r="D330" s="228"/>
      <c r="E330" s="228"/>
      <c r="F330" s="18" t="s">
        <v>216</v>
      </c>
      <c r="G330" s="18">
        <v>10</v>
      </c>
      <c r="H330" s="18">
        <v>620</v>
      </c>
      <c r="I330" s="59">
        <v>6200</v>
      </c>
    </row>
    <row r="331" spans="1:9" ht="15.75" thickBot="1" x14ac:dyDescent="0.3">
      <c r="A331" s="11" t="s">
        <v>101</v>
      </c>
      <c r="B331" s="218" t="s">
        <v>443</v>
      </c>
      <c r="C331" s="219"/>
      <c r="D331" s="219"/>
      <c r="E331" s="220"/>
      <c r="F331" s="11" t="s">
        <v>216</v>
      </c>
      <c r="G331" s="11">
        <v>1</v>
      </c>
      <c r="H331" s="11">
        <v>2726</v>
      </c>
      <c r="I331" s="60">
        <v>2726</v>
      </c>
    </row>
    <row r="332" spans="1:9" x14ac:dyDescent="0.25">
      <c r="A332" s="19"/>
      <c r="B332" s="253"/>
      <c r="C332" s="253"/>
      <c r="D332" s="253"/>
      <c r="E332" s="253"/>
      <c r="F332" s="253"/>
      <c r="G332" s="253"/>
      <c r="H332" s="275"/>
      <c r="I332" s="75"/>
    </row>
    <row r="333" spans="1:9" x14ac:dyDescent="0.25">
      <c r="A333" s="16"/>
      <c r="B333" s="226" t="s">
        <v>104</v>
      </c>
      <c r="C333" s="226"/>
      <c r="D333" s="226"/>
      <c r="E333" s="226"/>
      <c r="F333" s="226"/>
      <c r="G333" s="226"/>
      <c r="H333" s="227"/>
      <c r="I333" s="82">
        <f>SUM(I303:I331)</f>
        <v>49367</v>
      </c>
    </row>
    <row r="334" spans="1:9" x14ac:dyDescent="0.25">
      <c r="A334" s="16"/>
      <c r="B334" s="226" t="s">
        <v>6</v>
      </c>
      <c r="C334" s="226"/>
      <c r="D334" s="226"/>
      <c r="E334" s="226"/>
      <c r="F334" s="226"/>
      <c r="G334" s="226"/>
      <c r="H334" s="227"/>
      <c r="I334" s="59"/>
    </row>
    <row r="335" spans="1:9" ht="15.75" thickBot="1" x14ac:dyDescent="0.3">
      <c r="A335" s="17"/>
      <c r="B335" s="263" t="s">
        <v>343</v>
      </c>
      <c r="C335" s="263"/>
      <c r="D335" s="263"/>
      <c r="E335" s="263"/>
      <c r="F335" s="263"/>
      <c r="G335" s="263"/>
      <c r="H335" s="273"/>
      <c r="I335" s="60"/>
    </row>
    <row r="336" spans="1:9" ht="15.75" thickBot="1" x14ac:dyDescent="0.3">
      <c r="I336" s="67"/>
    </row>
    <row r="337" spans="1:9" ht="15.75" thickBot="1" x14ac:dyDescent="0.3">
      <c r="A337" s="38" t="s">
        <v>0</v>
      </c>
      <c r="B337" s="280" t="s">
        <v>1</v>
      </c>
      <c r="C337" s="280"/>
      <c r="D337" s="280"/>
      <c r="E337" s="280"/>
      <c r="F337" s="38" t="s">
        <v>24</v>
      </c>
      <c r="G337" s="38" t="s">
        <v>2</v>
      </c>
      <c r="H337" s="38" t="s">
        <v>3</v>
      </c>
      <c r="I337" s="74" t="s">
        <v>4</v>
      </c>
    </row>
    <row r="338" spans="1:9" x14ac:dyDescent="0.25">
      <c r="A338" s="8"/>
      <c r="B338" s="287" t="s">
        <v>139</v>
      </c>
      <c r="C338" s="287"/>
      <c r="D338" s="287"/>
      <c r="E338" s="287"/>
      <c r="F338" s="32"/>
      <c r="G338" s="8"/>
      <c r="H338" s="8"/>
      <c r="I338" s="75"/>
    </row>
    <row r="339" spans="1:9" x14ac:dyDescent="0.25">
      <c r="A339" s="18"/>
      <c r="B339" s="232" t="s">
        <v>140</v>
      </c>
      <c r="C339" s="232"/>
      <c r="D339" s="232"/>
      <c r="E339" s="232"/>
      <c r="F339" s="33"/>
      <c r="G339" s="18"/>
      <c r="H339" s="18"/>
      <c r="I339" s="59"/>
    </row>
    <row r="340" spans="1:9" x14ac:dyDescent="0.25">
      <c r="A340" s="18"/>
      <c r="B340" s="274" t="s">
        <v>354</v>
      </c>
      <c r="C340" s="274"/>
      <c r="D340" s="274"/>
      <c r="E340" s="274"/>
      <c r="F340" s="33"/>
      <c r="G340" s="18"/>
      <c r="H340" s="18"/>
      <c r="I340" s="59"/>
    </row>
    <row r="341" spans="1:9" ht="17.25" x14ac:dyDescent="0.25">
      <c r="A341" s="18" t="s">
        <v>30</v>
      </c>
      <c r="B341" s="221" t="s">
        <v>141</v>
      </c>
      <c r="C341" s="221"/>
      <c r="D341" s="221"/>
      <c r="E341" s="221"/>
      <c r="F341" s="12" t="s">
        <v>279</v>
      </c>
      <c r="G341" s="18">
        <v>346</v>
      </c>
      <c r="H341" s="18">
        <v>35</v>
      </c>
      <c r="I341" s="59">
        <v>12110</v>
      </c>
    </row>
    <row r="342" spans="1:9" x14ac:dyDescent="0.25">
      <c r="A342" s="18"/>
      <c r="B342" s="221" t="s">
        <v>344</v>
      </c>
      <c r="C342" s="221"/>
      <c r="D342" s="221"/>
      <c r="E342" s="221"/>
      <c r="F342" s="12"/>
      <c r="G342" s="18"/>
      <c r="H342" s="18"/>
      <c r="I342" s="59"/>
    </row>
    <row r="343" spans="1:9" ht="17.25" x14ac:dyDescent="0.25">
      <c r="A343" s="18" t="s">
        <v>36</v>
      </c>
      <c r="B343" s="221" t="s">
        <v>345</v>
      </c>
      <c r="C343" s="221"/>
      <c r="D343" s="221"/>
      <c r="E343" s="221"/>
      <c r="F343" s="12" t="s">
        <v>279</v>
      </c>
      <c r="G343" s="18">
        <v>210</v>
      </c>
      <c r="H343" s="18">
        <v>107</v>
      </c>
      <c r="I343" s="59">
        <v>22470</v>
      </c>
    </row>
    <row r="344" spans="1:9" ht="17.25" x14ac:dyDescent="0.25">
      <c r="A344" s="18" t="s">
        <v>39</v>
      </c>
      <c r="B344" s="221" t="s">
        <v>346</v>
      </c>
      <c r="C344" s="221"/>
      <c r="D344" s="221"/>
      <c r="E344" s="221"/>
      <c r="F344" s="12" t="s">
        <v>279</v>
      </c>
      <c r="G344" s="18">
        <v>230</v>
      </c>
      <c r="H344" s="18">
        <v>9</v>
      </c>
      <c r="I344" s="59">
        <v>2070</v>
      </c>
    </row>
    <row r="345" spans="1:9" ht="17.25" x14ac:dyDescent="0.25">
      <c r="A345" s="18" t="s">
        <v>42</v>
      </c>
      <c r="B345" s="221" t="s">
        <v>142</v>
      </c>
      <c r="C345" s="221"/>
      <c r="D345" s="221"/>
      <c r="E345" s="221"/>
      <c r="F345" s="12" t="s">
        <v>279</v>
      </c>
      <c r="G345" s="18">
        <v>235</v>
      </c>
      <c r="H345" s="18">
        <v>20</v>
      </c>
      <c r="I345" s="59">
        <v>4700</v>
      </c>
    </row>
    <row r="346" spans="1:9" x14ac:dyDescent="0.25">
      <c r="A346" s="18"/>
      <c r="B346" s="221" t="s">
        <v>347</v>
      </c>
      <c r="C346" s="221"/>
      <c r="D346" s="221"/>
      <c r="E346" s="221"/>
      <c r="F346" s="12"/>
      <c r="G346" s="18"/>
      <c r="H346" s="18"/>
      <c r="I346" s="59"/>
    </row>
    <row r="347" spans="1:9" ht="18" thickBot="1" x14ac:dyDescent="0.3">
      <c r="A347" s="18" t="s">
        <v>46</v>
      </c>
      <c r="B347" s="221" t="s">
        <v>348</v>
      </c>
      <c r="C347" s="221"/>
      <c r="D347" s="221"/>
      <c r="E347" s="221"/>
      <c r="F347" s="12" t="s">
        <v>279</v>
      </c>
      <c r="G347" s="18">
        <v>27</v>
      </c>
      <c r="H347" s="18">
        <v>76</v>
      </c>
      <c r="I347" s="59">
        <v>2057</v>
      </c>
    </row>
    <row r="348" spans="1:9" x14ac:dyDescent="0.25">
      <c r="A348" s="19"/>
      <c r="B348" s="253" t="s">
        <v>162</v>
      </c>
      <c r="C348" s="253"/>
      <c r="D348" s="253"/>
      <c r="E348" s="253"/>
      <c r="F348" s="253"/>
      <c r="G348" s="253"/>
      <c r="H348" s="275"/>
      <c r="I348" s="83">
        <f>SUM(I341:I347)</f>
        <v>43407</v>
      </c>
    </row>
    <row r="349" spans="1:9" x14ac:dyDescent="0.25">
      <c r="A349" s="16"/>
      <c r="B349" s="226" t="s">
        <v>6</v>
      </c>
      <c r="C349" s="226"/>
      <c r="D349" s="226"/>
      <c r="E349" s="226"/>
      <c r="F349" s="226"/>
      <c r="G349" s="226"/>
      <c r="H349" s="227"/>
      <c r="I349" s="59"/>
    </row>
    <row r="350" spans="1:9" ht="15.75" thickBot="1" x14ac:dyDescent="0.3">
      <c r="A350" s="17"/>
      <c r="B350" s="263" t="s">
        <v>209</v>
      </c>
      <c r="C350" s="263"/>
      <c r="D350" s="263"/>
      <c r="E350" s="263"/>
      <c r="F350" s="263"/>
      <c r="G350" s="263"/>
      <c r="H350" s="273"/>
      <c r="I350" s="60"/>
    </row>
    <row r="351" spans="1:9" ht="15.75" thickBot="1" x14ac:dyDescent="0.3">
      <c r="I351" s="67"/>
    </row>
    <row r="352" spans="1:9" ht="15.75" thickBot="1" x14ac:dyDescent="0.3">
      <c r="A352" s="36" t="s">
        <v>0</v>
      </c>
      <c r="B352" s="280" t="s">
        <v>1</v>
      </c>
      <c r="C352" s="280"/>
      <c r="D352" s="280"/>
      <c r="E352" s="280"/>
      <c r="F352" s="36" t="s">
        <v>24</v>
      </c>
      <c r="G352" s="36" t="s">
        <v>2</v>
      </c>
      <c r="H352" s="36" t="s">
        <v>3</v>
      </c>
      <c r="I352" s="78" t="s">
        <v>4</v>
      </c>
    </row>
    <row r="353" spans="1:9" x14ac:dyDescent="0.25">
      <c r="A353" s="8"/>
      <c r="B353" s="287" t="s">
        <v>143</v>
      </c>
      <c r="C353" s="287"/>
      <c r="D353" s="287"/>
      <c r="E353" s="287"/>
      <c r="F353" s="8"/>
      <c r="G353" s="8"/>
      <c r="H353" s="8"/>
      <c r="I353" s="75"/>
    </row>
    <row r="354" spans="1:9" x14ac:dyDescent="0.25">
      <c r="A354" s="18"/>
      <c r="B354" s="232" t="s">
        <v>446</v>
      </c>
      <c r="C354" s="232"/>
      <c r="D354" s="232"/>
      <c r="E354" s="232"/>
      <c r="F354" s="18"/>
      <c r="G354" s="18"/>
      <c r="H354" s="18"/>
      <c r="I354" s="59"/>
    </row>
    <row r="355" spans="1:9" x14ac:dyDescent="0.25">
      <c r="A355" s="18"/>
      <c r="B355" s="232" t="s">
        <v>355</v>
      </c>
      <c r="C355" s="232"/>
      <c r="D355" s="232"/>
      <c r="E355" s="232"/>
      <c r="F355" s="18"/>
      <c r="G355" s="18"/>
      <c r="H355" s="18"/>
      <c r="I355" s="59"/>
    </row>
    <row r="356" spans="1:9" ht="17.25" x14ac:dyDescent="0.25">
      <c r="A356" s="18" t="s">
        <v>30</v>
      </c>
      <c r="B356" s="290" t="s">
        <v>350</v>
      </c>
      <c r="C356" s="291"/>
      <c r="D356" s="291"/>
      <c r="E356" s="292"/>
      <c r="F356" s="18" t="s">
        <v>279</v>
      </c>
      <c r="G356" s="18">
        <v>875</v>
      </c>
      <c r="H356" s="18">
        <v>28</v>
      </c>
      <c r="I356" s="59">
        <v>24500</v>
      </c>
    </row>
    <row r="357" spans="1:9" x14ac:dyDescent="0.25">
      <c r="A357" s="18"/>
      <c r="B357" s="289" t="s">
        <v>349</v>
      </c>
      <c r="C357" s="289"/>
      <c r="D357" s="289"/>
      <c r="E357" s="289"/>
      <c r="F357" s="18"/>
      <c r="G357" s="18"/>
      <c r="H357" s="18"/>
      <c r="I357" s="59"/>
    </row>
    <row r="358" spans="1:9" ht="17.25" x14ac:dyDescent="0.25">
      <c r="A358" s="18" t="s">
        <v>36</v>
      </c>
      <c r="B358" s="289" t="s">
        <v>351</v>
      </c>
      <c r="C358" s="289"/>
      <c r="D358" s="289"/>
      <c r="E358" s="289"/>
      <c r="F358" s="18" t="s">
        <v>279</v>
      </c>
      <c r="G358" s="18">
        <v>67</v>
      </c>
      <c r="H358" s="18">
        <v>140</v>
      </c>
      <c r="I358" s="59">
        <v>9380</v>
      </c>
    </row>
    <row r="359" spans="1:9" ht="17.25" x14ac:dyDescent="0.25">
      <c r="A359" s="18" t="s">
        <v>39</v>
      </c>
      <c r="B359" s="289" t="s">
        <v>144</v>
      </c>
      <c r="C359" s="289"/>
      <c r="D359" s="289"/>
      <c r="E359" s="289"/>
      <c r="F359" s="18" t="s">
        <v>444</v>
      </c>
      <c r="G359" s="18">
        <v>846</v>
      </c>
      <c r="H359" s="18">
        <v>20</v>
      </c>
      <c r="I359" s="59">
        <v>16920</v>
      </c>
    </row>
    <row r="360" spans="1:9" x14ac:dyDescent="0.25">
      <c r="A360" s="18"/>
      <c r="B360" s="289" t="s">
        <v>352</v>
      </c>
      <c r="C360" s="289"/>
      <c r="D360" s="289"/>
      <c r="E360" s="289"/>
      <c r="F360" s="18"/>
      <c r="G360" s="18"/>
      <c r="H360" s="18"/>
      <c r="I360" s="59"/>
    </row>
    <row r="361" spans="1:9" ht="18" thickBot="1" x14ac:dyDescent="0.3">
      <c r="A361" s="18" t="s">
        <v>42</v>
      </c>
      <c r="B361" s="289" t="s">
        <v>353</v>
      </c>
      <c r="C361" s="289"/>
      <c r="D361" s="289"/>
      <c r="E361" s="289"/>
      <c r="F361" s="18" t="s">
        <v>279</v>
      </c>
      <c r="G361" s="18">
        <v>24</v>
      </c>
      <c r="H361" s="18">
        <v>20</v>
      </c>
      <c r="I361" s="59">
        <v>480</v>
      </c>
    </row>
    <row r="362" spans="1:9" x14ac:dyDescent="0.25">
      <c r="A362" s="19"/>
      <c r="B362" s="296" t="s">
        <v>162</v>
      </c>
      <c r="C362" s="296"/>
      <c r="D362" s="296"/>
      <c r="E362" s="296"/>
      <c r="F362" s="296"/>
      <c r="G362" s="296"/>
      <c r="H362" s="297"/>
      <c r="I362" s="83">
        <f>SUM(I356:I361)</f>
        <v>51280</v>
      </c>
    </row>
    <row r="363" spans="1:9" x14ac:dyDescent="0.25">
      <c r="A363" s="16"/>
      <c r="B363" s="226" t="s">
        <v>6</v>
      </c>
      <c r="C363" s="226"/>
      <c r="D363" s="226"/>
      <c r="E363" s="226"/>
      <c r="F363" s="226"/>
      <c r="G363" s="226"/>
      <c r="H363" s="227"/>
      <c r="I363" s="59"/>
    </row>
    <row r="364" spans="1:9" ht="15.75" thickBot="1" x14ac:dyDescent="0.3">
      <c r="A364" s="17"/>
      <c r="B364" s="298" t="s">
        <v>209</v>
      </c>
      <c r="C364" s="298"/>
      <c r="D364" s="298"/>
      <c r="E364" s="298"/>
      <c r="F364" s="298"/>
      <c r="G364" s="298"/>
      <c r="H364" s="299"/>
      <c r="I364" s="60"/>
    </row>
    <row r="365" spans="1:9" ht="15.75" thickBot="1" x14ac:dyDescent="0.3">
      <c r="I365" s="67"/>
    </row>
    <row r="366" spans="1:9" ht="15.75" thickBot="1" x14ac:dyDescent="0.3">
      <c r="A366" s="36" t="s">
        <v>0</v>
      </c>
      <c r="B366" s="280" t="s">
        <v>1</v>
      </c>
      <c r="C366" s="280"/>
      <c r="D366" s="280"/>
      <c r="E366" s="280"/>
      <c r="F366" s="36" t="s">
        <v>24</v>
      </c>
      <c r="G366" s="36" t="s">
        <v>2</v>
      </c>
      <c r="H366" s="36" t="s">
        <v>3</v>
      </c>
      <c r="I366" s="78" t="s">
        <v>4</v>
      </c>
    </row>
    <row r="367" spans="1:9" x14ac:dyDescent="0.25">
      <c r="A367" s="18"/>
      <c r="B367" s="232" t="s">
        <v>145</v>
      </c>
      <c r="C367" s="232"/>
      <c r="D367" s="232"/>
      <c r="E367" s="232"/>
      <c r="F367" s="18"/>
      <c r="G367" s="18"/>
      <c r="H367" s="18"/>
      <c r="I367" s="75"/>
    </row>
    <row r="368" spans="1:9" x14ac:dyDescent="0.25">
      <c r="A368" s="18"/>
      <c r="B368" s="232" t="s">
        <v>146</v>
      </c>
      <c r="C368" s="232"/>
      <c r="D368" s="232"/>
      <c r="E368" s="232"/>
      <c r="F368" s="18"/>
      <c r="G368" s="18"/>
      <c r="H368" s="18"/>
      <c r="I368" s="59"/>
    </row>
    <row r="369" spans="1:9" x14ac:dyDescent="0.25">
      <c r="A369" s="18"/>
      <c r="B369" s="288" t="s">
        <v>356</v>
      </c>
      <c r="C369" s="288"/>
      <c r="D369" s="288"/>
      <c r="E369" s="288"/>
      <c r="F369" s="18"/>
      <c r="G369" s="18"/>
      <c r="H369" s="18"/>
      <c r="I369" s="59"/>
    </row>
    <row r="370" spans="1:9" ht="17.25" x14ac:dyDescent="0.25">
      <c r="A370" s="18" t="s">
        <v>30</v>
      </c>
      <c r="B370" s="289" t="s">
        <v>147</v>
      </c>
      <c r="C370" s="289"/>
      <c r="D370" s="289"/>
      <c r="E370" s="289"/>
      <c r="F370" s="18" t="s">
        <v>279</v>
      </c>
      <c r="G370" s="18">
        <v>250</v>
      </c>
      <c r="H370" s="18">
        <v>35</v>
      </c>
      <c r="I370" s="59">
        <v>8750</v>
      </c>
    </row>
    <row r="371" spans="1:9" x14ac:dyDescent="0.25">
      <c r="A371" s="18"/>
      <c r="B371" s="289" t="s">
        <v>357</v>
      </c>
      <c r="C371" s="289"/>
      <c r="D371" s="289"/>
      <c r="E371" s="289"/>
      <c r="F371" s="18"/>
      <c r="G371" s="18"/>
      <c r="H371" s="18"/>
      <c r="I371" s="59"/>
    </row>
    <row r="372" spans="1:9" ht="17.25" x14ac:dyDescent="0.25">
      <c r="A372" s="18" t="s">
        <v>36</v>
      </c>
      <c r="B372" s="289" t="s">
        <v>358</v>
      </c>
      <c r="C372" s="289"/>
      <c r="D372" s="289"/>
      <c r="E372" s="289"/>
      <c r="F372" s="18" t="s">
        <v>279</v>
      </c>
      <c r="G372" s="18">
        <v>250</v>
      </c>
      <c r="H372" s="18">
        <v>140</v>
      </c>
      <c r="I372" s="59">
        <v>35000</v>
      </c>
    </row>
    <row r="373" spans="1:9" ht="17.25" x14ac:dyDescent="0.25">
      <c r="A373" s="18" t="s">
        <v>39</v>
      </c>
      <c r="B373" s="289" t="s">
        <v>359</v>
      </c>
      <c r="C373" s="289"/>
      <c r="D373" s="289"/>
      <c r="E373" s="289"/>
      <c r="F373" s="18" t="s">
        <v>281</v>
      </c>
      <c r="G373" s="18">
        <v>22</v>
      </c>
      <c r="H373" s="18">
        <v>77</v>
      </c>
      <c r="I373" s="59">
        <v>1705</v>
      </c>
    </row>
    <row r="374" spans="1:9" x14ac:dyDescent="0.25">
      <c r="A374" s="18" t="s">
        <v>42</v>
      </c>
      <c r="B374" s="289" t="s">
        <v>148</v>
      </c>
      <c r="C374" s="289"/>
      <c r="D374" s="289"/>
      <c r="E374" s="289"/>
      <c r="F374" s="18" t="s">
        <v>214</v>
      </c>
      <c r="G374" s="18">
        <v>651</v>
      </c>
      <c r="H374" s="18">
        <v>9</v>
      </c>
      <c r="I374" s="59">
        <v>5859</v>
      </c>
    </row>
    <row r="375" spans="1:9" x14ac:dyDescent="0.25">
      <c r="A375" s="18"/>
      <c r="B375" s="289" t="s">
        <v>360</v>
      </c>
      <c r="C375" s="289"/>
      <c r="D375" s="289"/>
      <c r="E375" s="289"/>
      <c r="F375" s="18"/>
      <c r="G375" s="18"/>
      <c r="H375" s="18"/>
      <c r="I375" s="59"/>
    </row>
    <row r="376" spans="1:9" x14ac:dyDescent="0.25">
      <c r="A376" s="18" t="s">
        <v>46</v>
      </c>
      <c r="B376" s="289" t="s">
        <v>149</v>
      </c>
      <c r="C376" s="289"/>
      <c r="D376" s="289"/>
      <c r="E376" s="289"/>
      <c r="F376" s="18" t="s">
        <v>214</v>
      </c>
      <c r="G376" s="18">
        <v>310</v>
      </c>
      <c r="H376" s="18">
        <v>6</v>
      </c>
      <c r="I376" s="59">
        <v>1860</v>
      </c>
    </row>
    <row r="377" spans="1:9" ht="15.75" thickBot="1" x14ac:dyDescent="0.3">
      <c r="A377" s="11"/>
      <c r="B377" s="301" t="s">
        <v>361</v>
      </c>
      <c r="C377" s="301"/>
      <c r="D377" s="301"/>
      <c r="E377" s="301"/>
      <c r="F377" s="11"/>
      <c r="G377" s="11"/>
      <c r="H377" s="11"/>
      <c r="I377" s="60"/>
    </row>
    <row r="378" spans="1:9" x14ac:dyDescent="0.25">
      <c r="A378" s="19"/>
      <c r="B378" s="253" t="s">
        <v>162</v>
      </c>
      <c r="C378" s="253"/>
      <c r="D378" s="253"/>
      <c r="E378" s="253"/>
      <c r="F378" s="253"/>
      <c r="G378" s="253"/>
      <c r="H378" s="275"/>
      <c r="I378" s="83">
        <f>SUM(I370:I376)</f>
        <v>53174</v>
      </c>
    </row>
    <row r="379" spans="1:9" x14ac:dyDescent="0.25">
      <c r="A379" s="16"/>
      <c r="B379" s="226" t="s">
        <v>6</v>
      </c>
      <c r="C379" s="226"/>
      <c r="D379" s="226"/>
      <c r="E379" s="226"/>
      <c r="F379" s="226"/>
      <c r="G379" s="226"/>
      <c r="H379" s="227"/>
      <c r="I379" s="59"/>
    </row>
    <row r="380" spans="1:9" ht="15.75" thickBot="1" x14ac:dyDescent="0.3">
      <c r="A380" s="17"/>
      <c r="B380" s="263" t="s">
        <v>209</v>
      </c>
      <c r="C380" s="263"/>
      <c r="D380" s="263"/>
      <c r="E380" s="263"/>
      <c r="F380" s="263"/>
      <c r="G380" s="263"/>
      <c r="H380" s="273"/>
      <c r="I380" s="60"/>
    </row>
    <row r="381" spans="1:9" x14ac:dyDescent="0.25">
      <c r="I381" s="67"/>
    </row>
    <row r="382" spans="1:9" ht="15.75" thickBot="1" x14ac:dyDescent="0.3">
      <c r="I382" s="67"/>
    </row>
    <row r="383" spans="1:9" ht="15.75" thickBot="1" x14ac:dyDescent="0.3">
      <c r="A383" s="37" t="s">
        <v>0</v>
      </c>
      <c r="B383" s="237" t="s">
        <v>1</v>
      </c>
      <c r="C383" s="237"/>
      <c r="D383" s="237"/>
      <c r="E383" s="238"/>
      <c r="F383" s="38" t="s">
        <v>24</v>
      </c>
      <c r="G383" s="39" t="s">
        <v>2</v>
      </c>
      <c r="H383" s="38" t="s">
        <v>3</v>
      </c>
      <c r="I383" s="74" t="s">
        <v>4</v>
      </c>
    </row>
    <row r="384" spans="1:9" x14ac:dyDescent="0.25">
      <c r="A384" s="19"/>
      <c r="B384" s="239"/>
      <c r="C384" s="240"/>
      <c r="D384" s="240"/>
      <c r="E384" s="241"/>
      <c r="F384" s="8"/>
      <c r="G384" s="14"/>
      <c r="H384" s="8"/>
      <c r="I384" s="75"/>
    </row>
    <row r="385" spans="1:9" x14ac:dyDescent="0.25">
      <c r="A385" s="18"/>
      <c r="B385" s="224" t="s">
        <v>150</v>
      </c>
      <c r="C385" s="224"/>
      <c r="D385" s="224"/>
      <c r="E385" s="224"/>
      <c r="F385" s="18"/>
      <c r="G385" s="18"/>
      <c r="H385" s="18"/>
      <c r="I385" s="59"/>
    </row>
    <row r="386" spans="1:9" x14ac:dyDescent="0.25">
      <c r="A386" s="18"/>
      <c r="B386" s="224" t="s">
        <v>151</v>
      </c>
      <c r="C386" s="224"/>
      <c r="D386" s="224"/>
      <c r="E386" s="224"/>
      <c r="F386" s="18"/>
      <c r="G386" s="18"/>
      <c r="H386" s="18"/>
      <c r="I386" s="59"/>
    </row>
    <row r="387" spans="1:9" x14ac:dyDescent="0.25">
      <c r="A387" s="18"/>
      <c r="B387" s="225"/>
      <c r="C387" s="225"/>
      <c r="D387" s="225"/>
      <c r="E387" s="225"/>
      <c r="F387" s="18"/>
      <c r="G387" s="18"/>
      <c r="H387" s="18"/>
      <c r="I387" s="59"/>
    </row>
    <row r="388" spans="1:9" x14ac:dyDescent="0.25">
      <c r="A388" s="18"/>
      <c r="B388" s="231" t="s">
        <v>152</v>
      </c>
      <c r="C388" s="231"/>
      <c r="D388" s="231"/>
      <c r="E388" s="231"/>
      <c r="F388" s="18"/>
      <c r="G388" s="18"/>
      <c r="H388" s="18"/>
      <c r="I388" s="59"/>
    </row>
    <row r="389" spans="1:9" x14ac:dyDescent="0.25">
      <c r="A389" s="18"/>
      <c r="B389" s="231" t="s">
        <v>153</v>
      </c>
      <c r="C389" s="231"/>
      <c r="D389" s="231"/>
      <c r="E389" s="231"/>
      <c r="F389" s="18"/>
      <c r="G389" s="18"/>
      <c r="H389" s="18"/>
      <c r="I389" s="59"/>
    </row>
    <row r="390" spans="1:9" x14ac:dyDescent="0.25">
      <c r="A390" s="18"/>
      <c r="B390" s="231" t="s">
        <v>362</v>
      </c>
      <c r="C390" s="231"/>
      <c r="D390" s="231"/>
      <c r="E390" s="231"/>
      <c r="F390" s="18"/>
      <c r="G390" s="18"/>
      <c r="H390" s="18"/>
      <c r="I390" s="59"/>
    </row>
    <row r="391" spans="1:9" x14ac:dyDescent="0.25">
      <c r="A391" s="18"/>
      <c r="B391" s="231"/>
      <c r="C391" s="231"/>
      <c r="D391" s="231"/>
      <c r="E391" s="231"/>
      <c r="F391" s="18"/>
      <c r="G391" s="18"/>
      <c r="H391" s="18"/>
      <c r="I391" s="59"/>
    </row>
    <row r="392" spans="1:9" x14ac:dyDescent="0.25">
      <c r="A392" s="18" t="s">
        <v>30</v>
      </c>
      <c r="B392" s="221" t="s">
        <v>154</v>
      </c>
      <c r="C392" s="221"/>
      <c r="D392" s="221"/>
      <c r="E392" s="221"/>
      <c r="F392" s="18" t="s">
        <v>214</v>
      </c>
      <c r="G392" s="18">
        <v>420</v>
      </c>
      <c r="H392" s="18">
        <v>11</v>
      </c>
      <c r="I392" s="59">
        <v>4620</v>
      </c>
    </row>
    <row r="393" spans="1:9" x14ac:dyDescent="0.25">
      <c r="A393" s="18"/>
      <c r="B393" s="221"/>
      <c r="C393" s="221"/>
      <c r="D393" s="221"/>
      <c r="E393" s="221"/>
      <c r="F393" s="18"/>
      <c r="G393" s="18"/>
      <c r="H393" s="18"/>
      <c r="I393" s="59"/>
    </row>
    <row r="394" spans="1:9" x14ac:dyDescent="0.25">
      <c r="A394" s="18" t="s">
        <v>36</v>
      </c>
      <c r="B394" s="221" t="s">
        <v>363</v>
      </c>
      <c r="C394" s="221"/>
      <c r="D394" s="221"/>
      <c r="E394" s="221"/>
      <c r="F394" s="18" t="s">
        <v>214</v>
      </c>
      <c r="G394" s="18">
        <v>340</v>
      </c>
      <c r="H394" s="18">
        <v>10</v>
      </c>
      <c r="I394" s="59">
        <v>3400</v>
      </c>
    </row>
    <row r="395" spans="1:9" x14ac:dyDescent="0.25">
      <c r="A395" s="18"/>
      <c r="B395" s="221"/>
      <c r="C395" s="221"/>
      <c r="D395" s="221"/>
      <c r="E395" s="221"/>
      <c r="F395" s="18"/>
      <c r="G395" s="18"/>
      <c r="H395" s="18"/>
      <c r="I395" s="59"/>
    </row>
    <row r="396" spans="1:9" x14ac:dyDescent="0.25">
      <c r="A396" s="18" t="s">
        <v>39</v>
      </c>
      <c r="B396" s="221" t="s">
        <v>155</v>
      </c>
      <c r="C396" s="221"/>
      <c r="D396" s="221"/>
      <c r="E396" s="221"/>
      <c r="F396" s="18" t="s">
        <v>214</v>
      </c>
      <c r="G396" s="18">
        <v>320</v>
      </c>
      <c r="H396" s="18">
        <v>11</v>
      </c>
      <c r="I396" s="59">
        <v>3520</v>
      </c>
    </row>
    <row r="397" spans="1:9" x14ac:dyDescent="0.25">
      <c r="A397" s="18"/>
      <c r="B397" s="221" t="s">
        <v>364</v>
      </c>
      <c r="C397" s="221"/>
      <c r="D397" s="221"/>
      <c r="E397" s="221"/>
      <c r="F397" s="18"/>
      <c r="G397" s="18"/>
      <c r="H397" s="18"/>
      <c r="I397" s="59"/>
    </row>
    <row r="398" spans="1:9" x14ac:dyDescent="0.25">
      <c r="A398" s="18"/>
      <c r="B398" s="221"/>
      <c r="C398" s="221"/>
      <c r="D398" s="221"/>
      <c r="E398" s="221"/>
      <c r="F398" s="18"/>
      <c r="G398" s="18"/>
      <c r="H398" s="18"/>
      <c r="I398" s="59"/>
    </row>
    <row r="399" spans="1:9" ht="17.25" x14ac:dyDescent="0.25">
      <c r="A399" s="18" t="s">
        <v>42</v>
      </c>
      <c r="B399" s="221" t="s">
        <v>156</v>
      </c>
      <c r="C399" s="221"/>
      <c r="D399" s="221"/>
      <c r="E399" s="221"/>
      <c r="F399" s="18" t="s">
        <v>279</v>
      </c>
      <c r="G399" s="18">
        <v>182</v>
      </c>
      <c r="H399" s="18">
        <v>50</v>
      </c>
      <c r="I399" s="59">
        <v>9100</v>
      </c>
    </row>
    <row r="400" spans="1:9" x14ac:dyDescent="0.25">
      <c r="A400" s="18"/>
      <c r="B400" s="221" t="s">
        <v>157</v>
      </c>
      <c r="C400" s="221"/>
      <c r="D400" s="221"/>
      <c r="E400" s="221"/>
      <c r="F400" s="18"/>
      <c r="G400" s="18"/>
      <c r="H400" s="18"/>
      <c r="I400" s="59"/>
    </row>
    <row r="401" spans="1:9" x14ac:dyDescent="0.25">
      <c r="A401" s="18"/>
      <c r="B401" s="221" t="s">
        <v>365</v>
      </c>
      <c r="C401" s="221"/>
      <c r="D401" s="221"/>
      <c r="E401" s="221"/>
      <c r="F401" s="18"/>
      <c r="G401" s="18"/>
      <c r="H401" s="18"/>
      <c r="I401" s="59"/>
    </row>
    <row r="402" spans="1:9" x14ac:dyDescent="0.25">
      <c r="A402" s="18"/>
      <c r="B402" s="221"/>
      <c r="C402" s="221"/>
      <c r="D402" s="221"/>
      <c r="E402" s="221"/>
      <c r="F402" s="18"/>
      <c r="G402" s="18"/>
      <c r="H402" s="18"/>
      <c r="I402" s="59"/>
    </row>
    <row r="403" spans="1:9" x14ac:dyDescent="0.25">
      <c r="A403" s="18" t="s">
        <v>46</v>
      </c>
      <c r="B403" s="221" t="s">
        <v>158</v>
      </c>
      <c r="C403" s="221"/>
      <c r="D403" s="221"/>
      <c r="E403" s="221"/>
      <c r="F403" s="18" t="s">
        <v>216</v>
      </c>
      <c r="G403" s="18">
        <v>1</v>
      </c>
      <c r="H403" s="18">
        <v>110</v>
      </c>
      <c r="I403" s="59">
        <v>110</v>
      </c>
    </row>
    <row r="404" spans="1:9" x14ac:dyDescent="0.25">
      <c r="A404" s="18"/>
      <c r="B404" s="221" t="s">
        <v>159</v>
      </c>
      <c r="C404" s="221"/>
      <c r="D404" s="221"/>
      <c r="E404" s="221"/>
      <c r="F404" s="18"/>
      <c r="G404" s="18"/>
      <c r="H404" s="18"/>
      <c r="I404" s="59"/>
    </row>
    <row r="405" spans="1:9" x14ac:dyDescent="0.25">
      <c r="A405" s="18"/>
      <c r="B405" s="221" t="s">
        <v>366</v>
      </c>
      <c r="C405" s="221"/>
      <c r="D405" s="221"/>
      <c r="E405" s="221"/>
      <c r="F405" s="18"/>
      <c r="G405" s="18"/>
      <c r="H405" s="18"/>
      <c r="I405" s="59"/>
    </row>
    <row r="406" spans="1:9" x14ac:dyDescent="0.25">
      <c r="A406" s="18"/>
      <c r="B406" s="221"/>
      <c r="C406" s="221"/>
      <c r="D406" s="221"/>
      <c r="E406" s="221"/>
      <c r="F406" s="18"/>
      <c r="G406" s="18"/>
      <c r="H406" s="18"/>
      <c r="I406" s="59"/>
    </row>
    <row r="407" spans="1:9" ht="17.25" x14ac:dyDescent="0.25">
      <c r="A407" s="18" t="s">
        <v>49</v>
      </c>
      <c r="B407" s="221" t="s">
        <v>160</v>
      </c>
      <c r="C407" s="221"/>
      <c r="D407" s="221"/>
      <c r="E407" s="221"/>
      <c r="F407" s="18" t="s">
        <v>279</v>
      </c>
      <c r="G407" s="18">
        <v>200</v>
      </c>
      <c r="H407" s="18">
        <v>17</v>
      </c>
      <c r="I407" s="59">
        <v>3400</v>
      </c>
    </row>
    <row r="408" spans="1:9" x14ac:dyDescent="0.25">
      <c r="A408" s="18"/>
      <c r="B408" s="221" t="s">
        <v>367</v>
      </c>
      <c r="C408" s="221"/>
      <c r="D408" s="221"/>
      <c r="E408" s="221"/>
      <c r="F408" s="18"/>
      <c r="G408" s="18"/>
      <c r="H408" s="18"/>
      <c r="I408" s="59"/>
    </row>
    <row r="409" spans="1:9" x14ac:dyDescent="0.25">
      <c r="A409" s="18"/>
      <c r="B409" s="221"/>
      <c r="C409" s="221"/>
      <c r="D409" s="221"/>
      <c r="E409" s="221"/>
      <c r="F409" s="18"/>
      <c r="G409" s="18"/>
      <c r="H409" s="18"/>
      <c r="I409" s="59"/>
    </row>
    <row r="410" spans="1:9" x14ac:dyDescent="0.25">
      <c r="A410" s="18" t="s">
        <v>53</v>
      </c>
      <c r="B410" s="221" t="s">
        <v>368</v>
      </c>
      <c r="C410" s="221"/>
      <c r="D410" s="221"/>
      <c r="E410" s="221"/>
      <c r="F410" s="18" t="s">
        <v>214</v>
      </c>
      <c r="G410" s="18">
        <v>305</v>
      </c>
      <c r="H410" s="18">
        <v>7</v>
      </c>
      <c r="I410" s="59">
        <v>2135</v>
      </c>
    </row>
    <row r="411" spans="1:9" x14ac:dyDescent="0.25">
      <c r="A411" s="18"/>
      <c r="B411" s="221"/>
      <c r="C411" s="221"/>
      <c r="D411" s="221"/>
      <c r="E411" s="221"/>
      <c r="F411" s="18"/>
      <c r="G411" s="18"/>
      <c r="H411" s="18"/>
      <c r="I411" s="59"/>
    </row>
    <row r="412" spans="1:9" ht="17.25" x14ac:dyDescent="0.25">
      <c r="A412" s="18" t="s">
        <v>55</v>
      </c>
      <c r="B412" s="221" t="s">
        <v>161</v>
      </c>
      <c r="C412" s="221"/>
      <c r="D412" s="221"/>
      <c r="E412" s="221"/>
      <c r="F412" s="18" t="s">
        <v>444</v>
      </c>
      <c r="G412" s="18">
        <v>105</v>
      </c>
      <c r="H412" s="18">
        <v>37</v>
      </c>
      <c r="I412" s="59">
        <v>3885</v>
      </c>
    </row>
    <row r="413" spans="1:9" x14ac:dyDescent="0.25">
      <c r="A413" s="18"/>
      <c r="B413" s="221" t="s">
        <v>369</v>
      </c>
      <c r="C413" s="221"/>
      <c r="D413" s="221"/>
      <c r="E413" s="221"/>
      <c r="F413" s="18"/>
      <c r="G413" s="18"/>
      <c r="H413" s="18"/>
      <c r="I413" s="59"/>
    </row>
    <row r="414" spans="1:9" x14ac:dyDescent="0.25">
      <c r="A414" s="18"/>
      <c r="B414" s="221"/>
      <c r="C414" s="221"/>
      <c r="D414" s="221"/>
      <c r="E414" s="221"/>
      <c r="F414" s="18"/>
      <c r="G414" s="18"/>
      <c r="H414" s="18"/>
      <c r="I414" s="59"/>
    </row>
    <row r="415" spans="1:9" x14ac:dyDescent="0.25">
      <c r="A415" s="18"/>
      <c r="B415" s="221"/>
      <c r="C415" s="221"/>
      <c r="D415" s="221"/>
      <c r="E415" s="221"/>
      <c r="F415" s="18"/>
      <c r="G415" s="18"/>
      <c r="H415" s="18"/>
      <c r="I415" s="59"/>
    </row>
    <row r="416" spans="1:9" ht="15.75" thickBot="1" x14ac:dyDescent="0.3">
      <c r="A416" s="18"/>
      <c r="B416" s="221"/>
      <c r="C416" s="221"/>
      <c r="D416" s="221"/>
      <c r="E416" s="221"/>
      <c r="F416" s="18"/>
      <c r="G416" s="18"/>
      <c r="H416" s="18"/>
      <c r="I416" s="59"/>
    </row>
    <row r="417" spans="1:9" x14ac:dyDescent="0.25">
      <c r="A417" s="19"/>
      <c r="B417" s="222"/>
      <c r="C417" s="222"/>
      <c r="D417" s="222"/>
      <c r="E417" s="222"/>
      <c r="F417" s="222"/>
      <c r="G417" s="222"/>
      <c r="H417" s="223"/>
      <c r="I417" s="75"/>
    </row>
    <row r="418" spans="1:9" x14ac:dyDescent="0.25">
      <c r="A418" s="16"/>
      <c r="B418" s="226" t="s">
        <v>162</v>
      </c>
      <c r="C418" s="226"/>
      <c r="D418" s="226"/>
      <c r="E418" s="226"/>
      <c r="F418" s="226"/>
      <c r="G418" s="226"/>
      <c r="H418" s="227"/>
      <c r="I418" s="82">
        <f>SUM(I392:I412)</f>
        <v>30170</v>
      </c>
    </row>
    <row r="419" spans="1:9" x14ac:dyDescent="0.25">
      <c r="A419" s="16"/>
      <c r="B419" s="226"/>
      <c r="C419" s="226"/>
      <c r="D419" s="226"/>
      <c r="E419" s="226"/>
      <c r="F419" s="226"/>
      <c r="G419" s="226"/>
      <c r="H419" s="227"/>
      <c r="I419" s="59"/>
    </row>
    <row r="420" spans="1:9" x14ac:dyDescent="0.25">
      <c r="A420" s="16"/>
      <c r="B420" s="226" t="s">
        <v>6</v>
      </c>
      <c r="C420" s="226"/>
      <c r="D420" s="226"/>
      <c r="E420" s="226"/>
      <c r="F420" s="226"/>
      <c r="G420" s="226"/>
      <c r="H420" s="227"/>
      <c r="I420" s="59"/>
    </row>
    <row r="421" spans="1:9" x14ac:dyDescent="0.25">
      <c r="A421" s="16"/>
      <c r="B421" s="226"/>
      <c r="C421" s="226"/>
      <c r="D421" s="226"/>
      <c r="E421" s="226"/>
      <c r="F421" s="226"/>
      <c r="G421" s="226"/>
      <c r="H421" s="227"/>
      <c r="I421" s="59"/>
    </row>
    <row r="422" spans="1:9" x14ac:dyDescent="0.25">
      <c r="A422" s="16"/>
      <c r="B422" s="226" t="s">
        <v>15</v>
      </c>
      <c r="C422" s="226"/>
      <c r="D422" s="226"/>
      <c r="E422" s="226"/>
      <c r="F422" s="226"/>
      <c r="G422" s="226"/>
      <c r="H422" s="227"/>
      <c r="I422" s="59"/>
    </row>
    <row r="423" spans="1:9" x14ac:dyDescent="0.25">
      <c r="A423" s="16"/>
      <c r="B423" s="228"/>
      <c r="C423" s="228"/>
      <c r="D423" s="228"/>
      <c r="E423" s="228"/>
      <c r="F423" s="228"/>
      <c r="G423" s="228"/>
      <c r="H423" s="229"/>
      <c r="I423" s="59"/>
    </row>
    <row r="424" spans="1:9" ht="15.75" thickBot="1" x14ac:dyDescent="0.3">
      <c r="A424" s="17"/>
      <c r="B424" s="302"/>
      <c r="C424" s="302"/>
      <c r="D424" s="302"/>
      <c r="E424" s="302"/>
      <c r="F424" s="302"/>
      <c r="G424" s="302"/>
      <c r="H424" s="303"/>
      <c r="I424" s="60"/>
    </row>
    <row r="425" spans="1:9" x14ac:dyDescent="0.25">
      <c r="I425" s="67"/>
    </row>
    <row r="426" spans="1:9" x14ac:dyDescent="0.25">
      <c r="I426" s="67"/>
    </row>
    <row r="427" spans="1:9" x14ac:dyDescent="0.25">
      <c r="I427" s="67"/>
    </row>
    <row r="428" spans="1:9" x14ac:dyDescent="0.25">
      <c r="I428" s="67"/>
    </row>
    <row r="429" spans="1:9" ht="15.75" thickBot="1" x14ac:dyDescent="0.3">
      <c r="I429" s="67"/>
    </row>
    <row r="430" spans="1:9" ht="15.75" thickBot="1" x14ac:dyDescent="0.3">
      <c r="A430" s="36" t="s">
        <v>0</v>
      </c>
      <c r="B430" s="280" t="s">
        <v>1</v>
      </c>
      <c r="C430" s="280"/>
      <c r="D430" s="280"/>
      <c r="E430" s="280"/>
      <c r="F430" s="36" t="s">
        <v>24</v>
      </c>
      <c r="G430" s="36" t="s">
        <v>2</v>
      </c>
      <c r="H430" s="36" t="s">
        <v>3</v>
      </c>
      <c r="I430" s="78" t="s">
        <v>4</v>
      </c>
    </row>
    <row r="431" spans="1:9" x14ac:dyDescent="0.25">
      <c r="A431" s="8"/>
      <c r="B431" s="230" t="s">
        <v>163</v>
      </c>
      <c r="C431" s="230"/>
      <c r="D431" s="230"/>
      <c r="E431" s="230"/>
      <c r="F431" s="8"/>
      <c r="G431" s="8"/>
      <c r="H431" s="8"/>
      <c r="I431" s="75"/>
    </row>
    <row r="432" spans="1:9" x14ac:dyDescent="0.25">
      <c r="A432" s="18"/>
      <c r="B432" s="224" t="s">
        <v>164</v>
      </c>
      <c r="C432" s="224"/>
      <c r="D432" s="224"/>
      <c r="E432" s="224"/>
      <c r="F432" s="18"/>
      <c r="G432" s="18"/>
      <c r="H432" s="18"/>
      <c r="I432" s="59"/>
    </row>
    <row r="433" spans="1:9" x14ac:dyDescent="0.25">
      <c r="A433" s="18"/>
      <c r="B433" s="225"/>
      <c r="C433" s="225"/>
      <c r="D433" s="225"/>
      <c r="E433" s="225"/>
      <c r="F433" s="18"/>
      <c r="G433" s="18"/>
      <c r="H433" s="18"/>
      <c r="I433" s="59"/>
    </row>
    <row r="434" spans="1:9" x14ac:dyDescent="0.25">
      <c r="A434" s="18"/>
      <c r="B434" s="293" t="s">
        <v>165</v>
      </c>
      <c r="C434" s="300"/>
      <c r="D434" s="300"/>
      <c r="E434" s="295"/>
      <c r="F434" s="18"/>
      <c r="G434" s="18"/>
      <c r="H434" s="18"/>
      <c r="I434" s="59"/>
    </row>
    <row r="435" spans="1:9" x14ac:dyDescent="0.25">
      <c r="A435" s="18"/>
      <c r="B435" s="288" t="s">
        <v>166</v>
      </c>
      <c r="C435" s="288"/>
      <c r="D435" s="288"/>
      <c r="E435" s="288"/>
      <c r="F435" s="18"/>
      <c r="G435" s="18"/>
      <c r="H435" s="18"/>
      <c r="I435" s="59"/>
    </row>
    <row r="436" spans="1:9" x14ac:dyDescent="0.25">
      <c r="A436" s="18"/>
      <c r="B436" s="288" t="s">
        <v>167</v>
      </c>
      <c r="C436" s="288"/>
      <c r="D436" s="288"/>
      <c r="E436" s="288"/>
      <c r="F436" s="18"/>
      <c r="G436" s="18"/>
      <c r="H436" s="18"/>
      <c r="I436" s="59"/>
    </row>
    <row r="437" spans="1:9" x14ac:dyDescent="0.25">
      <c r="A437" s="18"/>
      <c r="B437" s="293" t="s">
        <v>168</v>
      </c>
      <c r="C437" s="294"/>
      <c r="D437" s="294"/>
      <c r="E437" s="295"/>
      <c r="F437" s="18"/>
      <c r="G437" s="18"/>
      <c r="H437" s="18"/>
      <c r="I437" s="59"/>
    </row>
    <row r="438" spans="1:9" x14ac:dyDescent="0.25">
      <c r="A438" s="18"/>
      <c r="B438" s="288" t="s">
        <v>169</v>
      </c>
      <c r="C438" s="288"/>
      <c r="D438" s="288"/>
      <c r="E438" s="288"/>
      <c r="F438" s="18"/>
      <c r="G438" s="18"/>
      <c r="H438" s="18"/>
      <c r="I438" s="59"/>
    </row>
    <row r="439" spans="1:9" x14ac:dyDescent="0.25">
      <c r="A439" s="18"/>
      <c r="B439" s="288" t="s">
        <v>430</v>
      </c>
      <c r="C439" s="288"/>
      <c r="D439" s="288"/>
      <c r="E439" s="288"/>
      <c r="F439" s="18"/>
      <c r="G439" s="18"/>
      <c r="H439" s="18"/>
      <c r="I439" s="59"/>
    </row>
    <row r="440" spans="1:9" x14ac:dyDescent="0.25">
      <c r="A440" s="18"/>
      <c r="B440" s="289"/>
      <c r="C440" s="289"/>
      <c r="D440" s="289"/>
      <c r="E440" s="289"/>
      <c r="F440" s="18"/>
      <c r="G440" s="18"/>
      <c r="H440" s="18"/>
      <c r="I440" s="59"/>
    </row>
    <row r="441" spans="1:9" x14ac:dyDescent="0.25">
      <c r="A441" s="18" t="s">
        <v>30</v>
      </c>
      <c r="B441" s="289" t="s">
        <v>370</v>
      </c>
      <c r="C441" s="289"/>
      <c r="D441" s="289"/>
      <c r="E441" s="289"/>
      <c r="F441" s="18" t="s">
        <v>214</v>
      </c>
      <c r="G441" s="18">
        <v>42</v>
      </c>
      <c r="H441" s="18">
        <v>42</v>
      </c>
      <c r="I441" s="59">
        <v>1764</v>
      </c>
    </row>
    <row r="442" spans="1:9" x14ac:dyDescent="0.25">
      <c r="A442" s="18"/>
      <c r="B442" s="304"/>
      <c r="C442" s="266"/>
      <c r="D442" s="266"/>
      <c r="E442" s="305"/>
      <c r="F442" s="18"/>
      <c r="G442" s="18"/>
      <c r="H442" s="18"/>
      <c r="I442" s="59"/>
    </row>
    <row r="443" spans="1:9" x14ac:dyDescent="0.25">
      <c r="A443" s="18" t="s">
        <v>36</v>
      </c>
      <c r="B443" s="289" t="s">
        <v>445</v>
      </c>
      <c r="C443" s="289"/>
      <c r="D443" s="289"/>
      <c r="E443" s="289"/>
      <c r="F443" s="18" t="s">
        <v>214</v>
      </c>
      <c r="G443" s="18">
        <v>52</v>
      </c>
      <c r="H443" s="18">
        <v>40</v>
      </c>
      <c r="I443" s="59">
        <v>2080</v>
      </c>
    </row>
    <row r="444" spans="1:9" x14ac:dyDescent="0.25">
      <c r="A444" s="18"/>
      <c r="B444" s="304"/>
      <c r="C444" s="266"/>
      <c r="D444" s="266"/>
      <c r="E444" s="305"/>
      <c r="F444" s="18"/>
      <c r="G444" s="18"/>
      <c r="H444" s="18"/>
      <c r="I444" s="59"/>
    </row>
    <row r="445" spans="1:9" x14ac:dyDescent="0.25">
      <c r="A445" s="18" t="s">
        <v>39</v>
      </c>
      <c r="B445" s="289" t="s">
        <v>371</v>
      </c>
      <c r="C445" s="289"/>
      <c r="D445" s="289"/>
      <c r="E445" s="289"/>
      <c r="F445" s="18" t="s">
        <v>216</v>
      </c>
      <c r="G445" s="18">
        <v>2</v>
      </c>
      <c r="H445" s="18">
        <v>85</v>
      </c>
      <c r="I445" s="59">
        <v>170</v>
      </c>
    </row>
    <row r="446" spans="1:9" x14ac:dyDescent="0.25">
      <c r="A446" s="18"/>
      <c r="B446" s="304"/>
      <c r="C446" s="266"/>
      <c r="D446" s="266"/>
      <c r="E446" s="305"/>
      <c r="F446" s="18"/>
      <c r="G446" s="18"/>
      <c r="H446" s="18"/>
      <c r="I446" s="59"/>
    </row>
    <row r="447" spans="1:9" x14ac:dyDescent="0.25">
      <c r="A447" s="18" t="s">
        <v>42</v>
      </c>
      <c r="B447" s="289" t="s">
        <v>372</v>
      </c>
      <c r="C447" s="289"/>
      <c r="D447" s="289"/>
      <c r="E447" s="289"/>
      <c r="F447" s="18" t="s">
        <v>216</v>
      </c>
      <c r="G447" s="18">
        <v>2</v>
      </c>
      <c r="H447" s="18">
        <v>57</v>
      </c>
      <c r="I447" s="59">
        <v>114</v>
      </c>
    </row>
    <row r="448" spans="1:9" x14ac:dyDescent="0.25">
      <c r="A448" s="18"/>
      <c r="B448" s="304"/>
      <c r="C448" s="266"/>
      <c r="D448" s="266"/>
      <c r="E448" s="305"/>
      <c r="F448" s="18"/>
      <c r="G448" s="18"/>
      <c r="H448" s="18"/>
      <c r="I448" s="59"/>
    </row>
    <row r="449" spans="1:9" x14ac:dyDescent="0.25">
      <c r="A449" s="18" t="s">
        <v>46</v>
      </c>
      <c r="B449" s="289" t="s">
        <v>170</v>
      </c>
      <c r="C449" s="289"/>
      <c r="D449" s="289"/>
      <c r="E449" s="289"/>
      <c r="F449" s="18" t="s">
        <v>216</v>
      </c>
      <c r="G449" s="18">
        <v>1</v>
      </c>
      <c r="H449" s="18">
        <v>2821</v>
      </c>
      <c r="I449" s="59">
        <v>2821</v>
      </c>
    </row>
    <row r="450" spans="1:9" x14ac:dyDescent="0.25">
      <c r="A450" s="18"/>
      <c r="B450" s="289" t="s">
        <v>171</v>
      </c>
      <c r="C450" s="289"/>
      <c r="D450" s="289"/>
      <c r="E450" s="289"/>
      <c r="F450" s="18"/>
      <c r="G450" s="18"/>
      <c r="H450" s="18"/>
      <c r="I450" s="59"/>
    </row>
    <row r="451" spans="1:9" x14ac:dyDescent="0.25">
      <c r="A451" s="18"/>
      <c r="B451" s="289" t="s">
        <v>172</v>
      </c>
      <c r="C451" s="289"/>
      <c r="D451" s="289"/>
      <c r="E451" s="289"/>
      <c r="F451" s="18"/>
      <c r="G451" s="18"/>
      <c r="H451" s="18"/>
      <c r="I451" s="59"/>
    </row>
    <row r="452" spans="1:9" x14ac:dyDescent="0.25">
      <c r="A452" s="18"/>
      <c r="B452" s="289" t="s">
        <v>373</v>
      </c>
      <c r="C452" s="289"/>
      <c r="D452" s="289"/>
      <c r="E452" s="289"/>
      <c r="F452" s="18"/>
      <c r="G452" s="18"/>
      <c r="H452" s="18"/>
      <c r="I452" s="59"/>
    </row>
    <row r="453" spans="1:9" x14ac:dyDescent="0.25">
      <c r="A453" s="18"/>
      <c r="B453" s="304"/>
      <c r="C453" s="266"/>
      <c r="D453" s="266"/>
      <c r="E453" s="305"/>
      <c r="F453" s="18"/>
      <c r="G453" s="18"/>
      <c r="H453" s="18"/>
      <c r="I453" s="59"/>
    </row>
    <row r="454" spans="1:9" x14ac:dyDescent="0.25">
      <c r="A454" s="18" t="s">
        <v>49</v>
      </c>
      <c r="B454" s="289" t="s">
        <v>173</v>
      </c>
      <c r="C454" s="289"/>
      <c r="D454" s="289"/>
      <c r="E454" s="289"/>
      <c r="F454" s="18" t="s">
        <v>216</v>
      </c>
      <c r="G454" s="18">
        <v>1</v>
      </c>
      <c r="H454" s="18">
        <v>12750</v>
      </c>
      <c r="I454" s="59">
        <v>12750</v>
      </c>
    </row>
    <row r="455" spans="1:9" x14ac:dyDescent="0.25">
      <c r="A455" s="18"/>
      <c r="B455" s="289" t="s">
        <v>374</v>
      </c>
      <c r="C455" s="289"/>
      <c r="D455" s="289"/>
      <c r="E455" s="289"/>
      <c r="F455" s="18"/>
      <c r="G455" s="18"/>
      <c r="H455" s="18"/>
      <c r="I455" s="59"/>
    </row>
    <row r="456" spans="1:9" x14ac:dyDescent="0.25">
      <c r="A456" s="18"/>
      <c r="B456" s="304"/>
      <c r="C456" s="266"/>
      <c r="D456" s="266"/>
      <c r="E456" s="305"/>
      <c r="F456" s="18"/>
      <c r="G456" s="18"/>
      <c r="H456" s="18"/>
      <c r="I456" s="59"/>
    </row>
    <row r="457" spans="1:9" x14ac:dyDescent="0.25">
      <c r="A457" s="18" t="s">
        <v>53</v>
      </c>
      <c r="B457" s="289" t="s">
        <v>174</v>
      </c>
      <c r="C457" s="289"/>
      <c r="D457" s="289"/>
      <c r="E457" s="289"/>
      <c r="F457" s="18" t="s">
        <v>216</v>
      </c>
      <c r="G457" s="18">
        <v>2</v>
      </c>
      <c r="H457" s="18">
        <v>1383</v>
      </c>
      <c r="I457" s="59">
        <v>2765</v>
      </c>
    </row>
    <row r="458" spans="1:9" x14ac:dyDescent="0.25">
      <c r="A458" s="18"/>
      <c r="B458" s="289" t="s">
        <v>175</v>
      </c>
      <c r="C458" s="289"/>
      <c r="D458" s="289"/>
      <c r="E458" s="289"/>
      <c r="F458" s="18"/>
      <c r="G458" s="18"/>
      <c r="H458" s="18"/>
      <c r="I458" s="59"/>
    </row>
    <row r="459" spans="1:9" x14ac:dyDescent="0.25">
      <c r="A459" s="18"/>
      <c r="B459" s="289" t="s">
        <v>176</v>
      </c>
      <c r="C459" s="289"/>
      <c r="D459" s="289"/>
      <c r="E459" s="289"/>
      <c r="F459" s="18"/>
      <c r="G459" s="18"/>
      <c r="H459" s="18"/>
      <c r="I459" s="59"/>
    </row>
    <row r="460" spans="1:9" x14ac:dyDescent="0.25">
      <c r="A460" s="18"/>
      <c r="B460" s="289" t="s">
        <v>177</v>
      </c>
      <c r="C460" s="289"/>
      <c r="D460" s="289"/>
      <c r="E460" s="289"/>
      <c r="F460" s="18"/>
      <c r="G460" s="18"/>
      <c r="H460" s="18"/>
      <c r="I460" s="59"/>
    </row>
    <row r="461" spans="1:9" x14ac:dyDescent="0.25">
      <c r="A461" s="18"/>
      <c r="B461" s="289" t="s">
        <v>178</v>
      </c>
      <c r="C461" s="289"/>
      <c r="D461" s="289"/>
      <c r="E461" s="289"/>
      <c r="F461" s="18"/>
      <c r="G461" s="18"/>
      <c r="H461" s="18"/>
      <c r="I461" s="59"/>
    </row>
    <row r="462" spans="1:9" x14ac:dyDescent="0.25">
      <c r="A462" s="18"/>
      <c r="B462" s="289" t="s">
        <v>179</v>
      </c>
      <c r="C462" s="289"/>
      <c r="D462" s="289"/>
      <c r="E462" s="289"/>
      <c r="F462" s="18"/>
      <c r="G462" s="18"/>
      <c r="H462" s="18"/>
      <c r="I462" s="59"/>
    </row>
    <row r="463" spans="1:9" x14ac:dyDescent="0.25">
      <c r="A463" s="18"/>
      <c r="B463" s="289" t="s">
        <v>375</v>
      </c>
      <c r="C463" s="289"/>
      <c r="D463" s="289"/>
      <c r="E463" s="289"/>
      <c r="F463" s="18"/>
      <c r="G463" s="18"/>
      <c r="H463" s="18"/>
      <c r="I463" s="59"/>
    </row>
    <row r="464" spans="1:9" x14ac:dyDescent="0.25">
      <c r="A464" s="18"/>
      <c r="B464" s="304"/>
      <c r="C464" s="266"/>
      <c r="D464" s="266"/>
      <c r="E464" s="305"/>
      <c r="F464" s="18"/>
      <c r="G464" s="18"/>
      <c r="H464" s="18"/>
      <c r="I464" s="59"/>
    </row>
    <row r="465" spans="1:9" x14ac:dyDescent="0.25">
      <c r="A465" s="18" t="s">
        <v>55</v>
      </c>
      <c r="B465" s="289" t="s">
        <v>180</v>
      </c>
      <c r="C465" s="289"/>
      <c r="D465" s="289"/>
      <c r="E465" s="289"/>
      <c r="F465" s="18" t="s">
        <v>216</v>
      </c>
      <c r="G465" s="18">
        <v>1</v>
      </c>
      <c r="H465" s="18">
        <v>170</v>
      </c>
      <c r="I465" s="59">
        <v>170</v>
      </c>
    </row>
    <row r="466" spans="1:9" x14ac:dyDescent="0.25">
      <c r="A466" s="18"/>
      <c r="B466" s="289" t="s">
        <v>376</v>
      </c>
      <c r="C466" s="289"/>
      <c r="D466" s="289"/>
      <c r="E466" s="289"/>
      <c r="F466" s="18"/>
      <c r="G466" s="18"/>
      <c r="H466" s="18"/>
      <c r="I466" s="59"/>
    </row>
    <row r="467" spans="1:9" x14ac:dyDescent="0.25">
      <c r="A467" s="18" t="s">
        <v>57</v>
      </c>
      <c r="B467" s="289" t="s">
        <v>181</v>
      </c>
      <c r="C467" s="289"/>
      <c r="D467" s="289"/>
      <c r="E467" s="289"/>
      <c r="F467" s="18" t="s">
        <v>216</v>
      </c>
      <c r="G467" s="18">
        <v>2</v>
      </c>
      <c r="H467" s="18">
        <v>170</v>
      </c>
      <c r="I467" s="59">
        <v>340</v>
      </c>
    </row>
    <row r="468" spans="1:9" x14ac:dyDescent="0.25">
      <c r="A468" s="18"/>
      <c r="B468" s="289" t="s">
        <v>182</v>
      </c>
      <c r="C468" s="289"/>
      <c r="D468" s="289"/>
      <c r="E468" s="289"/>
      <c r="F468" s="18"/>
      <c r="G468" s="18"/>
      <c r="H468" s="18"/>
      <c r="I468" s="59"/>
    </row>
    <row r="469" spans="1:9" x14ac:dyDescent="0.25">
      <c r="A469" s="18"/>
      <c r="B469" s="254" t="s">
        <v>377</v>
      </c>
      <c r="C469" s="228"/>
      <c r="D469" s="228"/>
      <c r="E469" s="229"/>
      <c r="F469" s="18"/>
      <c r="G469" s="18"/>
      <c r="H469" s="18"/>
      <c r="I469" s="59"/>
    </row>
    <row r="470" spans="1:9" x14ac:dyDescent="0.25">
      <c r="A470" s="18"/>
      <c r="B470" s="289"/>
      <c r="C470" s="289"/>
      <c r="D470" s="289"/>
      <c r="E470" s="289"/>
      <c r="F470" s="18"/>
      <c r="G470" s="18"/>
      <c r="H470" s="18"/>
      <c r="I470" s="59"/>
    </row>
    <row r="471" spans="1:9" x14ac:dyDescent="0.25">
      <c r="A471" s="18" t="s">
        <v>85</v>
      </c>
      <c r="B471" s="289" t="s">
        <v>183</v>
      </c>
      <c r="C471" s="289"/>
      <c r="D471" s="289"/>
      <c r="E471" s="289"/>
      <c r="F471" s="18" t="s">
        <v>216</v>
      </c>
      <c r="G471" s="18">
        <v>2</v>
      </c>
      <c r="H471" s="18">
        <v>775</v>
      </c>
      <c r="I471" s="59">
        <v>1550</v>
      </c>
    </row>
    <row r="472" spans="1:9" x14ac:dyDescent="0.25">
      <c r="A472" s="18"/>
      <c r="B472" s="289" t="s">
        <v>184</v>
      </c>
      <c r="C472" s="289"/>
      <c r="D472" s="289"/>
      <c r="E472" s="289"/>
      <c r="F472" s="18"/>
      <c r="G472" s="18"/>
      <c r="H472" s="18"/>
      <c r="I472" s="59"/>
    </row>
    <row r="473" spans="1:9" ht="15.75" thickBot="1" x14ac:dyDescent="0.3">
      <c r="A473" s="11"/>
      <c r="B473" s="301" t="s">
        <v>378</v>
      </c>
      <c r="C473" s="301"/>
      <c r="D473" s="301"/>
      <c r="E473" s="301"/>
      <c r="F473" s="11"/>
      <c r="G473" s="11"/>
      <c r="H473" s="11"/>
      <c r="I473" s="60"/>
    </row>
    <row r="474" spans="1:9" x14ac:dyDescent="0.25">
      <c r="A474" s="8" t="s">
        <v>86</v>
      </c>
      <c r="B474" s="306" t="s">
        <v>185</v>
      </c>
      <c r="C474" s="306"/>
      <c r="D474" s="306"/>
      <c r="E474" s="306"/>
      <c r="F474" s="8" t="s">
        <v>216</v>
      </c>
      <c r="G474" s="8">
        <v>2</v>
      </c>
      <c r="H474" s="8">
        <v>255</v>
      </c>
      <c r="I474" s="75">
        <v>510</v>
      </c>
    </row>
    <row r="475" spans="1:9" x14ac:dyDescent="0.25">
      <c r="A475" s="18"/>
      <c r="B475" s="289" t="s">
        <v>186</v>
      </c>
      <c r="C475" s="289"/>
      <c r="D475" s="289"/>
      <c r="E475" s="289"/>
      <c r="F475" s="18"/>
      <c r="G475" s="18"/>
      <c r="H475" s="18"/>
      <c r="I475" s="59"/>
    </row>
    <row r="476" spans="1:9" x14ac:dyDescent="0.25">
      <c r="A476" s="18"/>
      <c r="B476" s="289" t="s">
        <v>379</v>
      </c>
      <c r="C476" s="289"/>
      <c r="D476" s="289"/>
      <c r="E476" s="289"/>
      <c r="F476" s="18"/>
      <c r="G476" s="18"/>
      <c r="H476" s="18"/>
      <c r="I476" s="59"/>
    </row>
    <row r="477" spans="1:9" x14ac:dyDescent="0.25">
      <c r="A477" s="18"/>
      <c r="B477" s="304"/>
      <c r="C477" s="266"/>
      <c r="D477" s="266"/>
      <c r="E477" s="305"/>
      <c r="F477" s="18"/>
      <c r="G477" s="18"/>
      <c r="H477" s="18"/>
      <c r="I477" s="59"/>
    </row>
    <row r="478" spans="1:9" x14ac:dyDescent="0.25">
      <c r="A478" s="18" t="s">
        <v>96</v>
      </c>
      <c r="B478" s="289" t="s">
        <v>187</v>
      </c>
      <c r="C478" s="289"/>
      <c r="D478" s="289"/>
      <c r="E478" s="289"/>
      <c r="F478" s="18" t="s">
        <v>216</v>
      </c>
      <c r="G478" s="18">
        <v>6</v>
      </c>
      <c r="H478" s="18">
        <v>775</v>
      </c>
      <c r="I478" s="59">
        <v>4650</v>
      </c>
    </row>
    <row r="479" spans="1:9" x14ac:dyDescent="0.25">
      <c r="A479" s="18"/>
      <c r="B479" s="289" t="s">
        <v>188</v>
      </c>
      <c r="C479" s="289"/>
      <c r="D479" s="289"/>
      <c r="E479" s="289"/>
      <c r="F479" s="18"/>
      <c r="G479" s="18"/>
      <c r="H479" s="18"/>
      <c r="I479" s="59"/>
    </row>
    <row r="480" spans="1:9" x14ac:dyDescent="0.25">
      <c r="A480" s="18"/>
      <c r="B480" s="289" t="s">
        <v>189</v>
      </c>
      <c r="C480" s="289"/>
      <c r="D480" s="289"/>
      <c r="E480" s="289"/>
      <c r="F480" s="18"/>
      <c r="G480" s="18"/>
      <c r="H480" s="18"/>
      <c r="I480" s="59"/>
    </row>
    <row r="481" spans="1:9" x14ac:dyDescent="0.25">
      <c r="A481" s="18"/>
      <c r="B481" s="289" t="s">
        <v>190</v>
      </c>
      <c r="C481" s="289"/>
      <c r="D481" s="289"/>
      <c r="E481" s="289"/>
      <c r="F481" s="18"/>
      <c r="G481" s="18"/>
      <c r="H481" s="18"/>
      <c r="I481" s="59"/>
    </row>
    <row r="482" spans="1:9" x14ac:dyDescent="0.25">
      <c r="A482" s="18"/>
      <c r="B482" s="289" t="s">
        <v>201</v>
      </c>
      <c r="C482" s="289"/>
      <c r="D482" s="289"/>
      <c r="E482" s="289"/>
      <c r="F482" s="18"/>
      <c r="G482" s="18"/>
      <c r="H482" s="18"/>
      <c r="I482" s="59"/>
    </row>
    <row r="483" spans="1:9" x14ac:dyDescent="0.25">
      <c r="A483" s="18"/>
      <c r="B483" s="221" t="s">
        <v>380</v>
      </c>
      <c r="C483" s="221"/>
      <c r="D483" s="221"/>
      <c r="E483" s="221"/>
      <c r="F483" s="18"/>
      <c r="G483" s="18"/>
      <c r="H483" s="18"/>
      <c r="I483" s="59"/>
    </row>
    <row r="484" spans="1:9" x14ac:dyDescent="0.25">
      <c r="A484" s="18" t="s">
        <v>97</v>
      </c>
      <c r="B484" s="221" t="s">
        <v>191</v>
      </c>
      <c r="C484" s="221"/>
      <c r="D484" s="221"/>
      <c r="E484" s="221"/>
      <c r="F484" s="18" t="s">
        <v>216</v>
      </c>
      <c r="G484" s="18">
        <v>2</v>
      </c>
      <c r="H484" s="18">
        <v>110</v>
      </c>
      <c r="I484" s="59">
        <v>220</v>
      </c>
    </row>
    <row r="485" spans="1:9" x14ac:dyDescent="0.25">
      <c r="A485" s="18"/>
      <c r="B485" s="221" t="s">
        <v>192</v>
      </c>
      <c r="C485" s="221"/>
      <c r="D485" s="221"/>
      <c r="E485" s="221"/>
      <c r="F485" s="18"/>
      <c r="G485" s="18"/>
      <c r="H485" s="18"/>
      <c r="I485" s="59"/>
    </row>
    <row r="486" spans="1:9" x14ac:dyDescent="0.25">
      <c r="A486" s="18"/>
      <c r="B486" s="221" t="s">
        <v>381</v>
      </c>
      <c r="C486" s="221"/>
      <c r="D486" s="221"/>
      <c r="E486" s="221"/>
      <c r="F486" s="18"/>
      <c r="G486" s="18"/>
      <c r="H486" s="18"/>
      <c r="I486" s="59"/>
    </row>
    <row r="487" spans="1:9" x14ac:dyDescent="0.25">
      <c r="A487" s="18"/>
      <c r="B487" s="304"/>
      <c r="C487" s="266"/>
      <c r="D487" s="266"/>
      <c r="E487" s="305"/>
      <c r="F487" s="18"/>
      <c r="G487" s="18"/>
      <c r="H487" s="18"/>
      <c r="I487" s="59"/>
    </row>
    <row r="488" spans="1:9" x14ac:dyDescent="0.25">
      <c r="A488" s="18" t="s">
        <v>98</v>
      </c>
      <c r="B488" s="221" t="s">
        <v>193</v>
      </c>
      <c r="C488" s="221"/>
      <c r="D488" s="221"/>
      <c r="E488" s="221"/>
      <c r="F488" s="18" t="s">
        <v>216</v>
      </c>
      <c r="G488" s="18">
        <v>1</v>
      </c>
      <c r="H488" s="18">
        <v>775</v>
      </c>
      <c r="I488" s="59">
        <v>775</v>
      </c>
    </row>
    <row r="489" spans="1:9" x14ac:dyDescent="0.25">
      <c r="A489" s="18"/>
      <c r="B489" s="221" t="s">
        <v>194</v>
      </c>
      <c r="C489" s="221"/>
      <c r="D489" s="221"/>
      <c r="E489" s="221"/>
      <c r="F489" s="18"/>
      <c r="G489" s="18"/>
      <c r="H489" s="18"/>
      <c r="I489" s="59"/>
    </row>
    <row r="490" spans="1:9" x14ac:dyDescent="0.25">
      <c r="A490" s="18"/>
      <c r="B490" s="221" t="s">
        <v>195</v>
      </c>
      <c r="C490" s="221"/>
      <c r="D490" s="221"/>
      <c r="E490" s="221"/>
      <c r="F490" s="18"/>
      <c r="G490" s="18"/>
      <c r="H490" s="18"/>
      <c r="I490" s="59"/>
    </row>
    <row r="491" spans="1:9" x14ac:dyDescent="0.25">
      <c r="A491" s="18"/>
      <c r="B491" s="221" t="s">
        <v>196</v>
      </c>
      <c r="C491" s="221"/>
      <c r="D491" s="221"/>
      <c r="E491" s="221"/>
      <c r="F491" s="18"/>
      <c r="G491" s="18"/>
      <c r="H491" s="18"/>
      <c r="I491" s="59"/>
    </row>
    <row r="492" spans="1:9" x14ac:dyDescent="0.25">
      <c r="A492" s="18"/>
      <c r="B492" s="221" t="s">
        <v>382</v>
      </c>
      <c r="C492" s="221"/>
      <c r="D492" s="221"/>
      <c r="E492" s="221"/>
      <c r="F492" s="18"/>
      <c r="G492" s="18"/>
      <c r="H492" s="18"/>
      <c r="I492" s="59"/>
    </row>
    <row r="493" spans="1:9" x14ac:dyDescent="0.25">
      <c r="A493" s="18"/>
      <c r="B493" s="221"/>
      <c r="C493" s="221"/>
      <c r="D493" s="221"/>
      <c r="E493" s="221"/>
      <c r="F493" s="18"/>
      <c r="G493" s="18"/>
      <c r="H493" s="18"/>
      <c r="I493" s="59"/>
    </row>
    <row r="494" spans="1:9" x14ac:dyDescent="0.25">
      <c r="A494" s="18" t="s">
        <v>101</v>
      </c>
      <c r="B494" s="221" t="s">
        <v>197</v>
      </c>
      <c r="C494" s="221"/>
      <c r="D494" s="221"/>
      <c r="E494" s="221"/>
      <c r="F494" s="18" t="s">
        <v>216</v>
      </c>
      <c r="G494" s="18">
        <v>2</v>
      </c>
      <c r="H494" s="18">
        <v>2945</v>
      </c>
      <c r="I494" s="59">
        <v>5890</v>
      </c>
    </row>
    <row r="495" spans="1:9" x14ac:dyDescent="0.25">
      <c r="A495" s="18"/>
      <c r="B495" s="221" t="s">
        <v>198</v>
      </c>
      <c r="C495" s="221"/>
      <c r="D495" s="221"/>
      <c r="E495" s="221"/>
      <c r="F495" s="18"/>
      <c r="G495" s="18"/>
      <c r="H495" s="18"/>
      <c r="I495" s="59"/>
    </row>
    <row r="496" spans="1:9" x14ac:dyDescent="0.25">
      <c r="A496" s="18"/>
      <c r="B496" s="221" t="s">
        <v>199</v>
      </c>
      <c r="C496" s="221"/>
      <c r="D496" s="221"/>
      <c r="E496" s="221"/>
      <c r="F496" s="18"/>
      <c r="G496" s="18"/>
      <c r="H496" s="18"/>
      <c r="I496" s="59"/>
    </row>
    <row r="497" spans="1:9" x14ac:dyDescent="0.25">
      <c r="A497" s="18"/>
      <c r="B497" s="221" t="s">
        <v>200</v>
      </c>
      <c r="C497" s="221"/>
      <c r="D497" s="221"/>
      <c r="E497" s="221"/>
      <c r="F497" s="18"/>
      <c r="G497" s="18"/>
      <c r="H497" s="18"/>
      <c r="I497" s="59"/>
    </row>
    <row r="498" spans="1:9" ht="18.75" x14ac:dyDescent="0.35">
      <c r="A498" s="18"/>
      <c r="B498" s="221" t="s">
        <v>202</v>
      </c>
      <c r="C498" s="221"/>
      <c r="D498" s="221"/>
      <c r="E498" s="221"/>
      <c r="F498" s="18"/>
      <c r="G498" s="18"/>
      <c r="H498" s="18"/>
      <c r="I498" s="59"/>
    </row>
    <row r="499" spans="1:9" ht="18.75" x14ac:dyDescent="0.35">
      <c r="A499" s="18"/>
      <c r="B499" s="221" t="s">
        <v>383</v>
      </c>
      <c r="C499" s="221"/>
      <c r="D499" s="221"/>
      <c r="E499" s="221"/>
      <c r="F499" s="18"/>
      <c r="G499" s="18"/>
      <c r="H499" s="18"/>
      <c r="I499" s="59"/>
    </row>
    <row r="500" spans="1:9" x14ac:dyDescent="0.25">
      <c r="A500" s="18"/>
      <c r="B500" s="221"/>
      <c r="C500" s="221"/>
      <c r="D500" s="221"/>
      <c r="E500" s="221"/>
      <c r="F500" s="18"/>
      <c r="G500" s="18"/>
      <c r="H500" s="18"/>
      <c r="I500" s="59"/>
    </row>
    <row r="501" spans="1:9" x14ac:dyDescent="0.25">
      <c r="A501" s="18" t="s">
        <v>102</v>
      </c>
      <c r="B501" s="221" t="s">
        <v>203</v>
      </c>
      <c r="C501" s="221"/>
      <c r="D501" s="221"/>
      <c r="E501" s="221"/>
      <c r="F501" s="18" t="s">
        <v>216</v>
      </c>
      <c r="G501" s="18">
        <v>2</v>
      </c>
      <c r="H501" s="18">
        <v>3100</v>
      </c>
      <c r="I501" s="59">
        <v>6200</v>
      </c>
    </row>
    <row r="502" spans="1:9" x14ac:dyDescent="0.25">
      <c r="A502" s="18"/>
      <c r="B502" s="221" t="s">
        <v>204</v>
      </c>
      <c r="C502" s="221"/>
      <c r="D502" s="221"/>
      <c r="E502" s="221"/>
      <c r="F502" s="18"/>
      <c r="G502" s="18"/>
      <c r="H502" s="18"/>
      <c r="I502" s="59"/>
    </row>
    <row r="503" spans="1:9" x14ac:dyDescent="0.25">
      <c r="A503" s="18"/>
      <c r="B503" s="221" t="s">
        <v>205</v>
      </c>
      <c r="C503" s="221"/>
      <c r="D503" s="221"/>
      <c r="E503" s="221"/>
      <c r="F503" s="18"/>
      <c r="G503" s="18"/>
      <c r="H503" s="18"/>
      <c r="I503" s="59"/>
    </row>
    <row r="504" spans="1:9" x14ac:dyDescent="0.25">
      <c r="A504" s="18"/>
      <c r="B504" s="221" t="s">
        <v>206</v>
      </c>
      <c r="C504" s="221"/>
      <c r="D504" s="221"/>
      <c r="E504" s="221"/>
      <c r="F504" s="18"/>
      <c r="G504" s="18"/>
      <c r="H504" s="18"/>
      <c r="I504" s="59"/>
    </row>
    <row r="505" spans="1:9" x14ac:dyDescent="0.25">
      <c r="A505" s="18"/>
      <c r="B505" s="221" t="s">
        <v>207</v>
      </c>
      <c r="C505" s="221"/>
      <c r="D505" s="221"/>
      <c r="E505" s="221"/>
      <c r="F505" s="18"/>
      <c r="G505" s="18"/>
      <c r="H505" s="18"/>
      <c r="I505" s="59"/>
    </row>
    <row r="506" spans="1:9" x14ac:dyDescent="0.25">
      <c r="A506" s="18"/>
      <c r="B506" s="221" t="s">
        <v>208</v>
      </c>
      <c r="C506" s="221"/>
      <c r="D506" s="221"/>
      <c r="E506" s="221"/>
      <c r="F506" s="18"/>
      <c r="G506" s="18"/>
      <c r="H506" s="18"/>
      <c r="I506" s="59"/>
    </row>
    <row r="507" spans="1:9" x14ac:dyDescent="0.25">
      <c r="A507" s="18"/>
      <c r="B507" s="221"/>
      <c r="C507" s="221"/>
      <c r="D507" s="221"/>
      <c r="E507" s="221"/>
      <c r="F507" s="18"/>
      <c r="G507" s="18"/>
      <c r="H507" s="18"/>
      <c r="I507" s="59"/>
    </row>
    <row r="508" spans="1:9" x14ac:dyDescent="0.25">
      <c r="A508" s="18"/>
      <c r="B508" s="221"/>
      <c r="C508" s="221"/>
      <c r="D508" s="221"/>
      <c r="E508" s="221"/>
      <c r="F508" s="18"/>
      <c r="G508" s="18"/>
      <c r="H508" s="18"/>
      <c r="I508" s="59"/>
    </row>
    <row r="509" spans="1:9" x14ac:dyDescent="0.25">
      <c r="A509" s="18"/>
      <c r="B509" s="221"/>
      <c r="C509" s="221"/>
      <c r="D509" s="221"/>
      <c r="E509" s="221"/>
      <c r="F509" s="18"/>
      <c r="G509" s="18"/>
      <c r="H509" s="18"/>
      <c r="I509" s="59"/>
    </row>
    <row r="510" spans="1:9" ht="15.75" thickBot="1" x14ac:dyDescent="0.3">
      <c r="A510" s="18"/>
      <c r="B510" s="221"/>
      <c r="C510" s="221"/>
      <c r="D510" s="221"/>
      <c r="E510" s="221"/>
      <c r="F510" s="18"/>
      <c r="G510" s="18"/>
      <c r="H510" s="18"/>
      <c r="I510" s="59"/>
    </row>
    <row r="511" spans="1:9" x14ac:dyDescent="0.25">
      <c r="A511" s="40"/>
      <c r="B511" s="307"/>
      <c r="C511" s="307"/>
      <c r="D511" s="307"/>
      <c r="E511" s="307"/>
      <c r="F511" s="307"/>
      <c r="G511" s="307"/>
      <c r="H511" s="308"/>
      <c r="I511" s="83">
        <f>SUM(I441:I501)</f>
        <v>42769</v>
      </c>
    </row>
    <row r="512" spans="1:9" x14ac:dyDescent="0.25">
      <c r="A512" s="16"/>
      <c r="B512" s="226" t="s">
        <v>210</v>
      </c>
      <c r="C512" s="226"/>
      <c r="D512" s="226"/>
      <c r="E512" s="226"/>
      <c r="F512" s="226"/>
      <c r="G512" s="226"/>
      <c r="H512" s="227"/>
      <c r="I512" s="76"/>
    </row>
    <row r="513" spans="1:9" x14ac:dyDescent="0.25">
      <c r="A513" s="16"/>
      <c r="B513" s="226"/>
      <c r="C513" s="226"/>
      <c r="D513" s="226"/>
      <c r="E513" s="226"/>
      <c r="F513" s="226"/>
      <c r="G513" s="226"/>
      <c r="H513" s="227"/>
      <c r="I513" s="76"/>
    </row>
    <row r="514" spans="1:9" x14ac:dyDescent="0.25">
      <c r="A514" s="16"/>
      <c r="B514" s="226" t="s">
        <v>6</v>
      </c>
      <c r="C514" s="226"/>
      <c r="D514" s="226"/>
      <c r="E514" s="226"/>
      <c r="F514" s="226"/>
      <c r="G514" s="226"/>
      <c r="H514" s="227"/>
      <c r="I514" s="76"/>
    </row>
    <row r="515" spans="1:9" x14ac:dyDescent="0.25">
      <c r="A515" s="16"/>
      <c r="B515" s="226"/>
      <c r="C515" s="226"/>
      <c r="D515" s="226"/>
      <c r="E515" s="226"/>
      <c r="F515" s="226"/>
      <c r="G515" s="226"/>
      <c r="H515" s="227"/>
      <c r="I515" s="76"/>
    </row>
    <row r="516" spans="1:9" x14ac:dyDescent="0.25">
      <c r="A516" s="16"/>
      <c r="B516" s="226" t="s">
        <v>211</v>
      </c>
      <c r="C516" s="226"/>
      <c r="D516" s="226"/>
      <c r="E516" s="226"/>
      <c r="F516" s="226"/>
      <c r="G516" s="226"/>
      <c r="H516" s="227"/>
      <c r="I516" s="76"/>
    </row>
    <row r="517" spans="1:9" x14ac:dyDescent="0.25">
      <c r="A517" s="16"/>
      <c r="B517" s="226"/>
      <c r="C517" s="226"/>
      <c r="D517" s="226"/>
      <c r="E517" s="226"/>
      <c r="F517" s="226"/>
      <c r="G517" s="226"/>
      <c r="H517" s="227"/>
      <c r="I517" s="76"/>
    </row>
    <row r="518" spans="1:9" ht="15.75" thickBot="1" x14ac:dyDescent="0.3">
      <c r="A518" s="17"/>
      <c r="B518" s="219"/>
      <c r="C518" s="219"/>
      <c r="D518" s="219"/>
      <c r="E518" s="219"/>
      <c r="F518" s="219"/>
      <c r="G518" s="219"/>
      <c r="H518" s="220"/>
      <c r="I518" s="77"/>
    </row>
    <row r="519" spans="1:9" x14ac:dyDescent="0.25">
      <c r="A519" s="7"/>
      <c r="B519" s="56"/>
      <c r="C519" s="56"/>
      <c r="D519" s="56"/>
      <c r="E519" s="56"/>
      <c r="F519" s="56"/>
      <c r="G519" s="56"/>
      <c r="H519" s="56"/>
      <c r="I519" s="81"/>
    </row>
    <row r="520" spans="1:9" x14ac:dyDescent="0.25">
      <c r="A520" s="7"/>
      <c r="B520" s="56"/>
      <c r="C520" s="56"/>
      <c r="D520" s="56"/>
      <c r="E520" s="56"/>
      <c r="F520" s="56"/>
      <c r="G520" s="56"/>
      <c r="H520" s="56"/>
      <c r="I520" s="81"/>
    </row>
    <row r="521" spans="1:9" x14ac:dyDescent="0.25">
      <c r="A521" s="7"/>
      <c r="B521" s="56"/>
      <c r="C521" s="56"/>
      <c r="D521" s="56"/>
      <c r="E521" s="56"/>
      <c r="F521" s="56"/>
      <c r="G521" s="56"/>
      <c r="H521" s="56"/>
      <c r="I521" s="81"/>
    </row>
    <row r="522" spans="1:9" x14ac:dyDescent="0.25">
      <c r="A522" s="7"/>
      <c r="B522" s="56"/>
      <c r="C522" s="56"/>
      <c r="D522" s="56"/>
      <c r="E522" s="56"/>
      <c r="F522" s="56"/>
      <c r="G522" s="56"/>
      <c r="H522" s="56"/>
      <c r="I522" s="81"/>
    </row>
    <row r="523" spans="1:9" x14ac:dyDescent="0.25">
      <c r="A523" s="7"/>
      <c r="B523" s="56"/>
      <c r="C523" s="56"/>
      <c r="D523" s="56"/>
      <c r="E523" s="56"/>
      <c r="F523" s="56"/>
      <c r="G523" s="56"/>
      <c r="H523" s="56"/>
      <c r="I523" s="81"/>
    </row>
    <row r="524" spans="1:9" x14ac:dyDescent="0.25">
      <c r="A524" s="7"/>
      <c r="B524" s="56"/>
      <c r="C524" s="56"/>
      <c r="D524" s="56"/>
      <c r="E524" s="56"/>
      <c r="F524" s="56"/>
      <c r="G524" s="56"/>
      <c r="H524" s="56"/>
      <c r="I524" s="81"/>
    </row>
    <row r="525" spans="1:9" x14ac:dyDescent="0.25">
      <c r="I525" s="67"/>
    </row>
    <row r="526" spans="1:9" ht="15.75" thickBot="1" x14ac:dyDescent="0.3">
      <c r="I526" s="67"/>
    </row>
    <row r="527" spans="1:9" ht="15.75" thickBot="1" x14ac:dyDescent="0.3">
      <c r="A527" s="38" t="s">
        <v>0</v>
      </c>
      <c r="B527" s="280" t="s">
        <v>1</v>
      </c>
      <c r="C527" s="280"/>
      <c r="D527" s="280"/>
      <c r="E527" s="280"/>
      <c r="F527" s="38" t="s">
        <v>24</v>
      </c>
      <c r="G527" s="38" t="s">
        <v>2</v>
      </c>
      <c r="H527" s="38" t="s">
        <v>3</v>
      </c>
      <c r="I527" s="74" t="s">
        <v>4</v>
      </c>
    </row>
    <row r="528" spans="1:9" x14ac:dyDescent="0.25">
      <c r="A528" s="41"/>
      <c r="B528" s="224"/>
      <c r="C528" s="224"/>
      <c r="D528" s="224"/>
      <c r="E528" s="224"/>
      <c r="F528" s="41"/>
      <c r="G528" s="41"/>
      <c r="H528" s="41"/>
      <c r="I528" s="79"/>
    </row>
    <row r="529" spans="1:9" x14ac:dyDescent="0.25">
      <c r="A529" s="41"/>
      <c r="B529" s="224" t="s">
        <v>212</v>
      </c>
      <c r="C529" s="224"/>
      <c r="D529" s="224"/>
      <c r="E529" s="224"/>
      <c r="F529" s="41"/>
      <c r="G529" s="41"/>
      <c r="H529" s="41"/>
      <c r="I529" s="79"/>
    </row>
    <row r="530" spans="1:9" x14ac:dyDescent="0.25">
      <c r="A530" s="18"/>
      <c r="B530" s="225"/>
      <c r="C530" s="225"/>
      <c r="D530" s="225"/>
      <c r="E530" s="225"/>
      <c r="F530" s="18"/>
      <c r="G530" s="18"/>
      <c r="H530" s="18"/>
      <c r="I530" s="59"/>
    </row>
    <row r="531" spans="1:9" x14ac:dyDescent="0.25">
      <c r="A531" s="18" t="s">
        <v>30</v>
      </c>
      <c r="B531" s="221" t="s">
        <v>213</v>
      </c>
      <c r="C531" s="221"/>
      <c r="D531" s="221"/>
      <c r="E531" s="221"/>
      <c r="F531" s="18" t="s">
        <v>214</v>
      </c>
      <c r="G531" s="18">
        <v>26</v>
      </c>
      <c r="H531" s="18">
        <v>40</v>
      </c>
      <c r="I531" s="59">
        <v>1040</v>
      </c>
    </row>
    <row r="532" spans="1:9" x14ac:dyDescent="0.25">
      <c r="A532" s="18"/>
      <c r="B532" s="221" t="s">
        <v>384</v>
      </c>
      <c r="C532" s="221"/>
      <c r="D532" s="221"/>
      <c r="E532" s="221"/>
      <c r="F532" s="18"/>
      <c r="G532" s="18"/>
      <c r="H532" s="18"/>
      <c r="I532" s="59"/>
    </row>
    <row r="533" spans="1:9" x14ac:dyDescent="0.25">
      <c r="A533" s="18"/>
      <c r="B533" s="221"/>
      <c r="C533" s="221"/>
      <c r="D533" s="221"/>
      <c r="E533" s="221"/>
      <c r="F533" s="18"/>
      <c r="G533" s="18"/>
      <c r="H533" s="18"/>
      <c r="I533" s="59"/>
    </row>
    <row r="534" spans="1:9" x14ac:dyDescent="0.25">
      <c r="A534" s="18" t="s">
        <v>36</v>
      </c>
      <c r="B534" s="221" t="s">
        <v>215</v>
      </c>
      <c r="C534" s="221"/>
      <c r="D534" s="221"/>
      <c r="E534" s="221"/>
      <c r="F534" s="18" t="s">
        <v>216</v>
      </c>
      <c r="G534" s="18">
        <v>5</v>
      </c>
      <c r="H534" s="18">
        <v>16</v>
      </c>
      <c r="I534" s="59">
        <v>80</v>
      </c>
    </row>
    <row r="535" spans="1:9" x14ac:dyDescent="0.25">
      <c r="A535" s="18"/>
      <c r="B535" s="221" t="s">
        <v>385</v>
      </c>
      <c r="C535" s="221"/>
      <c r="D535" s="221"/>
      <c r="E535" s="221"/>
      <c r="F535" s="18"/>
      <c r="G535" s="18"/>
      <c r="H535" s="18"/>
      <c r="I535" s="59"/>
    </row>
    <row r="536" spans="1:9" x14ac:dyDescent="0.25">
      <c r="A536" s="18"/>
      <c r="B536" s="221"/>
      <c r="C536" s="221"/>
      <c r="D536" s="221"/>
      <c r="E536" s="221"/>
      <c r="F536" s="18"/>
      <c r="G536" s="18"/>
      <c r="H536" s="18"/>
      <c r="I536" s="59"/>
    </row>
    <row r="537" spans="1:9" x14ac:dyDescent="0.25">
      <c r="A537" s="18" t="s">
        <v>39</v>
      </c>
      <c r="B537" s="221" t="s">
        <v>386</v>
      </c>
      <c r="C537" s="221"/>
      <c r="D537" s="221"/>
      <c r="E537" s="221"/>
      <c r="F537" s="18" t="s">
        <v>214</v>
      </c>
      <c r="G537" s="18">
        <v>24</v>
      </c>
      <c r="H537" s="18">
        <v>113</v>
      </c>
      <c r="I537" s="59">
        <f>G537*H537</f>
        <v>2712</v>
      </c>
    </row>
    <row r="538" spans="1:9" x14ac:dyDescent="0.25">
      <c r="A538" s="18"/>
      <c r="B538" s="221"/>
      <c r="C538" s="221"/>
      <c r="D538" s="221"/>
      <c r="E538" s="221"/>
      <c r="F538" s="18"/>
      <c r="G538" s="18"/>
      <c r="H538" s="18"/>
      <c r="I538" s="59"/>
    </row>
    <row r="539" spans="1:9" x14ac:dyDescent="0.25">
      <c r="A539" s="18" t="s">
        <v>42</v>
      </c>
      <c r="B539" s="221" t="s">
        <v>225</v>
      </c>
      <c r="C539" s="221"/>
      <c r="D539" s="221"/>
      <c r="E539" s="221"/>
      <c r="F539" s="18" t="s">
        <v>216</v>
      </c>
      <c r="G539" s="18">
        <v>6</v>
      </c>
      <c r="H539" s="18">
        <v>465</v>
      </c>
      <c r="I539" s="59">
        <v>2790</v>
      </c>
    </row>
    <row r="540" spans="1:9" x14ac:dyDescent="0.25">
      <c r="A540" s="18"/>
      <c r="B540" s="221" t="s">
        <v>217</v>
      </c>
      <c r="C540" s="221"/>
      <c r="D540" s="221"/>
      <c r="E540" s="221"/>
      <c r="F540" s="18"/>
      <c r="G540" s="18"/>
      <c r="H540" s="18"/>
      <c r="I540" s="59"/>
    </row>
    <row r="541" spans="1:9" x14ac:dyDescent="0.25">
      <c r="A541" s="18"/>
      <c r="B541" s="221" t="s">
        <v>387</v>
      </c>
      <c r="C541" s="221"/>
      <c r="D541" s="221"/>
      <c r="E541" s="221"/>
      <c r="F541" s="18"/>
      <c r="G541" s="18"/>
      <c r="H541" s="18"/>
      <c r="I541" s="59"/>
    </row>
    <row r="542" spans="1:9" x14ac:dyDescent="0.25">
      <c r="A542" s="18"/>
      <c r="B542" s="221"/>
      <c r="C542" s="221"/>
      <c r="D542" s="221"/>
      <c r="E542" s="221"/>
      <c r="F542" s="18"/>
      <c r="G542" s="18"/>
      <c r="H542" s="18"/>
      <c r="I542" s="59"/>
    </row>
    <row r="543" spans="1:9" x14ac:dyDescent="0.25">
      <c r="A543" s="18" t="s">
        <v>46</v>
      </c>
      <c r="B543" s="221" t="s">
        <v>218</v>
      </c>
      <c r="C543" s="221"/>
      <c r="D543" s="221"/>
      <c r="E543" s="221"/>
      <c r="F543" s="18" t="s">
        <v>216</v>
      </c>
      <c r="G543" s="18">
        <v>1</v>
      </c>
      <c r="H543" s="18">
        <v>7750</v>
      </c>
      <c r="I543" s="59">
        <v>7750</v>
      </c>
    </row>
    <row r="544" spans="1:9" x14ac:dyDescent="0.25">
      <c r="A544" s="18"/>
      <c r="B544" s="221" t="s">
        <v>388</v>
      </c>
      <c r="C544" s="221"/>
      <c r="D544" s="221"/>
      <c r="E544" s="221"/>
      <c r="F544" s="18"/>
      <c r="G544" s="18"/>
      <c r="H544" s="18"/>
      <c r="I544" s="59"/>
    </row>
    <row r="545" spans="1:9" x14ac:dyDescent="0.25">
      <c r="A545" s="18"/>
      <c r="B545" s="221"/>
      <c r="C545" s="221"/>
      <c r="D545" s="221"/>
      <c r="E545" s="221"/>
      <c r="F545" s="18"/>
      <c r="G545" s="18"/>
      <c r="H545" s="18"/>
      <c r="I545" s="59"/>
    </row>
    <row r="546" spans="1:9" x14ac:dyDescent="0.25">
      <c r="A546" s="18" t="s">
        <v>49</v>
      </c>
      <c r="B546" s="221" t="s">
        <v>219</v>
      </c>
      <c r="C546" s="221"/>
      <c r="D546" s="221"/>
      <c r="E546" s="221"/>
      <c r="F546" s="18" t="s">
        <v>216</v>
      </c>
      <c r="G546" s="18">
        <v>1</v>
      </c>
      <c r="H546" s="18">
        <v>1550</v>
      </c>
      <c r="I546" s="59">
        <v>1550</v>
      </c>
    </row>
    <row r="547" spans="1:9" x14ac:dyDescent="0.25">
      <c r="A547" s="18"/>
      <c r="B547" s="221" t="s">
        <v>226</v>
      </c>
      <c r="C547" s="221"/>
      <c r="D547" s="221"/>
      <c r="E547" s="221"/>
      <c r="F547" s="18"/>
      <c r="G547" s="18"/>
      <c r="H547" s="18"/>
      <c r="I547" s="59"/>
    </row>
    <row r="548" spans="1:9" x14ac:dyDescent="0.25">
      <c r="A548" s="18"/>
      <c r="B548" s="221" t="s">
        <v>220</v>
      </c>
      <c r="C548" s="221"/>
      <c r="D548" s="221"/>
      <c r="E548" s="221"/>
      <c r="F548" s="18"/>
      <c r="G548" s="18"/>
      <c r="H548" s="18"/>
      <c r="I548" s="59"/>
    </row>
    <row r="549" spans="1:9" x14ac:dyDescent="0.25">
      <c r="A549" s="18"/>
      <c r="B549" s="221" t="s">
        <v>221</v>
      </c>
      <c r="C549" s="221"/>
      <c r="D549" s="221"/>
      <c r="E549" s="221"/>
      <c r="F549" s="18"/>
      <c r="G549" s="18"/>
      <c r="H549" s="18"/>
      <c r="I549" s="59"/>
    </row>
    <row r="550" spans="1:9" x14ac:dyDescent="0.25">
      <c r="A550" s="18"/>
      <c r="B550" s="221" t="s">
        <v>222</v>
      </c>
      <c r="C550" s="221"/>
      <c r="D550" s="221"/>
      <c r="E550" s="221"/>
      <c r="F550" s="18"/>
      <c r="G550" s="18"/>
      <c r="H550" s="18"/>
      <c r="I550" s="59"/>
    </row>
    <row r="551" spans="1:9" x14ac:dyDescent="0.25">
      <c r="A551" s="18"/>
      <c r="B551" s="221" t="s">
        <v>223</v>
      </c>
      <c r="C551" s="221"/>
      <c r="D551" s="221"/>
      <c r="E551" s="221"/>
      <c r="F551" s="18"/>
      <c r="G551" s="18"/>
      <c r="H551" s="18"/>
      <c r="I551" s="59"/>
    </row>
    <row r="552" spans="1:9" x14ac:dyDescent="0.25">
      <c r="A552" s="18"/>
      <c r="B552" s="221" t="s">
        <v>389</v>
      </c>
      <c r="C552" s="221"/>
      <c r="D552" s="221"/>
      <c r="E552" s="221"/>
      <c r="F552" s="18"/>
      <c r="G552" s="18"/>
      <c r="H552" s="18"/>
      <c r="I552" s="59"/>
    </row>
    <row r="553" spans="1:9" x14ac:dyDescent="0.25">
      <c r="A553" s="18"/>
      <c r="B553" s="221"/>
      <c r="C553" s="221"/>
      <c r="D553" s="221"/>
      <c r="E553" s="221"/>
      <c r="F553" s="18"/>
      <c r="G553" s="18"/>
      <c r="H553" s="18"/>
      <c r="I553" s="59"/>
    </row>
    <row r="554" spans="1:9" x14ac:dyDescent="0.25">
      <c r="A554" s="18" t="s">
        <v>53</v>
      </c>
      <c r="B554" s="221" t="s">
        <v>390</v>
      </c>
      <c r="C554" s="221"/>
      <c r="D554" s="221"/>
      <c r="E554" s="221"/>
      <c r="F554" s="18" t="s">
        <v>216</v>
      </c>
      <c r="G554" s="18">
        <v>2</v>
      </c>
      <c r="H554" s="18">
        <v>142</v>
      </c>
      <c r="I554" s="59">
        <v>284</v>
      </c>
    </row>
    <row r="555" spans="1:9" x14ac:dyDescent="0.25">
      <c r="A555" s="18"/>
      <c r="B555" s="221"/>
      <c r="C555" s="221"/>
      <c r="D555" s="221"/>
      <c r="E555" s="221"/>
      <c r="F555" s="18"/>
      <c r="G555" s="18"/>
      <c r="H555" s="18"/>
      <c r="I555" s="59"/>
    </row>
    <row r="556" spans="1:9" x14ac:dyDescent="0.25">
      <c r="A556" s="18" t="s">
        <v>55</v>
      </c>
      <c r="B556" s="221" t="s">
        <v>224</v>
      </c>
      <c r="C556" s="221"/>
      <c r="D556" s="221"/>
      <c r="E556" s="221"/>
      <c r="F556" s="18" t="s">
        <v>216</v>
      </c>
      <c r="G556" s="18">
        <v>4</v>
      </c>
      <c r="H556" s="18">
        <v>85</v>
      </c>
      <c r="I556" s="59">
        <v>340</v>
      </c>
    </row>
    <row r="557" spans="1:9" x14ac:dyDescent="0.25">
      <c r="A557" s="18"/>
      <c r="B557" s="221" t="s">
        <v>208</v>
      </c>
      <c r="C557" s="221"/>
      <c r="D557" s="221"/>
      <c r="E557" s="221"/>
      <c r="F557" s="18"/>
      <c r="G557" s="18"/>
      <c r="H557" s="18"/>
      <c r="I557" s="59"/>
    </row>
    <row r="558" spans="1:9" x14ac:dyDescent="0.25">
      <c r="A558" s="18"/>
      <c r="B558" s="221"/>
      <c r="C558" s="221"/>
      <c r="D558" s="221"/>
      <c r="E558" s="221"/>
      <c r="F558" s="18"/>
      <c r="G558" s="18"/>
      <c r="H558" s="18"/>
      <c r="I558" s="59"/>
    </row>
    <row r="559" spans="1:9" x14ac:dyDescent="0.25">
      <c r="A559" s="18" t="s">
        <v>57</v>
      </c>
      <c r="B559" s="221" t="s">
        <v>391</v>
      </c>
      <c r="C559" s="221"/>
      <c r="D559" s="221"/>
      <c r="E559" s="221"/>
      <c r="F559" s="18" t="s">
        <v>216</v>
      </c>
      <c r="G559" s="18">
        <v>2</v>
      </c>
      <c r="H559" s="18">
        <v>148</v>
      </c>
      <c r="I559" s="59">
        <v>296</v>
      </c>
    </row>
    <row r="560" spans="1:9" ht="15.75" thickBot="1" x14ac:dyDescent="0.3">
      <c r="A560" s="18"/>
      <c r="B560" s="221"/>
      <c r="C560" s="221"/>
      <c r="D560" s="221"/>
      <c r="E560" s="221"/>
      <c r="F560" s="18"/>
      <c r="G560" s="18"/>
      <c r="H560" s="18"/>
      <c r="I560" s="59"/>
    </row>
    <row r="561" spans="1:9" x14ac:dyDescent="0.25">
      <c r="A561" s="19"/>
      <c r="B561" s="307"/>
      <c r="C561" s="307"/>
      <c r="D561" s="307"/>
      <c r="E561" s="307"/>
      <c r="F561" s="307"/>
      <c r="G561" s="307"/>
      <c r="H561" s="308"/>
      <c r="I561" s="83">
        <f>SUM(I531:I559)</f>
        <v>16842</v>
      </c>
    </row>
    <row r="562" spans="1:9" x14ac:dyDescent="0.25">
      <c r="A562" s="16"/>
      <c r="B562" s="226" t="s">
        <v>227</v>
      </c>
      <c r="C562" s="226"/>
      <c r="D562" s="226"/>
      <c r="E562" s="226"/>
      <c r="F562" s="226"/>
      <c r="G562" s="226"/>
      <c r="H562" s="227"/>
      <c r="I562" s="59"/>
    </row>
    <row r="563" spans="1:9" x14ac:dyDescent="0.25">
      <c r="A563" s="16"/>
      <c r="B563" s="226"/>
      <c r="C563" s="226"/>
      <c r="D563" s="226"/>
      <c r="E563" s="226"/>
      <c r="F563" s="226"/>
      <c r="G563" s="226"/>
      <c r="H563" s="227"/>
      <c r="I563" s="59"/>
    </row>
    <row r="564" spans="1:9" x14ac:dyDescent="0.25">
      <c r="A564" s="16"/>
      <c r="B564" s="226" t="s">
        <v>6</v>
      </c>
      <c r="C564" s="226"/>
      <c r="D564" s="226"/>
      <c r="E564" s="226"/>
      <c r="F564" s="226"/>
      <c r="G564" s="226"/>
      <c r="H564" s="227"/>
      <c r="I564" s="59"/>
    </row>
    <row r="565" spans="1:9" x14ac:dyDescent="0.25">
      <c r="A565" s="16"/>
      <c r="B565" s="226"/>
      <c r="C565" s="226"/>
      <c r="D565" s="226"/>
      <c r="E565" s="226"/>
      <c r="F565" s="226"/>
      <c r="G565" s="226"/>
      <c r="H565" s="227"/>
      <c r="I565" s="59"/>
    </row>
    <row r="566" spans="1:9" x14ac:dyDescent="0.25">
      <c r="A566" s="16"/>
      <c r="B566" s="226" t="s">
        <v>211</v>
      </c>
      <c r="C566" s="226"/>
      <c r="D566" s="226"/>
      <c r="E566" s="226"/>
      <c r="F566" s="226"/>
      <c r="G566" s="226"/>
      <c r="H566" s="227"/>
      <c r="I566" s="59"/>
    </row>
    <row r="567" spans="1:9" ht="15.75" thickBot="1" x14ac:dyDescent="0.3">
      <c r="A567" s="17"/>
      <c r="B567" s="263"/>
      <c r="C567" s="263"/>
      <c r="D567" s="263"/>
      <c r="E567" s="263"/>
      <c r="F567" s="263"/>
      <c r="G567" s="263"/>
      <c r="H567" s="273"/>
      <c r="I567" s="60"/>
    </row>
    <row r="568" spans="1:9" x14ac:dyDescent="0.25">
      <c r="I568" s="67"/>
    </row>
    <row r="569" spans="1:9" x14ac:dyDescent="0.25">
      <c r="I569" s="67"/>
    </row>
    <row r="570" spans="1:9" x14ac:dyDescent="0.25">
      <c r="I570" s="67"/>
    </row>
    <row r="571" spans="1:9" x14ac:dyDescent="0.25">
      <c r="I571" s="67"/>
    </row>
    <row r="572" spans="1:9" x14ac:dyDescent="0.25">
      <c r="A572" s="7"/>
      <c r="B572" s="7"/>
      <c r="C572" s="7"/>
      <c r="D572" s="7"/>
      <c r="E572" s="7"/>
      <c r="F572" s="7"/>
      <c r="G572" s="7"/>
      <c r="H572" s="7"/>
      <c r="I572" s="81"/>
    </row>
    <row r="573" spans="1:9" x14ac:dyDescent="0.25">
      <c r="A573" s="47"/>
      <c r="B573" s="243"/>
      <c r="C573" s="243"/>
      <c r="D573" s="243"/>
      <c r="E573" s="243"/>
      <c r="F573" s="47"/>
      <c r="G573" s="47"/>
      <c r="H573" s="47"/>
      <c r="I573" s="84"/>
    </row>
    <row r="574" spans="1:9" x14ac:dyDescent="0.25">
      <c r="A574" s="7"/>
      <c r="B574" s="266"/>
      <c r="C574" s="266"/>
      <c r="D574" s="266"/>
      <c r="E574" s="266"/>
      <c r="F574" s="7"/>
      <c r="G574" s="7"/>
      <c r="H574" s="7"/>
      <c r="I574" s="81"/>
    </row>
    <row r="575" spans="1:9" x14ac:dyDescent="0.25">
      <c r="A575" s="7"/>
      <c r="B575" s="243"/>
      <c r="C575" s="243"/>
      <c r="D575" s="243"/>
      <c r="E575" s="243"/>
      <c r="F575" s="7"/>
      <c r="G575" s="7"/>
      <c r="H575" s="7"/>
      <c r="I575" s="81"/>
    </row>
    <row r="576" spans="1:9" ht="15.75" thickBot="1" x14ac:dyDescent="0.3">
      <c r="I576" s="67"/>
    </row>
    <row r="577" spans="1:9" ht="15.75" thickBot="1" x14ac:dyDescent="0.3">
      <c r="A577" s="38" t="s">
        <v>0</v>
      </c>
      <c r="B577" s="234" t="s">
        <v>1</v>
      </c>
      <c r="C577" s="235"/>
      <c r="D577" s="235"/>
      <c r="E577" s="236"/>
      <c r="F577" s="38" t="s">
        <v>24</v>
      </c>
      <c r="G577" s="38" t="s">
        <v>2</v>
      </c>
      <c r="H577" s="38" t="s">
        <v>3</v>
      </c>
      <c r="I577" s="74" t="s">
        <v>4</v>
      </c>
    </row>
    <row r="578" spans="1:9" x14ac:dyDescent="0.25">
      <c r="A578" s="18"/>
      <c r="B578" s="225"/>
      <c r="C578" s="225"/>
      <c r="D578" s="225"/>
      <c r="E578" s="225"/>
      <c r="F578" s="18"/>
      <c r="G578" s="18"/>
      <c r="H578" s="18"/>
      <c r="I578" s="59"/>
    </row>
    <row r="579" spans="1:9" x14ac:dyDescent="0.25">
      <c r="A579" s="18"/>
      <c r="B579" s="224" t="s">
        <v>228</v>
      </c>
      <c r="C579" s="224"/>
      <c r="D579" s="224"/>
      <c r="E579" s="224"/>
      <c r="F579" s="18"/>
      <c r="G579" s="18"/>
      <c r="H579" s="18"/>
      <c r="I579" s="59"/>
    </row>
    <row r="580" spans="1:9" x14ac:dyDescent="0.25">
      <c r="A580" s="18"/>
      <c r="B580" s="224" t="s">
        <v>229</v>
      </c>
      <c r="C580" s="224"/>
      <c r="D580" s="224"/>
      <c r="E580" s="224"/>
      <c r="F580" s="18"/>
      <c r="G580" s="18"/>
      <c r="H580" s="18"/>
      <c r="I580" s="59"/>
    </row>
    <row r="581" spans="1:9" x14ac:dyDescent="0.25">
      <c r="A581" s="18"/>
      <c r="B581" s="225"/>
      <c r="C581" s="225"/>
      <c r="D581" s="225"/>
      <c r="E581" s="225"/>
      <c r="F581" s="18"/>
      <c r="G581" s="18"/>
      <c r="H581" s="18"/>
      <c r="I581" s="59"/>
    </row>
    <row r="582" spans="1:9" x14ac:dyDescent="0.25">
      <c r="A582" s="18"/>
      <c r="B582" s="231" t="s">
        <v>230</v>
      </c>
      <c r="C582" s="231"/>
      <c r="D582" s="231"/>
      <c r="E582" s="231"/>
      <c r="F582" s="18"/>
      <c r="G582" s="18"/>
      <c r="H582" s="18"/>
      <c r="I582" s="59"/>
    </row>
    <row r="583" spans="1:9" x14ac:dyDescent="0.25">
      <c r="A583" s="18"/>
      <c r="B583" s="231" t="s">
        <v>231</v>
      </c>
      <c r="C583" s="231"/>
      <c r="D583" s="231"/>
      <c r="E583" s="231"/>
      <c r="F583" s="18"/>
      <c r="G583" s="18"/>
      <c r="H583" s="18"/>
      <c r="I583" s="59"/>
    </row>
    <row r="584" spans="1:9" x14ac:dyDescent="0.25">
      <c r="A584" s="18"/>
      <c r="B584" s="231" t="s">
        <v>232</v>
      </c>
      <c r="C584" s="231"/>
      <c r="D584" s="231"/>
      <c r="E584" s="231"/>
      <c r="F584" s="18"/>
      <c r="G584" s="18"/>
      <c r="H584" s="18"/>
      <c r="I584" s="59"/>
    </row>
    <row r="585" spans="1:9" x14ac:dyDescent="0.25">
      <c r="A585" s="18"/>
      <c r="B585" s="231" t="s">
        <v>233</v>
      </c>
      <c r="C585" s="231"/>
      <c r="D585" s="231"/>
      <c r="E585" s="231"/>
      <c r="F585" s="18"/>
      <c r="G585" s="18"/>
      <c r="H585" s="18"/>
      <c r="I585" s="59"/>
    </row>
    <row r="586" spans="1:9" x14ac:dyDescent="0.25">
      <c r="A586" s="18"/>
      <c r="B586" s="231" t="s">
        <v>234</v>
      </c>
      <c r="C586" s="231"/>
      <c r="D586" s="231"/>
      <c r="E586" s="231"/>
      <c r="F586" s="18"/>
      <c r="G586" s="18"/>
      <c r="H586" s="18"/>
      <c r="I586" s="59"/>
    </row>
    <row r="587" spans="1:9" x14ac:dyDescent="0.25">
      <c r="A587" s="18"/>
      <c r="B587" s="231" t="s">
        <v>235</v>
      </c>
      <c r="C587" s="231"/>
      <c r="D587" s="231"/>
      <c r="E587" s="231"/>
      <c r="F587" s="18"/>
      <c r="G587" s="18"/>
      <c r="H587" s="18"/>
      <c r="I587" s="59"/>
    </row>
    <row r="588" spans="1:9" x14ac:dyDescent="0.25">
      <c r="A588" s="18"/>
      <c r="B588" s="231" t="s">
        <v>236</v>
      </c>
      <c r="C588" s="231"/>
      <c r="D588" s="231"/>
      <c r="E588" s="231"/>
      <c r="F588" s="18"/>
      <c r="G588" s="18"/>
      <c r="H588" s="18"/>
      <c r="I588" s="59"/>
    </row>
    <row r="589" spans="1:9" x14ac:dyDescent="0.25">
      <c r="A589" s="18"/>
      <c r="B589" s="231" t="s">
        <v>240</v>
      </c>
      <c r="C589" s="231"/>
      <c r="D589" s="231"/>
      <c r="E589" s="231"/>
      <c r="F589" s="18"/>
      <c r="G589" s="18"/>
      <c r="H589" s="18"/>
      <c r="I589" s="59"/>
    </row>
    <row r="590" spans="1:9" x14ac:dyDescent="0.25">
      <c r="A590" s="18"/>
      <c r="B590" s="221"/>
      <c r="C590" s="221"/>
      <c r="D590" s="221"/>
      <c r="E590" s="221"/>
      <c r="F590" s="18"/>
      <c r="G590" s="18"/>
      <c r="H590" s="18"/>
      <c r="I590" s="59"/>
    </row>
    <row r="591" spans="1:9" x14ac:dyDescent="0.25">
      <c r="A591" s="18" t="s">
        <v>30</v>
      </c>
      <c r="B591" s="221" t="s">
        <v>237</v>
      </c>
      <c r="C591" s="221"/>
      <c r="D591" s="221"/>
      <c r="E591" s="221"/>
      <c r="F591" s="18" t="s">
        <v>243</v>
      </c>
      <c r="G591" s="18">
        <v>3</v>
      </c>
      <c r="H591" s="18">
        <v>1974.7</v>
      </c>
      <c r="I591" s="59">
        <v>5924</v>
      </c>
    </row>
    <row r="592" spans="1:9" x14ac:dyDescent="0.25">
      <c r="A592" s="18"/>
      <c r="B592" s="221" t="s">
        <v>238</v>
      </c>
      <c r="C592" s="221"/>
      <c r="D592" s="221"/>
      <c r="E592" s="221"/>
      <c r="F592" s="18"/>
      <c r="G592" s="18"/>
      <c r="H592" s="18"/>
      <c r="I592" s="59"/>
    </row>
    <row r="593" spans="1:9" x14ac:dyDescent="0.25">
      <c r="A593" s="18"/>
      <c r="B593" s="221" t="s">
        <v>239</v>
      </c>
      <c r="C593" s="221"/>
      <c r="D593" s="221"/>
      <c r="E593" s="221"/>
      <c r="F593" s="18"/>
      <c r="G593" s="18"/>
      <c r="H593" s="18"/>
      <c r="I593" s="59"/>
    </row>
    <row r="594" spans="1:9" x14ac:dyDescent="0.25">
      <c r="A594" s="18"/>
      <c r="B594" s="221"/>
      <c r="C594" s="221"/>
      <c r="D594" s="221"/>
      <c r="E594" s="221"/>
      <c r="F594" s="18"/>
      <c r="G594" s="18"/>
      <c r="H594" s="18"/>
      <c r="I594" s="59"/>
    </row>
    <row r="595" spans="1:9" x14ac:dyDescent="0.25">
      <c r="A595" s="18" t="s">
        <v>36</v>
      </c>
      <c r="B595" s="221" t="s">
        <v>241</v>
      </c>
      <c r="C595" s="221"/>
      <c r="D595" s="221"/>
      <c r="E595" s="221"/>
      <c r="F595" s="18" t="s">
        <v>243</v>
      </c>
      <c r="G595" s="18">
        <v>1</v>
      </c>
      <c r="H595" s="18">
        <v>2821</v>
      </c>
      <c r="I595" s="59">
        <v>2821</v>
      </c>
    </row>
    <row r="596" spans="1:9" x14ac:dyDescent="0.25">
      <c r="A596" s="18"/>
      <c r="B596" s="221" t="s">
        <v>242</v>
      </c>
      <c r="C596" s="221"/>
      <c r="D596" s="221"/>
      <c r="E596" s="221"/>
      <c r="F596" s="18"/>
      <c r="G596" s="18"/>
      <c r="H596" s="18"/>
      <c r="I596" s="59"/>
    </row>
    <row r="597" spans="1:9" x14ac:dyDescent="0.25">
      <c r="A597" s="18"/>
      <c r="B597" s="221"/>
      <c r="C597" s="221"/>
      <c r="D597" s="221"/>
      <c r="E597" s="221"/>
      <c r="F597" s="18"/>
      <c r="G597" s="18"/>
      <c r="H597" s="18"/>
      <c r="I597" s="59"/>
    </row>
    <row r="598" spans="1:9" x14ac:dyDescent="0.25">
      <c r="A598" s="18" t="s">
        <v>39</v>
      </c>
      <c r="B598" s="221" t="s">
        <v>244</v>
      </c>
      <c r="C598" s="221"/>
      <c r="D598" s="221"/>
      <c r="E598" s="221"/>
      <c r="F598" s="18" t="s">
        <v>214</v>
      </c>
      <c r="G598" s="18">
        <v>14</v>
      </c>
      <c r="H598" s="18">
        <v>45</v>
      </c>
      <c r="I598" s="59">
        <v>632</v>
      </c>
    </row>
    <row r="599" spans="1:9" ht="17.25" x14ac:dyDescent="0.25">
      <c r="A599" s="18"/>
      <c r="B599" s="221" t="s">
        <v>245</v>
      </c>
      <c r="C599" s="221"/>
      <c r="D599" s="221"/>
      <c r="E599" s="221"/>
      <c r="F599" s="18"/>
      <c r="G599" s="18"/>
      <c r="H599" s="18"/>
      <c r="I599" s="59"/>
    </row>
    <row r="600" spans="1:9" x14ac:dyDescent="0.25">
      <c r="A600" s="18"/>
      <c r="B600" s="221" t="s">
        <v>246</v>
      </c>
      <c r="C600" s="221"/>
      <c r="D600" s="221"/>
      <c r="E600" s="221"/>
      <c r="F600" s="18"/>
      <c r="G600" s="18"/>
      <c r="H600" s="18"/>
      <c r="I600" s="59"/>
    </row>
    <row r="601" spans="1:9" x14ac:dyDescent="0.25">
      <c r="A601" s="18"/>
      <c r="B601" s="221"/>
      <c r="C601" s="221"/>
      <c r="D601" s="221"/>
      <c r="E601" s="221"/>
      <c r="F601" s="18"/>
      <c r="G601" s="18"/>
      <c r="H601" s="18"/>
      <c r="I601" s="59"/>
    </row>
    <row r="602" spans="1:9" ht="17.25" x14ac:dyDescent="0.25">
      <c r="A602" s="18" t="s">
        <v>42</v>
      </c>
      <c r="B602" s="221" t="s">
        <v>247</v>
      </c>
      <c r="C602" s="221"/>
      <c r="D602" s="221"/>
      <c r="E602" s="221"/>
      <c r="F602" s="18" t="s">
        <v>243</v>
      </c>
      <c r="G602" s="18">
        <v>22</v>
      </c>
      <c r="H602" s="18">
        <v>282</v>
      </c>
      <c r="I602" s="59">
        <v>6206</v>
      </c>
    </row>
    <row r="603" spans="1:9" x14ac:dyDescent="0.25">
      <c r="A603" s="18"/>
      <c r="B603" s="221" t="s">
        <v>248</v>
      </c>
      <c r="C603" s="221"/>
      <c r="D603" s="221"/>
      <c r="E603" s="221"/>
      <c r="F603" s="18"/>
      <c r="G603" s="18"/>
      <c r="H603" s="18"/>
      <c r="I603" s="59"/>
    </row>
    <row r="604" spans="1:9" x14ac:dyDescent="0.25">
      <c r="A604" s="18"/>
      <c r="B604" s="221" t="s">
        <v>392</v>
      </c>
      <c r="C604" s="221"/>
      <c r="D604" s="221"/>
      <c r="E604" s="221"/>
      <c r="F604" s="18"/>
      <c r="G604" s="18"/>
      <c r="H604" s="18"/>
      <c r="I604" s="59"/>
    </row>
    <row r="605" spans="1:9" x14ac:dyDescent="0.25">
      <c r="A605" s="18"/>
      <c r="B605" s="221"/>
      <c r="C605" s="221"/>
      <c r="D605" s="221"/>
      <c r="E605" s="221"/>
      <c r="F605" s="18"/>
      <c r="G605" s="18"/>
      <c r="H605" s="18"/>
      <c r="I605" s="59"/>
    </row>
    <row r="606" spans="1:9" x14ac:dyDescent="0.25">
      <c r="A606" s="18" t="s">
        <v>46</v>
      </c>
      <c r="B606" s="221" t="s">
        <v>249</v>
      </c>
      <c r="C606" s="221"/>
      <c r="D606" s="221"/>
      <c r="E606" s="221"/>
      <c r="F606" s="18" t="s">
        <v>243</v>
      </c>
      <c r="G606" s="18">
        <v>22</v>
      </c>
      <c r="H606" s="18">
        <v>112</v>
      </c>
      <c r="I606" s="59">
        <v>2482</v>
      </c>
    </row>
    <row r="607" spans="1:9" ht="17.25" x14ac:dyDescent="0.25">
      <c r="A607" s="18"/>
      <c r="B607" s="221" t="s">
        <v>250</v>
      </c>
      <c r="C607" s="221"/>
      <c r="D607" s="221"/>
      <c r="E607" s="221"/>
      <c r="F607" s="18"/>
      <c r="G607" s="18"/>
      <c r="H607" s="18"/>
      <c r="I607" s="59"/>
    </row>
    <row r="608" spans="1:9" x14ac:dyDescent="0.25">
      <c r="A608" s="18"/>
      <c r="B608" s="221" t="s">
        <v>251</v>
      </c>
      <c r="C608" s="221"/>
      <c r="D608" s="221"/>
      <c r="E608" s="221"/>
      <c r="F608" s="18"/>
      <c r="G608" s="18"/>
      <c r="H608" s="18"/>
      <c r="I608" s="59"/>
    </row>
    <row r="609" spans="1:9" x14ac:dyDescent="0.25">
      <c r="A609" s="18"/>
      <c r="B609" s="221" t="s">
        <v>252</v>
      </c>
      <c r="C609" s="221"/>
      <c r="D609" s="221"/>
      <c r="E609" s="221"/>
      <c r="F609" s="18"/>
      <c r="G609" s="18"/>
      <c r="H609" s="18"/>
      <c r="I609" s="59"/>
    </row>
    <row r="610" spans="1:9" x14ac:dyDescent="0.25">
      <c r="A610" s="18"/>
      <c r="B610" s="221"/>
      <c r="C610" s="221"/>
      <c r="D610" s="221"/>
      <c r="E610" s="221"/>
      <c r="F610" s="18"/>
      <c r="G610" s="18"/>
      <c r="H610" s="18"/>
      <c r="I610" s="59"/>
    </row>
    <row r="611" spans="1:9" x14ac:dyDescent="0.25">
      <c r="A611" s="18" t="s">
        <v>49</v>
      </c>
      <c r="B611" s="221" t="s">
        <v>253</v>
      </c>
      <c r="C611" s="221"/>
      <c r="D611" s="221"/>
      <c r="E611" s="221"/>
      <c r="F611" s="18" t="s">
        <v>243</v>
      </c>
      <c r="G611" s="18">
        <v>22</v>
      </c>
      <c r="H611" s="18">
        <v>1013</v>
      </c>
      <c r="I611" s="59">
        <v>2027.4</v>
      </c>
    </row>
    <row r="612" spans="1:9" x14ac:dyDescent="0.25">
      <c r="A612" s="18"/>
      <c r="B612" s="221" t="s">
        <v>254</v>
      </c>
      <c r="C612" s="221"/>
      <c r="D612" s="221"/>
      <c r="E612" s="221"/>
      <c r="F612" s="18"/>
      <c r="G612" s="18"/>
      <c r="H612" s="18"/>
      <c r="I612" s="59"/>
    </row>
    <row r="613" spans="1:9" x14ac:dyDescent="0.25">
      <c r="A613" s="18"/>
      <c r="B613" s="221"/>
      <c r="C613" s="221"/>
      <c r="D613" s="221"/>
      <c r="E613" s="221"/>
      <c r="F613" s="18"/>
      <c r="G613" s="18"/>
      <c r="H613" s="18"/>
      <c r="I613" s="59"/>
    </row>
    <row r="614" spans="1:9" x14ac:dyDescent="0.25">
      <c r="A614" s="18" t="s">
        <v>53</v>
      </c>
      <c r="B614" s="221" t="s">
        <v>255</v>
      </c>
      <c r="C614" s="221"/>
      <c r="D614" s="221"/>
      <c r="E614" s="221"/>
      <c r="F614" s="18" t="s">
        <v>243</v>
      </c>
      <c r="G614" s="18">
        <v>10</v>
      </c>
      <c r="H614" s="18">
        <v>142</v>
      </c>
      <c r="I614" s="59">
        <v>1420</v>
      </c>
    </row>
    <row r="615" spans="1:9" x14ac:dyDescent="0.25">
      <c r="A615" s="18"/>
      <c r="B615" s="221" t="s">
        <v>256</v>
      </c>
      <c r="C615" s="221"/>
      <c r="D615" s="221"/>
      <c r="E615" s="221"/>
      <c r="F615" s="18"/>
      <c r="G615" s="18"/>
      <c r="H615" s="18"/>
      <c r="I615" s="59"/>
    </row>
    <row r="616" spans="1:9" x14ac:dyDescent="0.25">
      <c r="A616" s="18"/>
      <c r="B616" s="221"/>
      <c r="C616" s="221"/>
      <c r="D616" s="221"/>
      <c r="E616" s="221"/>
      <c r="F616" s="18"/>
      <c r="G616" s="18"/>
      <c r="H616" s="18"/>
      <c r="I616" s="59"/>
    </row>
    <row r="617" spans="1:9" ht="17.25" x14ac:dyDescent="0.25">
      <c r="A617" s="18" t="s">
        <v>55</v>
      </c>
      <c r="B617" s="221" t="s">
        <v>257</v>
      </c>
      <c r="C617" s="221"/>
      <c r="D617" s="221"/>
      <c r="E617" s="221"/>
      <c r="F617" s="18" t="s">
        <v>243</v>
      </c>
      <c r="G617" s="18">
        <v>12</v>
      </c>
      <c r="H617" s="18">
        <v>338</v>
      </c>
      <c r="I617" s="59">
        <v>4062.2</v>
      </c>
    </row>
    <row r="618" spans="1:9" x14ac:dyDescent="0.25">
      <c r="A618" s="18"/>
      <c r="B618" s="221" t="s">
        <v>258</v>
      </c>
      <c r="C618" s="221"/>
      <c r="D618" s="221"/>
      <c r="E618" s="221"/>
      <c r="F618" s="18"/>
      <c r="G618" s="18"/>
      <c r="H618" s="18"/>
      <c r="I618" s="59"/>
    </row>
    <row r="619" spans="1:9" x14ac:dyDescent="0.25">
      <c r="A619" s="18"/>
      <c r="B619" s="221" t="s">
        <v>259</v>
      </c>
      <c r="C619" s="221"/>
      <c r="D619" s="221"/>
      <c r="E619" s="221"/>
      <c r="F619" s="18"/>
      <c r="G619" s="18"/>
      <c r="H619" s="18"/>
      <c r="I619" s="59"/>
    </row>
    <row r="620" spans="1:9" x14ac:dyDescent="0.25">
      <c r="A620" s="18"/>
      <c r="B620" s="221"/>
      <c r="C620" s="221"/>
      <c r="D620" s="221"/>
      <c r="E620" s="221"/>
      <c r="F620" s="18"/>
      <c r="G620" s="18"/>
      <c r="H620" s="18"/>
      <c r="I620" s="59"/>
    </row>
    <row r="621" spans="1:9" x14ac:dyDescent="0.25">
      <c r="A621" s="18"/>
      <c r="B621" s="221"/>
      <c r="C621" s="221"/>
      <c r="D621" s="221"/>
      <c r="E621" s="221"/>
      <c r="F621" s="18"/>
      <c r="G621" s="18"/>
      <c r="H621" s="18"/>
      <c r="I621" s="59"/>
    </row>
    <row r="622" spans="1:9" ht="15.75" thickBot="1" x14ac:dyDescent="0.3">
      <c r="A622" s="11"/>
      <c r="B622" s="279"/>
      <c r="C622" s="279"/>
      <c r="D622" s="279"/>
      <c r="E622" s="279"/>
      <c r="F622" s="11"/>
      <c r="G622" s="11"/>
      <c r="H622" s="11"/>
      <c r="I622" s="60"/>
    </row>
    <row r="623" spans="1:9" ht="15.75" thickBot="1" x14ac:dyDescent="0.3">
      <c r="A623" s="38" t="s">
        <v>0</v>
      </c>
      <c r="B623" s="280" t="s">
        <v>1</v>
      </c>
      <c r="C623" s="280"/>
      <c r="D623" s="280"/>
      <c r="E623" s="280"/>
      <c r="F623" s="38" t="s">
        <v>24</v>
      </c>
      <c r="G623" s="38" t="s">
        <v>2</v>
      </c>
      <c r="H623" s="38" t="s">
        <v>3</v>
      </c>
      <c r="I623" s="74" t="s">
        <v>4</v>
      </c>
    </row>
    <row r="624" spans="1:9" x14ac:dyDescent="0.25">
      <c r="A624" s="8" t="s">
        <v>57</v>
      </c>
      <c r="B624" s="311" t="s">
        <v>260</v>
      </c>
      <c r="C624" s="311"/>
      <c r="D624" s="311"/>
      <c r="E624" s="311"/>
      <c r="F624" s="8" t="s">
        <v>243</v>
      </c>
      <c r="G624" s="8">
        <v>8</v>
      </c>
      <c r="H624" s="8">
        <v>74</v>
      </c>
      <c r="I624" s="75">
        <v>592</v>
      </c>
    </row>
    <row r="625" spans="1:9" x14ac:dyDescent="0.25">
      <c r="A625" s="18"/>
      <c r="B625" s="228" t="s">
        <v>261</v>
      </c>
      <c r="C625" s="228"/>
      <c r="D625" s="228"/>
      <c r="E625" s="228"/>
      <c r="F625" s="18"/>
      <c r="G625" s="18"/>
      <c r="H625" s="18"/>
      <c r="I625" s="59"/>
    </row>
    <row r="626" spans="1:9" x14ac:dyDescent="0.25">
      <c r="A626" s="18"/>
      <c r="B626" s="228" t="s">
        <v>262</v>
      </c>
      <c r="C626" s="228"/>
      <c r="D626" s="228"/>
      <c r="E626" s="228"/>
      <c r="F626" s="18"/>
      <c r="G626" s="18"/>
      <c r="H626" s="18"/>
      <c r="I626" s="59"/>
    </row>
    <row r="627" spans="1:9" x14ac:dyDescent="0.25">
      <c r="A627" s="18"/>
      <c r="B627" s="228"/>
      <c r="C627" s="228"/>
      <c r="D627" s="228"/>
      <c r="E627" s="228"/>
      <c r="F627" s="18"/>
      <c r="G627" s="18"/>
      <c r="H627" s="18"/>
      <c r="I627" s="59"/>
    </row>
    <row r="628" spans="1:9" x14ac:dyDescent="0.25">
      <c r="A628" s="18" t="s">
        <v>85</v>
      </c>
      <c r="B628" s="228" t="s">
        <v>263</v>
      </c>
      <c r="C628" s="228"/>
      <c r="D628" s="228"/>
      <c r="E628" s="228"/>
      <c r="F628" s="18" t="s">
        <v>243</v>
      </c>
      <c r="G628" s="18">
        <v>3</v>
      </c>
      <c r="H628" s="18">
        <v>170</v>
      </c>
      <c r="I628" s="59">
        <v>510</v>
      </c>
    </row>
    <row r="629" spans="1:9" x14ac:dyDescent="0.25">
      <c r="A629" s="18"/>
      <c r="B629" s="228" t="s">
        <v>264</v>
      </c>
      <c r="C629" s="228"/>
      <c r="D629" s="228"/>
      <c r="E629" s="228"/>
      <c r="F629" s="18"/>
      <c r="G629" s="18"/>
      <c r="H629" s="18"/>
      <c r="I629" s="59"/>
    </row>
    <row r="630" spans="1:9" x14ac:dyDescent="0.25">
      <c r="A630" s="18"/>
      <c r="B630" s="228" t="s">
        <v>265</v>
      </c>
      <c r="C630" s="228"/>
      <c r="D630" s="228"/>
      <c r="E630" s="228"/>
      <c r="F630" s="18"/>
      <c r="G630" s="18"/>
      <c r="H630" s="18"/>
      <c r="I630" s="59"/>
    </row>
    <row r="631" spans="1:9" x14ac:dyDescent="0.25">
      <c r="A631" s="18"/>
      <c r="B631" s="228" t="s">
        <v>266</v>
      </c>
      <c r="C631" s="228"/>
      <c r="D631" s="228"/>
      <c r="E631" s="228"/>
      <c r="F631" s="18"/>
      <c r="G631" s="18"/>
      <c r="H631" s="18"/>
      <c r="I631" s="59"/>
    </row>
    <row r="632" spans="1:9" x14ac:dyDescent="0.25">
      <c r="A632" s="18"/>
      <c r="B632" s="228" t="s">
        <v>267</v>
      </c>
      <c r="C632" s="228"/>
      <c r="D632" s="228"/>
      <c r="E632" s="228"/>
      <c r="F632" s="18"/>
      <c r="G632" s="18"/>
      <c r="H632" s="18"/>
      <c r="I632" s="59"/>
    </row>
    <row r="633" spans="1:9" x14ac:dyDescent="0.25">
      <c r="A633" s="18"/>
      <c r="B633" s="228"/>
      <c r="C633" s="228"/>
      <c r="D633" s="228"/>
      <c r="E633" s="228"/>
      <c r="F633" s="18"/>
      <c r="G633" s="18"/>
      <c r="H633" s="18"/>
      <c r="I633" s="59"/>
    </row>
    <row r="634" spans="1:9" x14ac:dyDescent="0.25">
      <c r="A634" s="18" t="s">
        <v>86</v>
      </c>
      <c r="B634" s="228" t="s">
        <v>431</v>
      </c>
      <c r="C634" s="228"/>
      <c r="D634" s="228"/>
      <c r="E634" s="228"/>
      <c r="F634" s="18" t="s">
        <v>243</v>
      </c>
      <c r="G634" s="18">
        <v>4</v>
      </c>
      <c r="H634" s="18">
        <v>170</v>
      </c>
      <c r="I634" s="59">
        <v>680</v>
      </c>
    </row>
    <row r="635" spans="1:9" x14ac:dyDescent="0.25">
      <c r="A635" s="18"/>
      <c r="B635" s="228"/>
      <c r="C635" s="228"/>
      <c r="D635" s="228"/>
      <c r="E635" s="228"/>
      <c r="F635" s="18"/>
      <c r="G635" s="18"/>
      <c r="H635" s="18"/>
      <c r="I635" s="59"/>
    </row>
    <row r="636" spans="1:9" x14ac:dyDescent="0.25">
      <c r="A636" s="18" t="s">
        <v>96</v>
      </c>
      <c r="B636" s="228" t="s">
        <v>432</v>
      </c>
      <c r="C636" s="228"/>
      <c r="D636" s="228"/>
      <c r="E636" s="228"/>
      <c r="F636" s="18" t="s">
        <v>243</v>
      </c>
      <c r="G636" s="18">
        <v>8</v>
      </c>
      <c r="H636" s="18">
        <v>28</v>
      </c>
      <c r="I636" s="59">
        <v>280</v>
      </c>
    </row>
    <row r="637" spans="1:9" x14ac:dyDescent="0.25">
      <c r="A637" s="18"/>
      <c r="B637" s="228"/>
      <c r="C637" s="228"/>
      <c r="D637" s="228"/>
      <c r="E637" s="228"/>
      <c r="F637" s="18"/>
      <c r="G637" s="18"/>
      <c r="H637" s="18"/>
      <c r="I637" s="59"/>
    </row>
    <row r="638" spans="1:9" x14ac:dyDescent="0.25">
      <c r="A638" s="18" t="s">
        <v>97</v>
      </c>
      <c r="B638" s="228" t="s">
        <v>433</v>
      </c>
      <c r="C638" s="228"/>
      <c r="D638" s="228"/>
      <c r="E638" s="228"/>
      <c r="F638" s="18" t="s">
        <v>243</v>
      </c>
      <c r="G638" s="18">
        <v>4</v>
      </c>
      <c r="H638" s="18">
        <v>170</v>
      </c>
      <c r="I638" s="59">
        <v>1360</v>
      </c>
    </row>
    <row r="639" spans="1:9" x14ac:dyDescent="0.25">
      <c r="A639" s="18"/>
      <c r="B639" s="228"/>
      <c r="C639" s="228"/>
      <c r="D639" s="228"/>
      <c r="E639" s="228"/>
      <c r="F639" s="18"/>
      <c r="G639" s="18"/>
      <c r="H639" s="18"/>
      <c r="I639" s="59"/>
    </row>
    <row r="640" spans="1:9" ht="17.25" x14ac:dyDescent="0.25">
      <c r="A640" s="18" t="s">
        <v>98</v>
      </c>
      <c r="B640" s="228" t="s">
        <v>434</v>
      </c>
      <c r="C640" s="228"/>
      <c r="D640" s="228"/>
      <c r="E640" s="228"/>
      <c r="F640" s="18" t="s">
        <v>0</v>
      </c>
      <c r="G640" s="18">
        <v>1</v>
      </c>
      <c r="H640" s="18">
        <v>1692</v>
      </c>
      <c r="I640" s="59">
        <v>1692</v>
      </c>
    </row>
    <row r="641" spans="1:9" x14ac:dyDescent="0.25">
      <c r="A641" s="18"/>
      <c r="B641" s="228"/>
      <c r="C641" s="228"/>
      <c r="D641" s="228"/>
      <c r="E641" s="228"/>
      <c r="F641" s="18"/>
      <c r="G641" s="18"/>
      <c r="H641" s="18"/>
      <c r="I641" s="59"/>
    </row>
    <row r="642" spans="1:9" x14ac:dyDescent="0.25">
      <c r="A642" s="18" t="s">
        <v>101</v>
      </c>
      <c r="B642" s="228" t="s">
        <v>268</v>
      </c>
      <c r="C642" s="228"/>
      <c r="D642" s="228"/>
      <c r="E642" s="228"/>
      <c r="F642" s="18" t="s">
        <v>214</v>
      </c>
      <c r="G642" s="18">
        <v>90</v>
      </c>
      <c r="H642" s="18">
        <v>45</v>
      </c>
      <c r="I642" s="59">
        <v>4062</v>
      </c>
    </row>
    <row r="643" spans="1:9" x14ac:dyDescent="0.25">
      <c r="A643" s="18"/>
      <c r="B643" s="228" t="s">
        <v>269</v>
      </c>
      <c r="C643" s="228"/>
      <c r="D643" s="228"/>
      <c r="E643" s="228"/>
      <c r="F643" s="18"/>
      <c r="G643" s="18"/>
      <c r="H643" s="18"/>
      <c r="I643" s="59"/>
    </row>
    <row r="644" spans="1:9" x14ac:dyDescent="0.25">
      <c r="A644" s="18"/>
      <c r="B644" s="228" t="s">
        <v>270</v>
      </c>
      <c r="C644" s="228"/>
      <c r="D644" s="228"/>
      <c r="E644" s="228"/>
      <c r="F644" s="18"/>
      <c r="G644" s="18"/>
      <c r="H644" s="18"/>
      <c r="I644" s="59"/>
    </row>
    <row r="645" spans="1:9" x14ac:dyDescent="0.25">
      <c r="A645" s="18"/>
      <c r="B645" s="228" t="s">
        <v>271</v>
      </c>
      <c r="C645" s="228"/>
      <c r="D645" s="228"/>
      <c r="E645" s="228"/>
      <c r="F645" s="18"/>
      <c r="G645" s="18"/>
      <c r="H645" s="18"/>
      <c r="I645" s="59"/>
    </row>
    <row r="646" spans="1:9" x14ac:dyDescent="0.25">
      <c r="A646" s="18"/>
      <c r="B646" s="228" t="s">
        <v>435</v>
      </c>
      <c r="C646" s="228"/>
      <c r="D646" s="228"/>
      <c r="E646" s="228"/>
      <c r="F646" s="18"/>
      <c r="G646" s="18"/>
      <c r="H646" s="18"/>
      <c r="I646" s="59"/>
    </row>
    <row r="647" spans="1:9" x14ac:dyDescent="0.25">
      <c r="A647" s="18"/>
      <c r="B647" s="228"/>
      <c r="C647" s="228"/>
      <c r="D647" s="228"/>
      <c r="E647" s="228"/>
      <c r="F647" s="18"/>
      <c r="G647" s="18"/>
      <c r="H647" s="18"/>
      <c r="I647" s="59"/>
    </row>
    <row r="648" spans="1:9" x14ac:dyDescent="0.25">
      <c r="A648" s="18" t="s">
        <v>102</v>
      </c>
      <c r="B648" s="228" t="s">
        <v>272</v>
      </c>
      <c r="C648" s="228"/>
      <c r="D648" s="228"/>
      <c r="E648" s="228"/>
      <c r="F648" s="18" t="s">
        <v>243</v>
      </c>
      <c r="G648" s="18">
        <v>2</v>
      </c>
      <c r="H648" s="18">
        <v>22</v>
      </c>
      <c r="I648" s="59">
        <v>564</v>
      </c>
    </row>
    <row r="649" spans="1:9" x14ac:dyDescent="0.25">
      <c r="A649" s="18"/>
      <c r="B649" s="228" t="s">
        <v>436</v>
      </c>
      <c r="C649" s="228"/>
      <c r="D649" s="228"/>
      <c r="E649" s="228"/>
      <c r="F649" s="18"/>
      <c r="G649" s="18"/>
      <c r="H649" s="18"/>
      <c r="I649" s="59"/>
    </row>
    <row r="650" spans="1:9" x14ac:dyDescent="0.25">
      <c r="A650" s="18"/>
      <c r="B650" s="228"/>
      <c r="C650" s="228"/>
      <c r="D650" s="228"/>
      <c r="E650" s="228"/>
      <c r="F650" s="18"/>
      <c r="G650" s="18"/>
      <c r="H650" s="18"/>
      <c r="I650" s="59"/>
    </row>
    <row r="651" spans="1:9" x14ac:dyDescent="0.25">
      <c r="A651" s="18" t="s">
        <v>103</v>
      </c>
      <c r="B651" s="228" t="s">
        <v>437</v>
      </c>
      <c r="C651" s="228"/>
      <c r="D651" s="228"/>
      <c r="E651" s="228"/>
      <c r="F651" s="18" t="s">
        <v>243</v>
      </c>
      <c r="G651" s="18">
        <v>2</v>
      </c>
      <c r="H651" s="18">
        <v>85</v>
      </c>
      <c r="I651" s="59">
        <v>170</v>
      </c>
    </row>
    <row r="652" spans="1:9" x14ac:dyDescent="0.25">
      <c r="A652" s="18"/>
      <c r="B652" s="228"/>
      <c r="C652" s="228"/>
      <c r="D652" s="228"/>
      <c r="E652" s="228"/>
      <c r="F652" s="18"/>
      <c r="G652" s="18"/>
      <c r="H652" s="18"/>
      <c r="I652" s="59"/>
    </row>
    <row r="653" spans="1:9" x14ac:dyDescent="0.25">
      <c r="A653" s="18" t="s">
        <v>273</v>
      </c>
      <c r="B653" s="228" t="s">
        <v>274</v>
      </c>
      <c r="C653" s="228"/>
      <c r="D653" s="228"/>
      <c r="E653" s="228"/>
      <c r="F653" s="18" t="s">
        <v>243</v>
      </c>
      <c r="G653" s="18">
        <v>2</v>
      </c>
      <c r="H653" s="18">
        <v>113</v>
      </c>
      <c r="I653" s="59">
        <v>226</v>
      </c>
    </row>
    <row r="654" spans="1:9" x14ac:dyDescent="0.25">
      <c r="A654" s="18"/>
      <c r="B654" s="228" t="s">
        <v>275</v>
      </c>
      <c r="C654" s="228"/>
      <c r="D654" s="228"/>
      <c r="E654" s="228"/>
      <c r="F654" s="18"/>
      <c r="G654" s="18"/>
      <c r="H654" s="18"/>
      <c r="I654" s="59"/>
    </row>
    <row r="655" spans="1:9" x14ac:dyDescent="0.25">
      <c r="A655" s="18"/>
      <c r="B655" s="228" t="s">
        <v>276</v>
      </c>
      <c r="C655" s="228"/>
      <c r="D655" s="228"/>
      <c r="E655" s="228"/>
      <c r="F655" s="18"/>
      <c r="G655" s="18"/>
      <c r="H655" s="18"/>
      <c r="I655" s="59"/>
    </row>
    <row r="656" spans="1:9" x14ac:dyDescent="0.25">
      <c r="A656" s="18"/>
      <c r="B656" s="228" t="s">
        <v>438</v>
      </c>
      <c r="C656" s="228"/>
      <c r="D656" s="228"/>
      <c r="E656" s="228"/>
      <c r="F656" s="18"/>
      <c r="G656" s="18"/>
      <c r="H656" s="16"/>
      <c r="I656" s="59"/>
    </row>
    <row r="657" spans="1:9" x14ac:dyDescent="0.25">
      <c r="A657" s="18"/>
      <c r="B657" s="228"/>
      <c r="C657" s="228"/>
      <c r="D657" s="228"/>
      <c r="E657" s="228"/>
      <c r="F657" s="18"/>
      <c r="G657" s="18"/>
      <c r="H657" s="16"/>
      <c r="I657" s="59"/>
    </row>
    <row r="658" spans="1:9" x14ac:dyDescent="0.25">
      <c r="A658" s="18" t="s">
        <v>277</v>
      </c>
      <c r="B658" s="228" t="s">
        <v>439</v>
      </c>
      <c r="C658" s="228"/>
      <c r="D658" s="228"/>
      <c r="E658" s="228"/>
      <c r="F658" s="18" t="s">
        <v>243</v>
      </c>
      <c r="G658" s="18">
        <v>1</v>
      </c>
      <c r="H658" s="16">
        <v>1410</v>
      </c>
      <c r="I658" s="59">
        <v>1410</v>
      </c>
    </row>
    <row r="659" spans="1:9" x14ac:dyDescent="0.25">
      <c r="A659" s="18"/>
      <c r="B659" s="228"/>
      <c r="C659" s="228"/>
      <c r="D659" s="228"/>
      <c r="E659" s="228"/>
      <c r="F659" s="18"/>
      <c r="G659" s="18"/>
      <c r="H659" s="16"/>
      <c r="I659" s="59"/>
    </row>
    <row r="660" spans="1:9" ht="15.75" thickBot="1" x14ac:dyDescent="0.3">
      <c r="A660" s="18"/>
      <c r="B660" s="228"/>
      <c r="C660" s="228"/>
      <c r="D660" s="228"/>
      <c r="E660" s="228"/>
      <c r="F660" s="18"/>
      <c r="G660" s="18"/>
      <c r="H660" s="16"/>
      <c r="I660" s="59"/>
    </row>
    <row r="661" spans="1:9" x14ac:dyDescent="0.25">
      <c r="A661" s="19"/>
      <c r="B661" s="307"/>
      <c r="C661" s="307"/>
      <c r="D661" s="307"/>
      <c r="E661" s="307"/>
      <c r="F661" s="307"/>
      <c r="G661" s="307"/>
      <c r="H661" s="308"/>
      <c r="I661" s="75"/>
    </row>
    <row r="662" spans="1:9" x14ac:dyDescent="0.25">
      <c r="A662" s="16"/>
      <c r="B662" s="226" t="s">
        <v>162</v>
      </c>
      <c r="C662" s="226"/>
      <c r="D662" s="226"/>
      <c r="E662" s="226"/>
      <c r="F662" s="226"/>
      <c r="G662" s="226"/>
      <c r="H662" s="227"/>
      <c r="I662" s="82">
        <f>SUM(I591:I658)</f>
        <v>37120.600000000006</v>
      </c>
    </row>
    <row r="663" spans="1:9" x14ac:dyDescent="0.25">
      <c r="A663" s="16"/>
      <c r="B663" s="226"/>
      <c r="C663" s="226"/>
      <c r="D663" s="226"/>
      <c r="E663" s="226"/>
      <c r="F663" s="226"/>
      <c r="G663" s="226"/>
      <c r="H663" s="227"/>
      <c r="I663" s="59"/>
    </row>
    <row r="664" spans="1:9" x14ac:dyDescent="0.25">
      <c r="A664" s="16"/>
      <c r="B664" s="226" t="s">
        <v>6</v>
      </c>
      <c r="C664" s="226"/>
      <c r="D664" s="226"/>
      <c r="E664" s="226"/>
      <c r="F664" s="226"/>
      <c r="G664" s="226"/>
      <c r="H664" s="227"/>
      <c r="I664" s="59"/>
    </row>
    <row r="665" spans="1:9" x14ac:dyDescent="0.25">
      <c r="A665" s="16"/>
      <c r="B665" s="226"/>
      <c r="C665" s="226"/>
      <c r="D665" s="226"/>
      <c r="E665" s="226"/>
      <c r="F665" s="226"/>
      <c r="G665" s="226"/>
      <c r="H665" s="227"/>
      <c r="I665" s="59"/>
    </row>
    <row r="666" spans="1:9" x14ac:dyDescent="0.25">
      <c r="A666" s="16"/>
      <c r="B666" s="226" t="s">
        <v>278</v>
      </c>
      <c r="C666" s="226"/>
      <c r="D666" s="226"/>
      <c r="E666" s="226"/>
      <c r="F666" s="226"/>
      <c r="G666" s="226"/>
      <c r="H666" s="227"/>
      <c r="I666" s="59"/>
    </row>
    <row r="667" spans="1:9" ht="15.75" thickBot="1" x14ac:dyDescent="0.3">
      <c r="A667" s="17"/>
      <c r="B667" s="263"/>
      <c r="C667" s="263"/>
      <c r="D667" s="263"/>
      <c r="E667" s="263"/>
      <c r="F667" s="263"/>
      <c r="G667" s="263"/>
      <c r="H667" s="273"/>
      <c r="I667" s="60"/>
    </row>
    <row r="668" spans="1:9" x14ac:dyDescent="0.25">
      <c r="A668" s="7"/>
      <c r="B668" s="57"/>
      <c r="C668" s="57"/>
      <c r="D668" s="57"/>
      <c r="E668" s="57"/>
      <c r="F668" s="57"/>
      <c r="G668" s="57"/>
      <c r="H668" s="57"/>
      <c r="I668" s="81"/>
    </row>
    <row r="669" spans="1:9" x14ac:dyDescent="0.25">
      <c r="A669" s="7"/>
      <c r="B669" s="57"/>
      <c r="C669" s="57"/>
      <c r="D669" s="57"/>
      <c r="E669" s="57"/>
      <c r="F669" s="57"/>
      <c r="G669" s="57"/>
      <c r="H669" s="57"/>
      <c r="I669" s="81"/>
    </row>
    <row r="670" spans="1:9" x14ac:dyDescent="0.25">
      <c r="A670" s="7"/>
      <c r="B670" s="57"/>
      <c r="C670" s="57"/>
      <c r="D670" s="57"/>
      <c r="E670" s="57"/>
      <c r="F670" s="57"/>
      <c r="G670" s="57"/>
      <c r="H670" s="57"/>
      <c r="I670" s="81"/>
    </row>
    <row r="671" spans="1:9" x14ac:dyDescent="0.25">
      <c r="I671" s="67"/>
    </row>
    <row r="672" spans="1:9" ht="15.75" thickBot="1" x14ac:dyDescent="0.3">
      <c r="I672" s="67"/>
    </row>
    <row r="673" spans="1:9" ht="15.75" thickBot="1" x14ac:dyDescent="0.3">
      <c r="A673" s="38" t="s">
        <v>0</v>
      </c>
      <c r="B673" s="280" t="s">
        <v>1</v>
      </c>
      <c r="C673" s="280"/>
      <c r="D673" s="280"/>
      <c r="E673" s="280"/>
      <c r="F673" s="38" t="s">
        <v>24</v>
      </c>
      <c r="G673" s="38" t="s">
        <v>2</v>
      </c>
      <c r="H673" s="38" t="s">
        <v>3</v>
      </c>
      <c r="I673" s="74" t="s">
        <v>4</v>
      </c>
    </row>
    <row r="674" spans="1:9" x14ac:dyDescent="0.25">
      <c r="A674" s="18"/>
      <c r="B674" s="225"/>
      <c r="C674" s="225"/>
      <c r="D674" s="225"/>
      <c r="E674" s="225"/>
      <c r="F674" s="18"/>
      <c r="G674" s="18"/>
      <c r="H674" s="18"/>
      <c r="I674" s="59"/>
    </row>
    <row r="675" spans="1:9" ht="17.25" x14ac:dyDescent="0.25">
      <c r="A675" s="18" t="s">
        <v>30</v>
      </c>
      <c r="B675" s="221" t="s">
        <v>393</v>
      </c>
      <c r="C675" s="221"/>
      <c r="D675" s="221"/>
      <c r="E675" s="221"/>
      <c r="F675" s="18" t="s">
        <v>279</v>
      </c>
      <c r="G675" s="18">
        <v>235</v>
      </c>
      <c r="H675" s="18">
        <v>36</v>
      </c>
      <c r="I675" s="59">
        <v>8460</v>
      </c>
    </row>
    <row r="676" spans="1:9" x14ac:dyDescent="0.25">
      <c r="A676" s="18"/>
      <c r="B676" s="221" t="s">
        <v>394</v>
      </c>
      <c r="C676" s="221"/>
      <c r="D676" s="221"/>
      <c r="E676" s="221"/>
      <c r="F676" s="18"/>
      <c r="G676" s="18"/>
      <c r="H676" s="18"/>
      <c r="I676" s="59"/>
    </row>
    <row r="677" spans="1:9" x14ac:dyDescent="0.25">
      <c r="A677" s="18"/>
      <c r="B677" s="221" t="s">
        <v>395</v>
      </c>
      <c r="C677" s="221"/>
      <c r="D677" s="221"/>
      <c r="E677" s="221"/>
      <c r="F677" s="18"/>
      <c r="G677" s="18"/>
      <c r="H677" s="18"/>
      <c r="I677" s="59"/>
    </row>
    <row r="678" spans="1:9" x14ac:dyDescent="0.25">
      <c r="A678" s="18"/>
      <c r="B678" s="221" t="s">
        <v>396</v>
      </c>
      <c r="C678" s="221"/>
      <c r="D678" s="221"/>
      <c r="E678" s="221"/>
      <c r="F678" s="18"/>
      <c r="G678" s="18"/>
      <c r="H678" s="18"/>
      <c r="I678" s="59"/>
    </row>
    <row r="679" spans="1:9" x14ac:dyDescent="0.25">
      <c r="A679" s="18"/>
      <c r="B679" s="221" t="s">
        <v>397</v>
      </c>
      <c r="C679" s="221"/>
      <c r="D679" s="221"/>
      <c r="E679" s="221"/>
      <c r="F679" s="18"/>
      <c r="G679" s="18"/>
      <c r="H679" s="18"/>
      <c r="I679" s="59"/>
    </row>
    <row r="680" spans="1:9" x14ac:dyDescent="0.25">
      <c r="A680" s="18"/>
      <c r="B680" s="221" t="s">
        <v>401</v>
      </c>
      <c r="C680" s="221"/>
      <c r="D680" s="221"/>
      <c r="E680" s="221"/>
      <c r="F680" s="18"/>
      <c r="G680" s="18"/>
      <c r="H680" s="18"/>
      <c r="I680" s="59"/>
    </row>
    <row r="681" spans="1:9" x14ac:dyDescent="0.25">
      <c r="A681" s="18"/>
      <c r="B681" s="221"/>
      <c r="C681" s="221"/>
      <c r="D681" s="221"/>
      <c r="E681" s="221"/>
      <c r="F681" s="18"/>
      <c r="G681" s="18"/>
      <c r="H681" s="18"/>
      <c r="I681" s="59"/>
    </row>
    <row r="682" spans="1:9" ht="17.25" x14ac:dyDescent="0.25">
      <c r="A682" s="18" t="s">
        <v>36</v>
      </c>
      <c r="B682" s="221" t="s">
        <v>398</v>
      </c>
      <c r="C682" s="221"/>
      <c r="D682" s="221"/>
      <c r="E682" s="221"/>
      <c r="F682" s="18" t="s">
        <v>279</v>
      </c>
      <c r="G682" s="18">
        <v>300</v>
      </c>
      <c r="H682" s="18">
        <v>3</v>
      </c>
      <c r="I682" s="59">
        <v>900</v>
      </c>
    </row>
    <row r="683" spans="1:9" x14ac:dyDescent="0.25">
      <c r="A683" s="18"/>
      <c r="B683" s="221" t="s">
        <v>399</v>
      </c>
      <c r="C683" s="221"/>
      <c r="D683" s="221"/>
      <c r="E683" s="221"/>
      <c r="F683" s="18"/>
      <c r="G683" s="18"/>
      <c r="H683" s="18"/>
      <c r="I683" s="59"/>
    </row>
    <row r="684" spans="1:9" x14ac:dyDescent="0.25">
      <c r="A684" s="18"/>
      <c r="B684" s="221" t="s">
        <v>400</v>
      </c>
      <c r="C684" s="221"/>
      <c r="D684" s="221"/>
      <c r="E684" s="221"/>
      <c r="F684" s="18"/>
      <c r="G684" s="18"/>
      <c r="H684" s="18"/>
      <c r="I684" s="59"/>
    </row>
    <row r="685" spans="1:9" x14ac:dyDescent="0.25">
      <c r="A685" s="18"/>
      <c r="B685" s="221"/>
      <c r="C685" s="221"/>
      <c r="D685" s="221"/>
      <c r="E685" s="221"/>
      <c r="F685" s="18"/>
      <c r="G685" s="18"/>
      <c r="H685" s="18"/>
      <c r="I685" s="59"/>
    </row>
    <row r="686" spans="1:9" ht="17.25" x14ac:dyDescent="0.25">
      <c r="A686" s="18" t="s">
        <v>39</v>
      </c>
      <c r="B686" s="221" t="s">
        <v>406</v>
      </c>
      <c r="C686" s="221"/>
      <c r="D686" s="221"/>
      <c r="E686" s="221"/>
      <c r="F686" s="18" t="s">
        <v>279</v>
      </c>
      <c r="G686" s="18">
        <v>235</v>
      </c>
      <c r="H686" s="18">
        <v>13</v>
      </c>
      <c r="I686" s="59">
        <v>3055</v>
      </c>
    </row>
    <row r="687" spans="1:9" x14ac:dyDescent="0.25">
      <c r="A687" s="18"/>
      <c r="B687" s="221" t="s">
        <v>402</v>
      </c>
      <c r="C687" s="221"/>
      <c r="D687" s="221"/>
      <c r="E687" s="221"/>
      <c r="F687" s="18"/>
      <c r="G687" s="18"/>
      <c r="H687" s="18"/>
      <c r="I687" s="59"/>
    </row>
    <row r="688" spans="1:9" x14ac:dyDescent="0.25">
      <c r="A688" s="18"/>
      <c r="B688" s="221" t="s">
        <v>408</v>
      </c>
      <c r="C688" s="221"/>
      <c r="D688" s="221"/>
      <c r="E688" s="221"/>
      <c r="F688" s="18"/>
      <c r="G688" s="18"/>
      <c r="H688" s="18"/>
      <c r="I688" s="59"/>
    </row>
    <row r="689" spans="1:9" x14ac:dyDescent="0.25">
      <c r="A689" s="18"/>
      <c r="B689" s="221" t="s">
        <v>407</v>
      </c>
      <c r="C689" s="221"/>
      <c r="D689" s="221"/>
      <c r="E689" s="221"/>
      <c r="F689" s="18"/>
      <c r="G689" s="18"/>
      <c r="H689" s="18"/>
      <c r="I689" s="59"/>
    </row>
    <row r="690" spans="1:9" x14ac:dyDescent="0.25">
      <c r="A690" s="18"/>
      <c r="B690" s="254" t="s">
        <v>414</v>
      </c>
      <c r="C690" s="228"/>
      <c r="D690" s="228"/>
      <c r="E690" s="229"/>
      <c r="F690" s="18"/>
      <c r="G690" s="18"/>
      <c r="H690" s="18"/>
      <c r="I690" s="59"/>
    </row>
    <row r="691" spans="1:9" x14ac:dyDescent="0.25">
      <c r="A691" s="18"/>
      <c r="B691" s="304"/>
      <c r="C691" s="266"/>
      <c r="D691" s="266"/>
      <c r="E691" s="305"/>
      <c r="F691" s="18"/>
      <c r="G691" s="18"/>
      <c r="H691" s="18"/>
      <c r="I691" s="59"/>
    </row>
    <row r="692" spans="1:9" x14ac:dyDescent="0.25">
      <c r="A692" s="18"/>
      <c r="B692" s="231" t="s">
        <v>404</v>
      </c>
      <c r="C692" s="221"/>
      <c r="D692" s="221"/>
      <c r="E692" s="221"/>
      <c r="F692" s="18"/>
      <c r="G692" s="18"/>
      <c r="H692" s="18"/>
      <c r="I692" s="59"/>
    </row>
    <row r="693" spans="1:9" x14ac:dyDescent="0.25">
      <c r="A693" s="18"/>
      <c r="B693" s="242"/>
      <c r="C693" s="243"/>
      <c r="D693" s="243"/>
      <c r="E693" s="244"/>
      <c r="F693" s="18"/>
      <c r="G693" s="18"/>
      <c r="H693" s="18"/>
      <c r="I693" s="59"/>
    </row>
    <row r="694" spans="1:9" ht="17.25" x14ac:dyDescent="0.25">
      <c r="A694" s="18" t="s">
        <v>42</v>
      </c>
      <c r="B694" s="221" t="s">
        <v>403</v>
      </c>
      <c r="C694" s="221"/>
      <c r="D694" s="221"/>
      <c r="E694" s="221"/>
      <c r="F694" s="18" t="s">
        <v>281</v>
      </c>
      <c r="G694" s="18">
        <v>12</v>
      </c>
      <c r="H694" s="18">
        <v>930</v>
      </c>
      <c r="I694" s="59">
        <v>11160</v>
      </c>
    </row>
    <row r="695" spans="1:9" x14ac:dyDescent="0.25">
      <c r="A695" s="18"/>
      <c r="B695" s="221"/>
      <c r="C695" s="221"/>
      <c r="D695" s="221"/>
      <c r="E695" s="221"/>
      <c r="F695" s="18"/>
      <c r="G695" s="18"/>
      <c r="H695" s="18"/>
      <c r="I695" s="59"/>
    </row>
    <row r="696" spans="1:9" ht="17.25" x14ac:dyDescent="0.25">
      <c r="A696" s="18" t="s">
        <v>46</v>
      </c>
      <c r="B696" s="221" t="s">
        <v>405</v>
      </c>
      <c r="C696" s="221"/>
      <c r="D696" s="221"/>
      <c r="E696" s="221"/>
      <c r="F696" s="18" t="s">
        <v>279</v>
      </c>
      <c r="G696" s="18">
        <v>285</v>
      </c>
      <c r="H696" s="18">
        <v>93</v>
      </c>
      <c r="I696" s="59">
        <v>21885</v>
      </c>
    </row>
    <row r="697" spans="1:9" x14ac:dyDescent="0.25">
      <c r="A697" s="18"/>
      <c r="B697" s="221" t="s">
        <v>409</v>
      </c>
      <c r="C697" s="221"/>
      <c r="D697" s="221"/>
      <c r="E697" s="221"/>
      <c r="F697" s="18"/>
      <c r="G697" s="18"/>
      <c r="H697" s="18"/>
      <c r="I697" s="59"/>
    </row>
    <row r="698" spans="1:9" x14ac:dyDescent="0.25">
      <c r="A698" s="18"/>
      <c r="B698" s="221" t="s">
        <v>413</v>
      </c>
      <c r="C698" s="221"/>
      <c r="D698" s="221"/>
      <c r="E698" s="221"/>
      <c r="F698" s="18"/>
      <c r="G698" s="18"/>
      <c r="H698" s="18"/>
      <c r="I698" s="59"/>
    </row>
    <row r="699" spans="1:9" x14ac:dyDescent="0.25">
      <c r="A699" s="18"/>
      <c r="B699" s="221"/>
      <c r="C699" s="221"/>
      <c r="D699" s="221"/>
      <c r="E699" s="221"/>
      <c r="F699" s="18"/>
      <c r="G699" s="18"/>
      <c r="H699" s="18"/>
      <c r="I699" s="59"/>
    </row>
    <row r="700" spans="1:9" ht="17.25" x14ac:dyDescent="0.25">
      <c r="A700" s="18" t="s">
        <v>49</v>
      </c>
      <c r="B700" s="221" t="s">
        <v>410</v>
      </c>
      <c r="C700" s="221"/>
      <c r="D700" s="221"/>
      <c r="E700" s="221"/>
      <c r="F700" s="18" t="s">
        <v>279</v>
      </c>
      <c r="G700" s="18">
        <v>235</v>
      </c>
      <c r="H700" s="18">
        <v>73</v>
      </c>
      <c r="I700" s="59">
        <v>17236</v>
      </c>
    </row>
    <row r="701" spans="1:9" x14ac:dyDescent="0.25">
      <c r="A701" s="18"/>
      <c r="B701" s="221" t="s">
        <v>411</v>
      </c>
      <c r="C701" s="221"/>
      <c r="D701" s="221"/>
      <c r="E701" s="221"/>
      <c r="F701" s="18"/>
      <c r="G701" s="18"/>
      <c r="H701" s="18"/>
      <c r="I701" s="59"/>
    </row>
    <row r="702" spans="1:9" x14ac:dyDescent="0.25">
      <c r="A702" s="18"/>
      <c r="B702" s="221" t="s">
        <v>412</v>
      </c>
      <c r="C702" s="221"/>
      <c r="D702" s="221"/>
      <c r="E702" s="221"/>
      <c r="F702" s="18"/>
      <c r="G702" s="18"/>
      <c r="H702" s="18"/>
      <c r="I702" s="59"/>
    </row>
    <row r="703" spans="1:9" x14ac:dyDescent="0.25">
      <c r="A703" s="18"/>
      <c r="B703" s="221"/>
      <c r="C703" s="221"/>
      <c r="D703" s="221"/>
      <c r="E703" s="221"/>
      <c r="F703" s="18"/>
      <c r="G703" s="18"/>
      <c r="H703" s="18"/>
      <c r="I703" s="59"/>
    </row>
    <row r="704" spans="1:9" x14ac:dyDescent="0.25">
      <c r="A704" s="18"/>
      <c r="B704" s="231" t="s">
        <v>416</v>
      </c>
      <c r="C704" s="231"/>
      <c r="D704" s="231"/>
      <c r="E704" s="231"/>
      <c r="F704" s="18"/>
      <c r="G704" s="18"/>
      <c r="H704" s="18"/>
      <c r="I704" s="59"/>
    </row>
    <row r="705" spans="1:9" x14ac:dyDescent="0.25">
      <c r="A705" s="18"/>
      <c r="B705" s="221"/>
      <c r="C705" s="221"/>
      <c r="D705" s="221"/>
      <c r="E705" s="221"/>
      <c r="F705" s="18"/>
      <c r="G705" s="18"/>
      <c r="H705" s="18"/>
      <c r="I705" s="59"/>
    </row>
    <row r="706" spans="1:9" ht="17.25" x14ac:dyDescent="0.25">
      <c r="A706" s="18" t="s">
        <v>53</v>
      </c>
      <c r="B706" s="221" t="s">
        <v>415</v>
      </c>
      <c r="C706" s="221"/>
      <c r="D706" s="221"/>
      <c r="E706" s="221"/>
      <c r="F706" s="18" t="s">
        <v>279</v>
      </c>
      <c r="G706" s="18">
        <v>23</v>
      </c>
      <c r="H706" s="18">
        <v>85</v>
      </c>
      <c r="I706" s="59">
        <v>1955</v>
      </c>
    </row>
    <row r="707" spans="1:9" x14ac:dyDescent="0.25">
      <c r="A707" s="18"/>
      <c r="B707" s="221"/>
      <c r="C707" s="221"/>
      <c r="D707" s="221"/>
      <c r="E707" s="221"/>
      <c r="F707" s="18"/>
      <c r="G707" s="18"/>
      <c r="H707" s="18"/>
      <c r="I707" s="59"/>
    </row>
    <row r="708" spans="1:9" x14ac:dyDescent="0.25">
      <c r="A708" s="18" t="s">
        <v>55</v>
      </c>
      <c r="B708" s="221" t="s">
        <v>417</v>
      </c>
      <c r="C708" s="221"/>
      <c r="D708" s="221"/>
      <c r="E708" s="221"/>
      <c r="F708" s="18" t="s">
        <v>214</v>
      </c>
      <c r="G708" s="18">
        <v>62</v>
      </c>
      <c r="H708" s="18">
        <v>47</v>
      </c>
      <c r="I708" s="59">
        <v>2914</v>
      </c>
    </row>
    <row r="709" spans="1:9" x14ac:dyDescent="0.25">
      <c r="A709" s="18"/>
      <c r="B709" s="221"/>
      <c r="C709" s="221"/>
      <c r="D709" s="221"/>
      <c r="E709" s="221"/>
      <c r="F709" s="18"/>
      <c r="G709" s="18"/>
      <c r="H709" s="18"/>
      <c r="I709" s="59"/>
    </row>
    <row r="710" spans="1:9" x14ac:dyDescent="0.25">
      <c r="A710" s="18"/>
      <c r="B710" s="310" t="s">
        <v>418</v>
      </c>
      <c r="C710" s="221"/>
      <c r="D710" s="221"/>
      <c r="E710" s="221"/>
      <c r="F710" s="18"/>
      <c r="G710" s="18"/>
      <c r="H710" s="18"/>
      <c r="I710" s="59"/>
    </row>
    <row r="711" spans="1:9" x14ac:dyDescent="0.25">
      <c r="A711" s="18"/>
      <c r="B711" s="221"/>
      <c r="C711" s="221"/>
      <c r="D711" s="221"/>
      <c r="E711" s="221"/>
      <c r="F711" s="18"/>
      <c r="G711" s="18"/>
      <c r="H711" s="18"/>
      <c r="I711" s="59"/>
    </row>
    <row r="712" spans="1:9" ht="17.25" x14ac:dyDescent="0.25">
      <c r="A712" s="18" t="s">
        <v>57</v>
      </c>
      <c r="B712" s="221" t="s">
        <v>419</v>
      </c>
      <c r="C712" s="221"/>
      <c r="D712" s="221"/>
      <c r="E712" s="221"/>
      <c r="F712" s="18" t="s">
        <v>281</v>
      </c>
      <c r="G712" s="18">
        <v>5</v>
      </c>
      <c r="H712" s="18">
        <v>1085</v>
      </c>
      <c r="I712" s="59">
        <v>5425</v>
      </c>
    </row>
    <row r="713" spans="1:9" x14ac:dyDescent="0.25">
      <c r="A713" s="18"/>
      <c r="B713" s="221"/>
      <c r="C713" s="221"/>
      <c r="D713" s="221"/>
      <c r="E713" s="221"/>
      <c r="F713" s="18"/>
      <c r="G713" s="18"/>
      <c r="H713" s="18"/>
      <c r="I713" s="59"/>
    </row>
    <row r="714" spans="1:9" ht="15.75" thickBot="1" x14ac:dyDescent="0.3">
      <c r="A714" s="11"/>
      <c r="B714" s="312"/>
      <c r="C714" s="302"/>
      <c r="D714" s="302"/>
      <c r="E714" s="303"/>
      <c r="F714" s="11"/>
      <c r="G714" s="11"/>
      <c r="H714" s="11"/>
      <c r="I714" s="60"/>
    </row>
    <row r="715" spans="1:9" x14ac:dyDescent="0.25">
      <c r="A715" s="7"/>
      <c r="B715" s="54"/>
      <c r="C715" s="54"/>
      <c r="D715" s="54"/>
      <c r="E715" s="54"/>
      <c r="F715" s="7"/>
      <c r="G715" s="7"/>
      <c r="H715" s="7"/>
      <c r="I715" s="81"/>
    </row>
    <row r="716" spans="1:9" x14ac:dyDescent="0.25">
      <c r="A716" s="7"/>
      <c r="B716" s="54"/>
      <c r="C716" s="54"/>
      <c r="D716" s="54"/>
      <c r="E716" s="54"/>
      <c r="F716" s="7"/>
      <c r="G716" s="7"/>
      <c r="H716" s="7"/>
      <c r="I716" s="81"/>
    </row>
    <row r="717" spans="1:9" x14ac:dyDescent="0.25">
      <c r="A717" s="7"/>
      <c r="B717" s="54"/>
      <c r="C717" s="54"/>
      <c r="D717" s="54"/>
      <c r="E717" s="54"/>
      <c r="F717" s="7"/>
      <c r="G717" s="7"/>
      <c r="H717" s="7"/>
      <c r="I717" s="81"/>
    </row>
    <row r="718" spans="1:9" x14ac:dyDescent="0.25">
      <c r="A718" s="7"/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7"/>
      <c r="B719" s="9"/>
      <c r="C719" s="9"/>
      <c r="D719" s="9"/>
      <c r="E719" s="9"/>
      <c r="F719" s="7"/>
      <c r="G719" s="7"/>
      <c r="H719" s="7"/>
      <c r="I719" s="7"/>
    </row>
    <row r="720" spans="1:9" ht="15.75" thickBot="1" x14ac:dyDescent="0.3">
      <c r="A720" s="7"/>
      <c r="B720" s="58"/>
      <c r="C720" s="58"/>
      <c r="D720" s="58"/>
      <c r="E720" s="58"/>
      <c r="F720" s="7"/>
      <c r="G720" s="7"/>
      <c r="H720" s="7"/>
      <c r="I720" s="7"/>
    </row>
    <row r="721" spans="1:9" ht="15.75" thickBot="1" x14ac:dyDescent="0.3">
      <c r="A721" s="38" t="s">
        <v>0</v>
      </c>
      <c r="B721" s="309" t="s">
        <v>1</v>
      </c>
      <c r="C721" s="309"/>
      <c r="D721" s="309"/>
      <c r="E721" s="309"/>
      <c r="F721" s="38" t="s">
        <v>24</v>
      </c>
      <c r="G721" s="38" t="s">
        <v>2</v>
      </c>
      <c r="H721" s="38" t="s">
        <v>3</v>
      </c>
      <c r="I721" s="38" t="s">
        <v>4</v>
      </c>
    </row>
    <row r="722" spans="1:9" x14ac:dyDescent="0.25">
      <c r="A722" s="18"/>
      <c r="B722" s="304"/>
      <c r="C722" s="249"/>
      <c r="D722" s="249"/>
      <c r="E722" s="305"/>
      <c r="F722" s="18"/>
      <c r="G722" s="18"/>
      <c r="H722" s="18"/>
      <c r="I722" s="18"/>
    </row>
    <row r="723" spans="1:9" x14ac:dyDescent="0.25">
      <c r="A723" s="18"/>
      <c r="B723" s="221"/>
      <c r="C723" s="221"/>
      <c r="D723" s="221"/>
      <c r="E723" s="221"/>
      <c r="F723" s="18"/>
      <c r="G723" s="18"/>
      <c r="H723" s="18"/>
      <c r="I723" s="18"/>
    </row>
    <row r="724" spans="1:9" x14ac:dyDescent="0.25">
      <c r="A724" s="18"/>
      <c r="B724" s="231" t="s">
        <v>420</v>
      </c>
      <c r="C724" s="231"/>
      <c r="D724" s="231"/>
      <c r="E724" s="231"/>
      <c r="F724" s="18"/>
      <c r="G724" s="18"/>
      <c r="H724" s="18"/>
      <c r="I724" s="18"/>
    </row>
    <row r="725" spans="1:9" x14ac:dyDescent="0.25">
      <c r="A725" s="18"/>
      <c r="B725" s="221"/>
      <c r="C725" s="221"/>
      <c r="D725" s="221"/>
      <c r="E725" s="221"/>
      <c r="F725" s="18"/>
      <c r="G725" s="18"/>
      <c r="H725" s="18"/>
      <c r="I725" s="18"/>
    </row>
    <row r="726" spans="1:9" x14ac:dyDescent="0.25">
      <c r="A726" s="18"/>
      <c r="B726" s="231" t="s">
        <v>421</v>
      </c>
      <c r="C726" s="231"/>
      <c r="D726" s="231"/>
      <c r="E726" s="231"/>
      <c r="F726" s="18"/>
      <c r="G726" s="18"/>
      <c r="H726" s="18"/>
      <c r="I726" s="18"/>
    </row>
    <row r="727" spans="1:9" x14ac:dyDescent="0.25">
      <c r="A727" s="18"/>
      <c r="B727" s="231" t="s">
        <v>422</v>
      </c>
      <c r="C727" s="231"/>
      <c r="D727" s="231"/>
      <c r="E727" s="231"/>
      <c r="F727" s="18"/>
      <c r="G727" s="18"/>
      <c r="H727" s="18"/>
      <c r="I727" s="18"/>
    </row>
    <row r="728" spans="1:9" x14ac:dyDescent="0.25">
      <c r="A728" s="18"/>
      <c r="B728" s="231" t="s">
        <v>423</v>
      </c>
      <c r="C728" s="231"/>
      <c r="D728" s="231"/>
      <c r="E728" s="231"/>
      <c r="F728" s="18"/>
      <c r="G728" s="18"/>
      <c r="H728" s="18"/>
      <c r="I728" s="18"/>
    </row>
    <row r="729" spans="1:9" x14ac:dyDescent="0.25">
      <c r="A729" s="18"/>
      <c r="B729" s="231"/>
      <c r="C729" s="231"/>
      <c r="D729" s="231"/>
      <c r="E729" s="231"/>
      <c r="F729" s="18"/>
      <c r="G729" s="18"/>
      <c r="H729" s="18"/>
      <c r="I729" s="18"/>
    </row>
    <row r="730" spans="1:9" ht="17.25" x14ac:dyDescent="0.25">
      <c r="A730" s="18" t="s">
        <v>85</v>
      </c>
      <c r="B730" s="221" t="s">
        <v>440</v>
      </c>
      <c r="C730" s="221"/>
      <c r="D730" s="221"/>
      <c r="E730" s="221"/>
      <c r="F730" s="18" t="s">
        <v>279</v>
      </c>
      <c r="G730" s="18">
        <v>82</v>
      </c>
      <c r="H730" s="18">
        <v>142</v>
      </c>
      <c r="I730" s="59">
        <v>11644</v>
      </c>
    </row>
    <row r="731" spans="1:9" x14ac:dyDescent="0.25">
      <c r="A731" s="18"/>
      <c r="B731" s="221"/>
      <c r="C731" s="221"/>
      <c r="D731" s="221"/>
      <c r="E731" s="221"/>
      <c r="F731" s="18"/>
      <c r="G731" s="18"/>
      <c r="H731" s="18"/>
      <c r="I731" s="18"/>
    </row>
    <row r="732" spans="1:9" x14ac:dyDescent="0.25">
      <c r="A732" s="18" t="s">
        <v>86</v>
      </c>
      <c r="B732" s="221" t="s">
        <v>441</v>
      </c>
      <c r="C732" s="221"/>
      <c r="D732" s="221"/>
      <c r="E732" s="221"/>
      <c r="F732" s="18" t="s">
        <v>214</v>
      </c>
      <c r="G732" s="18">
        <v>12</v>
      </c>
      <c r="H732" s="18">
        <v>35</v>
      </c>
      <c r="I732" s="59">
        <v>420</v>
      </c>
    </row>
    <row r="733" spans="1:9" x14ac:dyDescent="0.25">
      <c r="A733" s="18"/>
      <c r="B733" s="221"/>
      <c r="C733" s="221"/>
      <c r="D733" s="221"/>
      <c r="E733" s="221"/>
      <c r="F733" s="18"/>
      <c r="G733" s="18"/>
      <c r="H733" s="18"/>
      <c r="I733" s="18"/>
    </row>
    <row r="734" spans="1:9" ht="15.75" thickBot="1" x14ac:dyDescent="0.3">
      <c r="A734" s="18"/>
      <c r="B734" s="221"/>
      <c r="C734" s="221"/>
      <c r="D734" s="221"/>
      <c r="E734" s="221"/>
      <c r="F734" s="18"/>
      <c r="G734" s="18"/>
      <c r="H734" s="18"/>
      <c r="I734" s="18"/>
    </row>
    <row r="735" spans="1:9" x14ac:dyDescent="0.25">
      <c r="A735" s="19"/>
      <c r="B735" s="264"/>
      <c r="C735" s="264"/>
      <c r="D735" s="264"/>
      <c r="E735" s="264"/>
      <c r="F735" s="264"/>
      <c r="G735" s="264"/>
      <c r="H735" s="313"/>
      <c r="I735" s="85">
        <f>SUM(I674:L732)</f>
        <v>85054</v>
      </c>
    </row>
    <row r="736" spans="1:9" x14ac:dyDescent="0.25">
      <c r="A736" s="16"/>
      <c r="B736" s="226" t="s">
        <v>308</v>
      </c>
      <c r="C736" s="226"/>
      <c r="D736" s="226"/>
      <c r="E736" s="226"/>
      <c r="F736" s="226"/>
      <c r="G736" s="226"/>
      <c r="H736" s="227"/>
      <c r="I736" s="18"/>
    </row>
    <row r="737" spans="1:9" x14ac:dyDescent="0.25">
      <c r="A737" s="16"/>
      <c r="B737" s="226"/>
      <c r="C737" s="226"/>
      <c r="D737" s="226"/>
      <c r="E737" s="226"/>
      <c r="F737" s="226"/>
      <c r="G737" s="226"/>
      <c r="H737" s="227"/>
      <c r="I737" s="18"/>
    </row>
    <row r="738" spans="1:9" x14ac:dyDescent="0.25">
      <c r="A738" s="16"/>
      <c r="B738" s="226" t="s">
        <v>6</v>
      </c>
      <c r="C738" s="226"/>
      <c r="D738" s="226"/>
      <c r="E738" s="226"/>
      <c r="F738" s="226"/>
      <c r="G738" s="226"/>
      <c r="H738" s="227"/>
      <c r="I738" s="18"/>
    </row>
    <row r="739" spans="1:9" x14ac:dyDescent="0.25">
      <c r="A739" s="16"/>
      <c r="B739" s="226"/>
      <c r="C739" s="226"/>
      <c r="D739" s="226"/>
      <c r="E739" s="226"/>
      <c r="F739" s="226"/>
      <c r="G739" s="226"/>
      <c r="H739" s="227"/>
      <c r="I739" s="18"/>
    </row>
    <row r="740" spans="1:9" ht="15.75" thickBot="1" x14ac:dyDescent="0.3">
      <c r="A740" s="17"/>
      <c r="B740" s="263" t="s">
        <v>10</v>
      </c>
      <c r="C740" s="263"/>
      <c r="D740" s="263"/>
      <c r="E740" s="263"/>
      <c r="F740" s="263"/>
      <c r="G740" s="263"/>
      <c r="H740" s="273"/>
      <c r="I740" s="11"/>
    </row>
  </sheetData>
  <mergeCells count="652">
    <mergeCell ref="B729:E729"/>
    <mergeCell ref="B730:E730"/>
    <mergeCell ref="B732:E732"/>
    <mergeCell ref="B733:E733"/>
    <mergeCell ref="B708:E708"/>
    <mergeCell ref="B709:E709"/>
    <mergeCell ref="B690:E690"/>
    <mergeCell ref="B691:E691"/>
    <mergeCell ref="B693:E693"/>
    <mergeCell ref="B692:E692"/>
    <mergeCell ref="B694:E694"/>
    <mergeCell ref="B705:E705"/>
    <mergeCell ref="B706:E706"/>
    <mergeCell ref="B695:E695"/>
    <mergeCell ref="B740:H740"/>
    <mergeCell ref="B739:H739"/>
    <mergeCell ref="B623:E623"/>
    <mergeCell ref="B661:H661"/>
    <mergeCell ref="B667:H667"/>
    <mergeCell ref="B662:H662"/>
    <mergeCell ref="B663:H663"/>
    <mergeCell ref="B714:E714"/>
    <mergeCell ref="B682:E682"/>
    <mergeCell ref="B683:E683"/>
    <mergeCell ref="B734:E734"/>
    <mergeCell ref="B735:H735"/>
    <mergeCell ref="B736:H736"/>
    <mergeCell ref="B731:E731"/>
    <mergeCell ref="B684:E684"/>
    <mergeCell ref="B685:E685"/>
    <mergeCell ref="B665:H665"/>
    <mergeCell ref="B666:H666"/>
    <mergeCell ref="B725:E725"/>
    <mergeCell ref="B726:E726"/>
    <mergeCell ref="B737:H737"/>
    <mergeCell ref="B738:H738"/>
    <mergeCell ref="B727:E727"/>
    <mergeCell ref="B728:E728"/>
    <mergeCell ref="B702:E702"/>
    <mergeCell ref="B701:E701"/>
    <mergeCell ref="B704:E704"/>
    <mergeCell ref="B184:H184"/>
    <mergeCell ref="B185:H185"/>
    <mergeCell ref="B186:H186"/>
    <mergeCell ref="B131:E131"/>
    <mergeCell ref="B677:E677"/>
    <mergeCell ref="B648:E648"/>
    <mergeCell ref="B649:E649"/>
    <mergeCell ref="B650:E650"/>
    <mergeCell ref="B651:E651"/>
    <mergeCell ref="B664:H664"/>
    <mergeCell ref="B316:E316"/>
    <mergeCell ref="B317:E317"/>
    <mergeCell ref="B577:E577"/>
    <mergeCell ref="B612:E612"/>
    <mergeCell ref="B613:E613"/>
    <mergeCell ref="B614:E614"/>
    <mergeCell ref="B615:E615"/>
    <mergeCell ref="B647:E647"/>
    <mergeCell ref="B641:E641"/>
    <mergeCell ref="B634:E634"/>
    <mergeCell ref="B652:E652"/>
    <mergeCell ref="B642:E642"/>
    <mergeCell ref="B643:E643"/>
    <mergeCell ref="B644:E644"/>
    <mergeCell ref="B645:E645"/>
    <mergeCell ref="B646:E646"/>
    <mergeCell ref="B622:E622"/>
    <mergeCell ref="B604:E604"/>
    <mergeCell ref="B635:E635"/>
    <mergeCell ref="B636:E636"/>
    <mergeCell ref="B609:E609"/>
    <mergeCell ref="B703:E703"/>
    <mergeCell ref="B655:E655"/>
    <mergeCell ref="B656:E656"/>
    <mergeCell ref="B657:E657"/>
    <mergeCell ref="B658:E658"/>
    <mergeCell ref="B654:E654"/>
    <mergeCell ref="B637:E637"/>
    <mergeCell ref="B689:E689"/>
    <mergeCell ref="B696:E696"/>
    <mergeCell ref="B653:E653"/>
    <mergeCell ref="B659:E659"/>
    <mergeCell ref="B686:E686"/>
    <mergeCell ref="B687:E687"/>
    <mergeCell ref="B660:E660"/>
    <mergeCell ref="B678:E678"/>
    <mergeCell ref="B679:E679"/>
    <mergeCell ref="B673:E673"/>
    <mergeCell ref="B681:E681"/>
    <mergeCell ref="B674:E674"/>
    <mergeCell ref="B608:E608"/>
    <mergeCell ref="B620:E620"/>
    <mergeCell ref="B621:E621"/>
    <mergeCell ref="B587:E587"/>
    <mergeCell ref="B588:E588"/>
    <mergeCell ref="B597:E597"/>
    <mergeCell ref="B598:E598"/>
    <mergeCell ref="B599:E599"/>
    <mergeCell ref="B593:E593"/>
    <mergeCell ref="B618:E618"/>
    <mergeCell ref="B619:E619"/>
    <mergeCell ref="B595:E595"/>
    <mergeCell ref="B596:E596"/>
    <mergeCell ref="B602:E602"/>
    <mergeCell ref="B603:E603"/>
    <mergeCell ref="B600:E600"/>
    <mergeCell ref="B616:E616"/>
    <mergeCell ref="B617:E617"/>
    <mergeCell ref="B611:E611"/>
    <mergeCell ref="B594:E594"/>
    <mergeCell ref="B591:E591"/>
    <mergeCell ref="B592:E592"/>
    <mergeCell ref="B713:E713"/>
    <mergeCell ref="B724:E724"/>
    <mergeCell ref="B721:E721"/>
    <mergeCell ref="B722:E722"/>
    <mergeCell ref="B723:E723"/>
    <mergeCell ref="B628:E628"/>
    <mergeCell ref="B629:E629"/>
    <mergeCell ref="B711:E711"/>
    <mergeCell ref="B633:E633"/>
    <mergeCell ref="B640:E640"/>
    <mergeCell ref="B710:E710"/>
    <mergeCell ref="B638:E638"/>
    <mergeCell ref="B680:E680"/>
    <mergeCell ref="B630:E630"/>
    <mergeCell ref="B631:E631"/>
    <mergeCell ref="B632:E632"/>
    <mergeCell ref="B675:E675"/>
    <mergeCell ref="B676:E676"/>
    <mergeCell ref="B707:E707"/>
    <mergeCell ref="B697:E697"/>
    <mergeCell ref="B698:E698"/>
    <mergeCell ref="B699:E699"/>
    <mergeCell ref="B700:E700"/>
    <mergeCell ref="B688:E688"/>
    <mergeCell ref="B566:H566"/>
    <mergeCell ref="B567:H567"/>
    <mergeCell ref="B712:E712"/>
    <mergeCell ref="B639:E639"/>
    <mergeCell ref="B578:E578"/>
    <mergeCell ref="B579:E579"/>
    <mergeCell ref="B580:E580"/>
    <mergeCell ref="B581:E581"/>
    <mergeCell ref="B627:E627"/>
    <mergeCell ref="B626:E626"/>
    <mergeCell ref="B606:E606"/>
    <mergeCell ref="B607:E607"/>
    <mergeCell ref="B582:E582"/>
    <mergeCell ref="B583:E583"/>
    <mergeCell ref="B584:E584"/>
    <mergeCell ref="B585:E585"/>
    <mergeCell ref="B586:E586"/>
    <mergeCell ref="B589:E589"/>
    <mergeCell ref="B590:E590"/>
    <mergeCell ref="B610:E610"/>
    <mergeCell ref="B624:E624"/>
    <mergeCell ref="B625:E625"/>
    <mergeCell ref="B605:E605"/>
    <mergeCell ref="B601:E601"/>
    <mergeCell ref="B505:E505"/>
    <mergeCell ref="B531:E531"/>
    <mergeCell ref="B532:E532"/>
    <mergeCell ref="B541:E541"/>
    <mergeCell ref="B542:E542"/>
    <mergeCell ref="B543:E543"/>
    <mergeCell ref="B544:E544"/>
    <mergeCell ref="B537:E537"/>
    <mergeCell ref="B538:E538"/>
    <mergeCell ref="B539:E539"/>
    <mergeCell ref="B540:E540"/>
    <mergeCell ref="B574:E574"/>
    <mergeCell ref="B575:E575"/>
    <mergeCell ref="B573:E573"/>
    <mergeCell ref="B513:H513"/>
    <mergeCell ref="B518:H518"/>
    <mergeCell ref="B514:H514"/>
    <mergeCell ref="B533:E533"/>
    <mergeCell ref="B534:E534"/>
    <mergeCell ref="B535:E535"/>
    <mergeCell ref="B536:E536"/>
    <mergeCell ref="B549:E549"/>
    <mergeCell ref="B550:E550"/>
    <mergeCell ref="B551:E551"/>
    <mergeCell ref="B552:E552"/>
    <mergeCell ref="B545:E545"/>
    <mergeCell ref="B546:E546"/>
    <mergeCell ref="B547:E547"/>
    <mergeCell ref="B548:E548"/>
    <mergeCell ref="B557:E557"/>
    <mergeCell ref="B558:E558"/>
    <mergeCell ref="B559:E559"/>
    <mergeCell ref="B560:E560"/>
    <mergeCell ref="B553:E553"/>
    <mergeCell ref="B554:E554"/>
    <mergeCell ref="B506:E506"/>
    <mergeCell ref="B515:H515"/>
    <mergeCell ref="B516:H516"/>
    <mergeCell ref="B517:H517"/>
    <mergeCell ref="B565:H565"/>
    <mergeCell ref="B527:E527"/>
    <mergeCell ref="B528:E528"/>
    <mergeCell ref="B512:H512"/>
    <mergeCell ref="B529:E529"/>
    <mergeCell ref="B530:E530"/>
    <mergeCell ref="B511:H511"/>
    <mergeCell ref="B507:E507"/>
    <mergeCell ref="B508:E508"/>
    <mergeCell ref="B509:E509"/>
    <mergeCell ref="B510:E510"/>
    <mergeCell ref="B555:E555"/>
    <mergeCell ref="B556:E556"/>
    <mergeCell ref="B561:H561"/>
    <mergeCell ref="B562:H562"/>
    <mergeCell ref="B563:H563"/>
    <mergeCell ref="B564:H564"/>
    <mergeCell ref="B496:E496"/>
    <mergeCell ref="B490:E490"/>
    <mergeCell ref="B491:E491"/>
    <mergeCell ref="B501:E501"/>
    <mergeCell ref="B502:E502"/>
    <mergeCell ref="B503:E503"/>
    <mergeCell ref="B504:E504"/>
    <mergeCell ref="B497:E497"/>
    <mergeCell ref="B498:E498"/>
    <mergeCell ref="B499:E499"/>
    <mergeCell ref="B500:E500"/>
    <mergeCell ref="B487:E487"/>
    <mergeCell ref="B492:E492"/>
    <mergeCell ref="B485:E485"/>
    <mergeCell ref="B486:E486"/>
    <mergeCell ref="B488:E488"/>
    <mergeCell ref="B489:E489"/>
    <mergeCell ref="B493:E493"/>
    <mergeCell ref="B494:E494"/>
    <mergeCell ref="B495:E495"/>
    <mergeCell ref="B480:E480"/>
    <mergeCell ref="B478:E478"/>
    <mergeCell ref="B465:E465"/>
    <mergeCell ref="B466:E466"/>
    <mergeCell ref="B446:E446"/>
    <mergeCell ref="B463:E463"/>
    <mergeCell ref="B476:E476"/>
    <mergeCell ref="B482:E482"/>
    <mergeCell ref="B483:E483"/>
    <mergeCell ref="B472:E472"/>
    <mergeCell ref="B473:E473"/>
    <mergeCell ref="B474:E474"/>
    <mergeCell ref="B475:E475"/>
    <mergeCell ref="B479:E479"/>
    <mergeCell ref="B477:E477"/>
    <mergeCell ref="B456:E456"/>
    <mergeCell ref="B452:E452"/>
    <mergeCell ref="B454:E454"/>
    <mergeCell ref="B455:E455"/>
    <mergeCell ref="B457:E457"/>
    <mergeCell ref="B439:E439"/>
    <mergeCell ref="B484:E484"/>
    <mergeCell ref="B440:E440"/>
    <mergeCell ref="B441:E441"/>
    <mergeCell ref="B443:E443"/>
    <mergeCell ref="B445:E445"/>
    <mergeCell ref="B467:E467"/>
    <mergeCell ref="B468:E468"/>
    <mergeCell ref="B470:E470"/>
    <mergeCell ref="B471:E471"/>
    <mergeCell ref="B458:E458"/>
    <mergeCell ref="B459:E459"/>
    <mergeCell ref="B461:E461"/>
    <mergeCell ref="B462:E462"/>
    <mergeCell ref="B481:E481"/>
    <mergeCell ref="B469:E469"/>
    <mergeCell ref="B464:E464"/>
    <mergeCell ref="B453:E453"/>
    <mergeCell ref="B460:E460"/>
    <mergeCell ref="B448:E448"/>
    <mergeCell ref="B447:E447"/>
    <mergeCell ref="B449:E449"/>
    <mergeCell ref="B450:E450"/>
    <mergeCell ref="B451:E451"/>
    <mergeCell ref="B438:E438"/>
    <mergeCell ref="B377:E377"/>
    <mergeCell ref="B378:H378"/>
    <mergeCell ref="B424:H424"/>
    <mergeCell ref="B430:E430"/>
    <mergeCell ref="B379:H379"/>
    <mergeCell ref="B444:E444"/>
    <mergeCell ref="B442:E442"/>
    <mergeCell ref="B437:E437"/>
    <mergeCell ref="B435:E435"/>
    <mergeCell ref="B436:E436"/>
    <mergeCell ref="B375:E375"/>
    <mergeCell ref="B376:E376"/>
    <mergeCell ref="B362:H362"/>
    <mergeCell ref="B363:H363"/>
    <mergeCell ref="B364:H364"/>
    <mergeCell ref="B366:E366"/>
    <mergeCell ref="B367:E367"/>
    <mergeCell ref="B380:H380"/>
    <mergeCell ref="B434:E434"/>
    <mergeCell ref="B371:E371"/>
    <mergeCell ref="B372:E372"/>
    <mergeCell ref="B373:E373"/>
    <mergeCell ref="B374:E374"/>
    <mergeCell ref="B390:E390"/>
    <mergeCell ref="B391:E391"/>
    <mergeCell ref="B392:E392"/>
    <mergeCell ref="B393:E393"/>
    <mergeCell ref="B368:E368"/>
    <mergeCell ref="B369:E369"/>
    <mergeCell ref="B370:E370"/>
    <mergeCell ref="B361:E361"/>
    <mergeCell ref="B348:H348"/>
    <mergeCell ref="B356:E356"/>
    <mergeCell ref="B357:E357"/>
    <mergeCell ref="B358:E358"/>
    <mergeCell ref="B359:E359"/>
    <mergeCell ref="B360:E360"/>
    <mergeCell ref="B338:E338"/>
    <mergeCell ref="B337:E337"/>
    <mergeCell ref="B321:E321"/>
    <mergeCell ref="B322:E322"/>
    <mergeCell ref="B332:H332"/>
    <mergeCell ref="B335:H335"/>
    <mergeCell ref="B353:E353"/>
    <mergeCell ref="B339:E339"/>
    <mergeCell ref="B323:E323"/>
    <mergeCell ref="B324:E324"/>
    <mergeCell ref="B325:E325"/>
    <mergeCell ref="B326:E326"/>
    <mergeCell ref="B327:E327"/>
    <mergeCell ref="B328:E328"/>
    <mergeCell ref="B329:E329"/>
    <mergeCell ref="B330:E330"/>
    <mergeCell ref="B296:E296"/>
    <mergeCell ref="B309:E309"/>
    <mergeCell ref="B310:E310"/>
    <mergeCell ref="B299:E299"/>
    <mergeCell ref="B300:E300"/>
    <mergeCell ref="B306:E306"/>
    <mergeCell ref="B334:H334"/>
    <mergeCell ref="B318:E318"/>
    <mergeCell ref="B319:E319"/>
    <mergeCell ref="B320:E320"/>
    <mergeCell ref="B308:E308"/>
    <mergeCell ref="B301:E301"/>
    <mergeCell ref="B302:E302"/>
    <mergeCell ref="B303:E303"/>
    <mergeCell ref="B304:E304"/>
    <mergeCell ref="B333:H333"/>
    <mergeCell ref="B313:E313"/>
    <mergeCell ref="B314:E314"/>
    <mergeCell ref="B315:E315"/>
    <mergeCell ref="B262:E262"/>
    <mergeCell ref="B271:E271"/>
    <mergeCell ref="B228:H228"/>
    <mergeCell ref="B249:E249"/>
    <mergeCell ref="B243:E243"/>
    <mergeCell ref="B278:E278"/>
    <mergeCell ref="B267:E267"/>
    <mergeCell ref="B268:E268"/>
    <mergeCell ref="B269:E269"/>
    <mergeCell ref="B270:E270"/>
    <mergeCell ref="B272:E272"/>
    <mergeCell ref="B252:E252"/>
    <mergeCell ref="B251:E251"/>
    <mergeCell ref="B254:E254"/>
    <mergeCell ref="B253:E253"/>
    <mergeCell ref="B274:E274"/>
    <mergeCell ref="B275:E275"/>
    <mergeCell ref="B276:E276"/>
    <mergeCell ref="B277:E277"/>
    <mergeCell ref="B340:E340"/>
    <mergeCell ref="B341:E341"/>
    <mergeCell ref="B342:E342"/>
    <mergeCell ref="B352:E352"/>
    <mergeCell ref="B343:E343"/>
    <mergeCell ref="B344:E344"/>
    <mergeCell ref="B345:E345"/>
    <mergeCell ref="B347:E347"/>
    <mergeCell ref="B265:E265"/>
    <mergeCell ref="B273:E273"/>
    <mergeCell ref="B266:E266"/>
    <mergeCell ref="B297:E297"/>
    <mergeCell ref="B298:E298"/>
    <mergeCell ref="B287:E287"/>
    <mergeCell ref="B288:E288"/>
    <mergeCell ref="B289:E289"/>
    <mergeCell ref="B293:E293"/>
    <mergeCell ref="B294:E294"/>
    <mergeCell ref="B295:E295"/>
    <mergeCell ref="B307:E307"/>
    <mergeCell ref="B305:E305"/>
    <mergeCell ref="B290:E290"/>
    <mergeCell ref="B311:E311"/>
    <mergeCell ref="B312:E312"/>
    <mergeCell ref="B250:E250"/>
    <mergeCell ref="B247:E247"/>
    <mergeCell ref="B230:H230"/>
    <mergeCell ref="B244:E244"/>
    <mergeCell ref="B245:E245"/>
    <mergeCell ref="B264:E264"/>
    <mergeCell ref="B219:E219"/>
    <mergeCell ref="B220:E220"/>
    <mergeCell ref="B221:E221"/>
    <mergeCell ref="B241:E241"/>
    <mergeCell ref="B222:E222"/>
    <mergeCell ref="B223:E223"/>
    <mergeCell ref="B224:E224"/>
    <mergeCell ref="B242:E242"/>
    <mergeCell ref="B229:H229"/>
    <mergeCell ref="B246:E246"/>
    <mergeCell ref="B263:E263"/>
    <mergeCell ref="B255:E255"/>
    <mergeCell ref="B256:E256"/>
    <mergeCell ref="B257:E257"/>
    <mergeCell ref="B258:E258"/>
    <mergeCell ref="B259:E259"/>
    <mergeCell ref="B260:E260"/>
    <mergeCell ref="B261:E261"/>
    <mergeCell ref="B203:E203"/>
    <mergeCell ref="B204:E204"/>
    <mergeCell ref="B225:H225"/>
    <mergeCell ref="B226:H226"/>
    <mergeCell ref="B227:H227"/>
    <mergeCell ref="B211:E211"/>
    <mergeCell ref="B212:E212"/>
    <mergeCell ref="B213:E213"/>
    <mergeCell ref="B216:E216"/>
    <mergeCell ref="B217:E217"/>
    <mergeCell ref="B48:E48"/>
    <mergeCell ref="B86:E86"/>
    <mergeCell ref="B67:E67"/>
    <mergeCell ref="B79:E79"/>
    <mergeCell ref="B74:E74"/>
    <mergeCell ref="B75:E75"/>
    <mergeCell ref="B76:E76"/>
    <mergeCell ref="B77:E77"/>
    <mergeCell ref="B78:E78"/>
    <mergeCell ref="B62:E62"/>
    <mergeCell ref="B100:E100"/>
    <mergeCell ref="B101:E101"/>
    <mergeCell ref="B102:E102"/>
    <mergeCell ref="B103:E103"/>
    <mergeCell ref="B104:E104"/>
    <mergeCell ref="B105:E105"/>
    <mergeCell ref="B88:G88"/>
    <mergeCell ref="B95:G95"/>
    <mergeCell ref="B96:G96"/>
    <mergeCell ref="B97:G97"/>
    <mergeCell ref="B98:G98"/>
    <mergeCell ref="B99:E99"/>
    <mergeCell ref="B112:E112"/>
    <mergeCell ref="B113:E113"/>
    <mergeCell ref="B114:E114"/>
    <mergeCell ref="B115:E115"/>
    <mergeCell ref="B116:E116"/>
    <mergeCell ref="B117:E117"/>
    <mergeCell ref="B106:E106"/>
    <mergeCell ref="B107:E107"/>
    <mergeCell ref="B108:E108"/>
    <mergeCell ref="B109:E109"/>
    <mergeCell ref="B110:E110"/>
    <mergeCell ref="B111:E111"/>
    <mergeCell ref="B124:E124"/>
    <mergeCell ref="B125:E125"/>
    <mergeCell ref="B126:E126"/>
    <mergeCell ref="B127:E127"/>
    <mergeCell ref="B128:E128"/>
    <mergeCell ref="B129:E129"/>
    <mergeCell ref="B118:E118"/>
    <mergeCell ref="B119:E119"/>
    <mergeCell ref="B120:E120"/>
    <mergeCell ref="B121:E121"/>
    <mergeCell ref="B122:E122"/>
    <mergeCell ref="B123:E123"/>
    <mergeCell ref="B130:E130"/>
    <mergeCell ref="B132:E132"/>
    <mergeCell ref="B133:E133"/>
    <mergeCell ref="B134:E134"/>
    <mergeCell ref="B147:E147"/>
    <mergeCell ref="B148:E148"/>
    <mergeCell ref="B136:E136"/>
    <mergeCell ref="B135:E135"/>
    <mergeCell ref="B145:E145"/>
    <mergeCell ref="B146:E146"/>
    <mergeCell ref="B157:E157"/>
    <mergeCell ref="B137:E137"/>
    <mergeCell ref="B138:E138"/>
    <mergeCell ref="B139:E139"/>
    <mergeCell ref="B153:E153"/>
    <mergeCell ref="B154:E154"/>
    <mergeCell ref="B155:E155"/>
    <mergeCell ref="B156:E156"/>
    <mergeCell ref="B149:E149"/>
    <mergeCell ref="B150:E150"/>
    <mergeCell ref="B151:E151"/>
    <mergeCell ref="B152:E152"/>
    <mergeCell ref="B51:E51"/>
    <mergeCell ref="B52:E52"/>
    <mergeCell ref="B53:E53"/>
    <mergeCell ref="B54:E54"/>
    <mergeCell ref="B55:E55"/>
    <mergeCell ref="B56:E56"/>
    <mergeCell ref="B160:E160"/>
    <mergeCell ref="B57:E57"/>
    <mergeCell ref="B159:E159"/>
    <mergeCell ref="B68:E68"/>
    <mergeCell ref="B69:E69"/>
    <mergeCell ref="B70:E70"/>
    <mergeCell ref="B71:E71"/>
    <mergeCell ref="B72:E72"/>
    <mergeCell ref="B73:E73"/>
    <mergeCell ref="B158:E158"/>
    <mergeCell ref="B80:E80"/>
    <mergeCell ref="B81:E81"/>
    <mergeCell ref="B82:E82"/>
    <mergeCell ref="B83:E83"/>
    <mergeCell ref="B65:E65"/>
    <mergeCell ref="B66:E66"/>
    <mergeCell ref="B84:E84"/>
    <mergeCell ref="B85:E85"/>
    <mergeCell ref="B24:D24"/>
    <mergeCell ref="B28:D28"/>
    <mergeCell ref="B166:E166"/>
    <mergeCell ref="B30:D30"/>
    <mergeCell ref="B31:D31"/>
    <mergeCell ref="B167:E167"/>
    <mergeCell ref="B164:E164"/>
    <mergeCell ref="B165:E165"/>
    <mergeCell ref="B35:C35"/>
    <mergeCell ref="B37:D37"/>
    <mergeCell ref="B39:C39"/>
    <mergeCell ref="B42:C42"/>
    <mergeCell ref="B47:E47"/>
    <mergeCell ref="B49:E49"/>
    <mergeCell ref="B50:E50"/>
    <mergeCell ref="B162:E162"/>
    <mergeCell ref="B58:E58"/>
    <mergeCell ref="B59:E59"/>
    <mergeCell ref="B60:E60"/>
    <mergeCell ref="B61:E61"/>
    <mergeCell ref="B63:E63"/>
    <mergeCell ref="B64:E64"/>
    <mergeCell ref="B163:E163"/>
    <mergeCell ref="B161:E161"/>
    <mergeCell ref="B1:F1"/>
    <mergeCell ref="D3:E3"/>
    <mergeCell ref="C5:F5"/>
    <mergeCell ref="B182:E182"/>
    <mergeCell ref="B172:E172"/>
    <mergeCell ref="B173:E173"/>
    <mergeCell ref="B174:E174"/>
    <mergeCell ref="B11:D11"/>
    <mergeCell ref="B12:D12"/>
    <mergeCell ref="B18:D18"/>
    <mergeCell ref="B179:E179"/>
    <mergeCell ref="B180:E180"/>
    <mergeCell ref="B14:D14"/>
    <mergeCell ref="B181:E181"/>
    <mergeCell ref="B175:E175"/>
    <mergeCell ref="B176:E176"/>
    <mergeCell ref="B177:E177"/>
    <mergeCell ref="B178:E178"/>
    <mergeCell ref="B7:D7"/>
    <mergeCell ref="B8:D8"/>
    <mergeCell ref="B9:D9"/>
    <mergeCell ref="B10:D10"/>
    <mergeCell ref="B27:D27"/>
    <mergeCell ref="B25:D25"/>
    <mergeCell ref="B13:D13"/>
    <mergeCell ref="B193:E193"/>
    <mergeCell ref="B194:E194"/>
    <mergeCell ref="B383:E383"/>
    <mergeCell ref="B384:E384"/>
    <mergeCell ref="B355:E355"/>
    <mergeCell ref="B195:E195"/>
    <mergeCell ref="B196:E196"/>
    <mergeCell ref="B197:E197"/>
    <mergeCell ref="B198:E198"/>
    <mergeCell ref="B171:E171"/>
    <mergeCell ref="B183:E183"/>
    <mergeCell ref="B26:D26"/>
    <mergeCell ref="B15:D15"/>
    <mergeCell ref="B16:D16"/>
    <mergeCell ref="B17:D17"/>
    <mergeCell ref="B168:E168"/>
    <mergeCell ref="B169:E169"/>
    <mergeCell ref="B170:E170"/>
    <mergeCell ref="B19:D19"/>
    <mergeCell ref="B20:D20"/>
    <mergeCell ref="B21:D21"/>
    <mergeCell ref="B22:D22"/>
    <mergeCell ref="B23:D23"/>
    <mergeCell ref="B399:E399"/>
    <mergeCell ref="B199:E199"/>
    <mergeCell ref="B385:E385"/>
    <mergeCell ref="B386:E386"/>
    <mergeCell ref="B387:E387"/>
    <mergeCell ref="B388:E388"/>
    <mergeCell ref="B389:E389"/>
    <mergeCell ref="B207:E207"/>
    <mergeCell ref="B214:E214"/>
    <mergeCell ref="B200:E200"/>
    <mergeCell ref="B354:E354"/>
    <mergeCell ref="B350:H350"/>
    <mergeCell ref="B205:E205"/>
    <mergeCell ref="B206:E206"/>
    <mergeCell ref="B208:E208"/>
    <mergeCell ref="B209:E209"/>
    <mergeCell ref="B210:E210"/>
    <mergeCell ref="B349:H349"/>
    <mergeCell ref="B215:E215"/>
    <mergeCell ref="B346:E346"/>
    <mergeCell ref="B248:E248"/>
    <mergeCell ref="B218:E218"/>
    <mergeCell ref="B201:E201"/>
    <mergeCell ref="B202:E202"/>
    <mergeCell ref="B432:E432"/>
    <mergeCell ref="B433:E433"/>
    <mergeCell ref="B420:H420"/>
    <mergeCell ref="B421:H421"/>
    <mergeCell ref="B422:H422"/>
    <mergeCell ref="B423:H423"/>
    <mergeCell ref="B431:E431"/>
    <mergeCell ref="B418:H418"/>
    <mergeCell ref="B419:H419"/>
    <mergeCell ref="B331:E331"/>
    <mergeCell ref="B414:E414"/>
    <mergeCell ref="B415:E415"/>
    <mergeCell ref="B416:E416"/>
    <mergeCell ref="B417:H417"/>
    <mergeCell ref="B408:E408"/>
    <mergeCell ref="B409:E409"/>
    <mergeCell ref="B406:E406"/>
    <mergeCell ref="B407:E407"/>
    <mergeCell ref="B404:E404"/>
    <mergeCell ref="B400:E400"/>
    <mergeCell ref="B401:E401"/>
    <mergeCell ref="B410:E410"/>
    <mergeCell ref="B411:E411"/>
    <mergeCell ref="B412:E412"/>
    <mergeCell ref="B413:E413"/>
    <mergeCell ref="B402:E402"/>
    <mergeCell ref="B403:E403"/>
    <mergeCell ref="B405:E405"/>
    <mergeCell ref="B394:E394"/>
    <mergeCell ref="B395:E395"/>
    <mergeCell ref="B396:E396"/>
    <mergeCell ref="B397:E397"/>
    <mergeCell ref="B398:E398"/>
  </mergeCells>
  <phoneticPr fontId="0" type="noConversion"/>
  <pageMargins left="0.70866141732283472" right="0.70866141732283472" top="0.74803149606299213" bottom="0.74803149606299213" header="0.31496062992125984" footer="0.31496062992125984"/>
  <pageSetup orientation="portrait" r:id="rId1"/>
  <headerFooter>
    <oddHeader xml:space="preserve">&amp;C&amp;"-,Bold" Bill of Quantity for Mr. Oliver Latio to be build in Yei South Sudan C.E State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A22" workbookViewId="0">
      <selection activeCell="I46" sqref="I46"/>
    </sheetView>
  </sheetViews>
  <sheetFormatPr defaultRowHeight="15.75" x14ac:dyDescent="0.25"/>
  <cols>
    <col min="1" max="1" width="3.85546875" style="102" customWidth="1"/>
    <col min="2" max="3" width="9.140625" style="102"/>
    <col min="4" max="4" width="13.5703125" style="102" customWidth="1"/>
    <col min="5" max="5" width="2.140625" style="102" customWidth="1"/>
    <col min="6" max="6" width="2.5703125" style="102" customWidth="1"/>
    <col min="7" max="7" width="6" style="102" customWidth="1"/>
    <col min="8" max="8" width="9.7109375" style="102" customWidth="1"/>
    <col min="9" max="9" width="31.140625" style="203" customWidth="1"/>
    <col min="10" max="10" width="9.5703125" style="102" bestFit="1" customWidth="1"/>
    <col min="11" max="11" width="9.140625" style="102"/>
    <col min="12" max="12" width="11.5703125" style="102" bestFit="1" customWidth="1"/>
    <col min="13" max="14" width="9.140625" style="102"/>
    <col min="15" max="15" width="10.140625" style="102" bestFit="1" customWidth="1"/>
    <col min="16" max="16384" width="9.140625" style="102"/>
  </cols>
  <sheetData>
    <row r="1" spans="1:9" x14ac:dyDescent="0.25">
      <c r="A1"/>
      <c r="B1"/>
    </row>
    <row r="7" spans="1:9" ht="19.5" x14ac:dyDescent="0.4">
      <c r="A7" s="316" t="s">
        <v>508</v>
      </c>
      <c r="B7" s="317"/>
      <c r="C7" s="317"/>
      <c r="D7" s="317"/>
      <c r="E7" s="317"/>
      <c r="F7" s="317"/>
      <c r="G7" s="317"/>
      <c r="H7" s="317"/>
      <c r="I7" s="317"/>
    </row>
    <row r="8" spans="1:9" ht="19.5" x14ac:dyDescent="0.4">
      <c r="A8" s="116"/>
      <c r="B8" s="117"/>
      <c r="C8" s="117"/>
      <c r="D8" s="117"/>
      <c r="E8" s="117"/>
      <c r="F8" s="117"/>
      <c r="G8" s="117"/>
      <c r="H8" s="117"/>
      <c r="I8" s="204"/>
    </row>
    <row r="9" spans="1:9" ht="12" customHeight="1" thickBot="1" x14ac:dyDescent="0.3">
      <c r="A9" s="118"/>
      <c r="B9" s="117"/>
      <c r="C9" s="117"/>
      <c r="D9" s="117"/>
      <c r="E9" s="117"/>
      <c r="F9" s="117"/>
      <c r="G9" s="117"/>
      <c r="H9" s="117"/>
      <c r="I9" s="205"/>
    </row>
    <row r="10" spans="1:9" ht="18" customHeight="1" thickBot="1" x14ac:dyDescent="0.3">
      <c r="A10" s="104"/>
      <c r="B10" s="322" t="s">
        <v>1</v>
      </c>
      <c r="C10" s="323"/>
      <c r="D10" s="323"/>
      <c r="E10" s="323"/>
      <c r="F10" s="324"/>
      <c r="G10" s="104" t="s">
        <v>2</v>
      </c>
      <c r="H10" s="103" t="s">
        <v>3</v>
      </c>
      <c r="I10" s="206" t="s">
        <v>507</v>
      </c>
    </row>
    <row r="11" spans="1:9" ht="13.5" customHeight="1" x14ac:dyDescent="0.25">
      <c r="A11" s="105"/>
      <c r="B11" s="119"/>
      <c r="C11" s="120"/>
      <c r="D11" s="325" t="s">
        <v>5</v>
      </c>
      <c r="E11" s="326"/>
      <c r="F11" s="120"/>
      <c r="G11" s="120"/>
      <c r="H11" s="120"/>
      <c r="I11" s="207"/>
    </row>
    <row r="12" spans="1:9" ht="18" customHeight="1" thickBot="1" x14ac:dyDescent="0.3">
      <c r="A12" s="105"/>
      <c r="B12" s="126"/>
      <c r="C12" s="327" t="s">
        <v>6</v>
      </c>
      <c r="D12" s="327"/>
      <c r="E12" s="327"/>
      <c r="F12" s="327"/>
      <c r="G12" s="127"/>
      <c r="H12" s="127"/>
      <c r="I12" s="208"/>
    </row>
    <row r="13" spans="1:9" ht="9" customHeight="1" x14ac:dyDescent="0.25">
      <c r="A13" s="105"/>
      <c r="B13" s="121"/>
      <c r="C13" s="117"/>
      <c r="D13" s="117"/>
      <c r="E13" s="117"/>
      <c r="F13" s="117"/>
      <c r="G13" s="117"/>
      <c r="H13" s="117"/>
      <c r="I13" s="209"/>
    </row>
    <row r="14" spans="1:9" ht="16.5" customHeight="1" x14ac:dyDescent="0.25">
      <c r="A14" s="105"/>
      <c r="B14" s="318" t="s">
        <v>10</v>
      </c>
      <c r="C14" s="319"/>
      <c r="D14" s="319"/>
      <c r="E14" s="109"/>
      <c r="F14" s="109"/>
      <c r="G14" s="109"/>
      <c r="H14" s="109"/>
      <c r="I14" s="210">
        <v>29533500</v>
      </c>
    </row>
    <row r="15" spans="1:9" ht="6.75" customHeight="1" x14ac:dyDescent="0.25">
      <c r="A15" s="105"/>
      <c r="B15" s="318"/>
      <c r="C15" s="319"/>
      <c r="D15" s="319"/>
      <c r="E15" s="109"/>
      <c r="F15" s="109"/>
      <c r="G15" s="109"/>
      <c r="H15" s="109"/>
      <c r="I15" s="210"/>
    </row>
    <row r="16" spans="1:9" ht="21.75" customHeight="1" x14ac:dyDescent="0.25">
      <c r="A16" s="105"/>
      <c r="B16" s="318" t="s">
        <v>463</v>
      </c>
      <c r="C16" s="319"/>
      <c r="D16" s="319"/>
      <c r="E16" s="109"/>
      <c r="F16" s="109"/>
      <c r="G16" s="109"/>
      <c r="H16" s="109"/>
      <c r="I16" s="210">
        <f>Walling!I40</f>
        <v>11250500</v>
      </c>
    </row>
    <row r="17" spans="1:9" ht="10.5" customHeight="1" x14ac:dyDescent="0.25">
      <c r="A17" s="105"/>
      <c r="B17" s="318"/>
      <c r="C17" s="319"/>
      <c r="D17" s="319"/>
      <c r="E17" s="109"/>
      <c r="F17" s="109"/>
      <c r="G17" s="109"/>
      <c r="H17" s="109"/>
      <c r="I17" s="210"/>
    </row>
    <row r="18" spans="1:9" ht="21.75" customHeight="1" x14ac:dyDescent="0.25">
      <c r="A18" s="105"/>
      <c r="B18" s="318" t="s">
        <v>7</v>
      </c>
      <c r="C18" s="319"/>
      <c r="D18" s="319"/>
      <c r="E18" s="109"/>
      <c r="F18" s="109"/>
      <c r="G18" s="109"/>
      <c r="H18" s="109"/>
      <c r="I18" s="184">
        <f>'Roofing Sheets'!I33</f>
        <v>25837000</v>
      </c>
    </row>
    <row r="19" spans="1:9" ht="12" customHeight="1" x14ac:dyDescent="0.25">
      <c r="A19" s="105"/>
      <c r="B19" s="318"/>
      <c r="C19" s="319"/>
      <c r="D19" s="319"/>
      <c r="E19" s="109"/>
      <c r="F19" s="109"/>
      <c r="G19" s="109"/>
      <c r="H19" s="109"/>
      <c r="I19" s="210"/>
    </row>
    <row r="20" spans="1:9" ht="20.25" customHeight="1" x14ac:dyDescent="0.25">
      <c r="A20" s="105"/>
      <c r="B20" s="318" t="s">
        <v>8</v>
      </c>
      <c r="C20" s="319"/>
      <c r="D20" s="319"/>
      <c r="E20" s="109"/>
      <c r="F20" s="109"/>
      <c r="G20" s="109"/>
      <c r="H20" s="109"/>
      <c r="I20" s="210">
        <f>Windows!I38</f>
        <v>7650000</v>
      </c>
    </row>
    <row r="21" spans="1:9" ht="5.25" customHeight="1" x14ac:dyDescent="0.25">
      <c r="A21" s="105"/>
      <c r="B21" s="318"/>
      <c r="C21" s="319"/>
      <c r="D21" s="319"/>
      <c r="E21" s="109"/>
      <c r="F21" s="109"/>
      <c r="G21" s="109"/>
      <c r="H21" s="109"/>
      <c r="I21" s="210"/>
    </row>
    <row r="22" spans="1:9" ht="21.75" customHeight="1" x14ac:dyDescent="0.25">
      <c r="A22" s="105"/>
      <c r="B22" s="318" t="s">
        <v>9</v>
      </c>
      <c r="C22" s="319"/>
      <c r="D22" s="319"/>
      <c r="E22" s="109"/>
      <c r="F22" s="109"/>
      <c r="G22" s="109"/>
      <c r="H22" s="109"/>
      <c r="I22" s="210">
        <f>Doors!I41</f>
        <v>8498000</v>
      </c>
    </row>
    <row r="23" spans="1:9" ht="12" customHeight="1" x14ac:dyDescent="0.25">
      <c r="A23" s="105"/>
      <c r="B23" s="318"/>
      <c r="C23" s="319"/>
      <c r="D23" s="319"/>
      <c r="E23" s="109"/>
      <c r="F23" s="109"/>
      <c r="G23" s="109"/>
      <c r="H23" s="109"/>
      <c r="I23" s="210"/>
    </row>
    <row r="24" spans="1:9" ht="24" customHeight="1" x14ac:dyDescent="0.25">
      <c r="A24" s="105"/>
      <c r="B24" s="318" t="s">
        <v>12</v>
      </c>
      <c r="C24" s="319"/>
      <c r="D24" s="319"/>
      <c r="E24" s="109"/>
      <c r="F24" s="109"/>
      <c r="G24" s="109"/>
      <c r="H24" s="109"/>
      <c r="I24" s="210">
        <f>'External Wall finishes'!I12</f>
        <v>5008500</v>
      </c>
    </row>
    <row r="25" spans="1:9" ht="12" customHeight="1" x14ac:dyDescent="0.25">
      <c r="A25" s="105"/>
      <c r="B25" s="318"/>
      <c r="C25" s="319"/>
      <c r="D25" s="319"/>
      <c r="E25" s="109"/>
      <c r="F25" s="109"/>
      <c r="G25" s="109"/>
      <c r="H25" s="109"/>
      <c r="I25" s="210"/>
    </row>
    <row r="26" spans="1:9" ht="21.75" customHeight="1" x14ac:dyDescent="0.25">
      <c r="A26" s="105"/>
      <c r="B26" s="318" t="s">
        <v>13</v>
      </c>
      <c r="C26" s="319"/>
      <c r="D26" s="319"/>
      <c r="E26" s="109"/>
      <c r="F26" s="109"/>
      <c r="G26" s="109"/>
      <c r="H26" s="109"/>
      <c r="I26" s="210">
        <f>'Internal Wall finishes'!I11</f>
        <v>12171600</v>
      </c>
    </row>
    <row r="27" spans="1:9" ht="12" customHeight="1" x14ac:dyDescent="0.25">
      <c r="A27" s="105"/>
      <c r="B27" s="318"/>
      <c r="C27" s="319"/>
      <c r="D27" s="319"/>
      <c r="E27" s="109"/>
      <c r="F27" s="109"/>
      <c r="G27" s="109"/>
      <c r="H27" s="109"/>
      <c r="I27" s="210"/>
    </row>
    <row r="28" spans="1:9" ht="19.5" customHeight="1" x14ac:dyDescent="0.25">
      <c r="A28" s="105"/>
      <c r="B28" s="318" t="s">
        <v>14</v>
      </c>
      <c r="C28" s="319"/>
      <c r="D28" s="319"/>
      <c r="E28" s="109"/>
      <c r="F28" s="109"/>
      <c r="G28" s="109"/>
      <c r="H28" s="109"/>
      <c r="I28" s="210">
        <f>'Floor finishes'!I13</f>
        <v>11723000</v>
      </c>
    </row>
    <row r="29" spans="1:9" ht="12" customHeight="1" x14ac:dyDescent="0.25">
      <c r="A29" s="105"/>
      <c r="B29" s="318"/>
      <c r="C29" s="319"/>
      <c r="D29" s="319"/>
      <c r="E29" s="109"/>
      <c r="F29" s="109"/>
      <c r="G29" s="109"/>
      <c r="H29" s="109"/>
      <c r="I29" s="210"/>
    </row>
    <row r="30" spans="1:9" ht="22.5" customHeight="1" x14ac:dyDescent="0.25">
      <c r="A30" s="105"/>
      <c r="B30" s="318" t="s">
        <v>15</v>
      </c>
      <c r="C30" s="319"/>
      <c r="D30" s="319"/>
      <c r="E30" s="109"/>
      <c r="F30" s="109"/>
      <c r="G30" s="109"/>
      <c r="H30" s="109"/>
      <c r="I30" s="210">
        <f>'Ceiling Finishes'!I33</f>
        <v>15405500</v>
      </c>
    </row>
    <row r="31" spans="1:9" ht="12" customHeight="1" x14ac:dyDescent="0.25">
      <c r="A31" s="105"/>
      <c r="B31" s="318"/>
      <c r="C31" s="319"/>
      <c r="D31" s="319"/>
      <c r="E31" s="109"/>
      <c r="F31" s="109"/>
      <c r="G31" s="109"/>
      <c r="H31" s="109"/>
      <c r="I31" s="210"/>
    </row>
    <row r="32" spans="1:9" ht="20.25" customHeight="1" x14ac:dyDescent="0.25">
      <c r="A32" s="105"/>
      <c r="B32" s="318" t="s">
        <v>460</v>
      </c>
      <c r="C32" s="319"/>
      <c r="D32" s="319"/>
      <c r="E32" s="109"/>
      <c r="F32" s="109"/>
      <c r="G32" s="109"/>
      <c r="H32" s="109"/>
      <c r="I32" s="210">
        <f>Plumbing!I18</f>
        <v>3500000</v>
      </c>
    </row>
    <row r="33" spans="1:15" ht="12" customHeight="1" x14ac:dyDescent="0.25">
      <c r="A33" s="105"/>
      <c r="B33" s="318"/>
      <c r="C33" s="319"/>
      <c r="D33" s="319"/>
      <c r="E33" s="109"/>
      <c r="F33" s="109"/>
      <c r="G33" s="109"/>
      <c r="H33" s="109"/>
      <c r="I33" s="210"/>
    </row>
    <row r="34" spans="1:15" ht="18.75" customHeight="1" x14ac:dyDescent="0.25">
      <c r="A34" s="105"/>
      <c r="B34" s="318" t="s">
        <v>17</v>
      </c>
      <c r="C34" s="319"/>
      <c r="D34" s="319"/>
      <c r="E34" s="109"/>
      <c r="F34" s="109"/>
      <c r="G34" s="109"/>
      <c r="H34" s="109"/>
      <c r="I34" s="210">
        <f>Electrical!I13</f>
        <v>3200000</v>
      </c>
    </row>
    <row r="35" spans="1:15" ht="12" customHeight="1" x14ac:dyDescent="0.25">
      <c r="A35" s="105"/>
      <c r="B35" s="318"/>
      <c r="C35" s="319"/>
      <c r="D35" s="319"/>
      <c r="E35" s="109"/>
      <c r="F35" s="109"/>
      <c r="G35" s="109"/>
      <c r="H35" s="109"/>
      <c r="I35" s="210"/>
    </row>
    <row r="36" spans="1:15" ht="21.75" customHeight="1" x14ac:dyDescent="0.25">
      <c r="A36" s="105"/>
      <c r="B36" s="318" t="s">
        <v>513</v>
      </c>
      <c r="C36" s="319"/>
      <c r="D36" s="319"/>
      <c r="E36" s="109"/>
      <c r="F36" s="109"/>
      <c r="G36" s="109"/>
      <c r="H36" s="109"/>
      <c r="I36" s="210">
        <f>'External works'!F10</f>
        <v>4500000</v>
      </c>
    </row>
    <row r="37" spans="1:15" ht="2.25" customHeight="1" x14ac:dyDescent="0.25">
      <c r="A37" s="105"/>
      <c r="B37" s="320"/>
      <c r="C37" s="321"/>
      <c r="D37" s="321"/>
      <c r="E37" s="109"/>
      <c r="F37" s="109"/>
      <c r="G37" s="109"/>
      <c r="H37" s="109"/>
      <c r="I37" s="210"/>
    </row>
    <row r="38" spans="1:15" ht="12" customHeight="1" x14ac:dyDescent="0.25">
      <c r="A38" s="105"/>
      <c r="B38" s="108"/>
      <c r="C38" s="106"/>
      <c r="D38" s="106"/>
      <c r="E38" s="109"/>
      <c r="F38" s="109"/>
      <c r="G38" s="109"/>
      <c r="H38" s="109"/>
      <c r="I38" s="210"/>
      <c r="O38" s="110"/>
    </row>
    <row r="39" spans="1:15" ht="3" customHeight="1" thickBot="1" x14ac:dyDescent="0.3">
      <c r="A39" s="105"/>
      <c r="B39" s="122"/>
      <c r="C39" s="123"/>
      <c r="D39" s="123"/>
      <c r="E39" s="111"/>
      <c r="F39" s="111"/>
      <c r="G39" s="111"/>
      <c r="H39" s="111"/>
      <c r="I39" s="211"/>
    </row>
    <row r="40" spans="1:15" ht="10.5" customHeight="1" x14ac:dyDescent="0.3">
      <c r="A40" s="105"/>
      <c r="B40" s="113"/>
      <c r="C40" s="113"/>
      <c r="D40" s="113"/>
      <c r="E40" s="113"/>
      <c r="F40" s="113"/>
      <c r="G40" s="113"/>
      <c r="H40" s="113"/>
      <c r="I40" s="212"/>
    </row>
    <row r="41" spans="1:15" ht="12" customHeight="1" thickBot="1" x14ac:dyDescent="0.35">
      <c r="A41" s="112"/>
      <c r="B41" s="114"/>
      <c r="C41" s="115"/>
      <c r="D41" s="113"/>
      <c r="E41" s="113"/>
      <c r="F41" s="113"/>
      <c r="G41" s="113"/>
      <c r="H41" s="113"/>
      <c r="I41" s="213"/>
    </row>
    <row r="42" spans="1:15" ht="24.75" customHeight="1" thickBot="1" x14ac:dyDescent="0.4">
      <c r="A42" s="128"/>
      <c r="B42" s="314" t="s">
        <v>23</v>
      </c>
      <c r="C42" s="315"/>
      <c r="D42" s="124"/>
      <c r="E42" s="124"/>
      <c r="F42" s="124"/>
      <c r="G42" s="124"/>
      <c r="H42" s="125"/>
      <c r="I42" s="214">
        <f>SUM(I14:I36)</f>
        <v>138277600</v>
      </c>
    </row>
    <row r="43" spans="1:15" ht="12" customHeight="1" x14ac:dyDescent="0.25">
      <c r="A43" s="118"/>
      <c r="B43" s="109"/>
      <c r="C43" s="109"/>
      <c r="D43" s="109"/>
      <c r="E43" s="109"/>
      <c r="F43" s="109"/>
      <c r="G43" s="109"/>
      <c r="H43" s="109"/>
      <c r="I43" s="215"/>
    </row>
    <row r="44" spans="1:15" ht="12" customHeight="1" x14ac:dyDescent="0.25">
      <c r="A44" s="118"/>
      <c r="B44" s="117"/>
      <c r="C44" s="117"/>
      <c r="D44" s="117"/>
      <c r="E44" s="117"/>
      <c r="F44" s="117"/>
      <c r="G44" s="117"/>
      <c r="H44" s="117"/>
      <c r="I44" s="204"/>
    </row>
    <row r="45" spans="1:15" ht="12" customHeight="1" x14ac:dyDescent="0.25">
      <c r="A45" s="118"/>
      <c r="B45" s="109"/>
      <c r="C45" s="109"/>
      <c r="D45" s="109"/>
      <c r="E45" s="109"/>
      <c r="F45" s="109"/>
      <c r="G45" s="109"/>
      <c r="H45" s="109"/>
      <c r="I45" s="215"/>
    </row>
    <row r="46" spans="1:15" x14ac:dyDescent="0.25">
      <c r="A46" s="118"/>
      <c r="B46" s="109"/>
      <c r="C46" s="109"/>
      <c r="D46" s="109"/>
      <c r="E46" s="109"/>
      <c r="F46" s="109"/>
      <c r="G46" s="109"/>
      <c r="H46" s="109"/>
      <c r="I46" s="216"/>
    </row>
    <row r="47" spans="1:15" ht="12" customHeight="1" x14ac:dyDescent="0.25">
      <c r="A47" s="118"/>
      <c r="B47" s="117"/>
      <c r="C47" s="117"/>
      <c r="D47" s="117"/>
      <c r="E47" s="117"/>
      <c r="F47" s="117"/>
      <c r="G47" s="117"/>
      <c r="H47" s="117"/>
      <c r="I47" s="204"/>
    </row>
    <row r="48" spans="1:15" x14ac:dyDescent="0.25">
      <c r="B48" s="107"/>
      <c r="C48" s="107"/>
      <c r="D48" s="107"/>
      <c r="E48" s="107"/>
      <c r="F48" s="107"/>
      <c r="G48" s="107"/>
      <c r="H48" s="107"/>
      <c r="I48" s="217"/>
    </row>
    <row r="49" spans="2:9" x14ac:dyDescent="0.25">
      <c r="B49" s="107"/>
      <c r="C49" s="107"/>
      <c r="D49" s="107"/>
      <c r="E49" s="107"/>
      <c r="F49" s="107"/>
      <c r="G49" s="107"/>
      <c r="H49" s="107"/>
      <c r="I49" s="217"/>
    </row>
  </sheetData>
  <mergeCells count="29">
    <mergeCell ref="B16:D16"/>
    <mergeCell ref="B10:F10"/>
    <mergeCell ref="D11:E11"/>
    <mergeCell ref="C12:F12"/>
    <mergeCell ref="B14:D14"/>
    <mergeCell ref="B15:D15"/>
    <mergeCell ref="B28:D28"/>
    <mergeCell ref="B17:D17"/>
    <mergeCell ref="B18:D18"/>
    <mergeCell ref="B19:D19"/>
    <mergeCell ref="B20:D20"/>
    <mergeCell ref="B21:D21"/>
    <mergeCell ref="B22:D22"/>
    <mergeCell ref="B42:C42"/>
    <mergeCell ref="A7:I7"/>
    <mergeCell ref="B35:D35"/>
    <mergeCell ref="B37:D37"/>
    <mergeCell ref="B29:D29"/>
    <mergeCell ref="B30:D30"/>
    <mergeCell ref="B36:D36"/>
    <mergeCell ref="B31:D31"/>
    <mergeCell ref="B32:D32"/>
    <mergeCell ref="B33:D33"/>
    <mergeCell ref="B34:D34"/>
    <mergeCell ref="B23:D23"/>
    <mergeCell ref="B24:D24"/>
    <mergeCell ref="B25:D25"/>
    <mergeCell ref="B26:D26"/>
    <mergeCell ref="B27:D2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opLeftCell="A25" workbookViewId="0">
      <selection activeCell="I22" sqref="I22"/>
    </sheetView>
  </sheetViews>
  <sheetFormatPr defaultRowHeight="15" x14ac:dyDescent="0.25"/>
  <cols>
    <col min="1" max="1" width="3.5703125" customWidth="1"/>
    <col min="5" max="5" width="16.85546875" customWidth="1"/>
    <col min="6" max="6" width="6.28515625" customWidth="1"/>
    <col min="7" max="7" width="7.28515625" customWidth="1"/>
    <col min="8" max="8" width="11.42578125" style="137" customWidth="1"/>
    <col min="9" max="9" width="16.140625" style="143" bestFit="1" customWidth="1"/>
  </cols>
  <sheetData>
    <row r="1" spans="1:9" ht="16.5" thickBot="1" x14ac:dyDescent="0.3">
      <c r="A1" s="23"/>
      <c r="B1" s="23"/>
      <c r="C1" s="23"/>
      <c r="D1" s="23"/>
      <c r="E1" s="23"/>
      <c r="F1" s="5"/>
      <c r="G1" s="5"/>
      <c r="H1" s="148"/>
      <c r="I1" s="148"/>
    </row>
    <row r="2" spans="1:9" ht="16.5" thickBot="1" x14ac:dyDescent="0.3">
      <c r="A2" s="44" t="s">
        <v>0</v>
      </c>
      <c r="B2" s="245" t="s">
        <v>1</v>
      </c>
      <c r="C2" s="246"/>
      <c r="D2" s="246"/>
      <c r="E2" s="247"/>
      <c r="F2" s="44" t="s">
        <v>24</v>
      </c>
      <c r="G2" s="35" t="s">
        <v>2</v>
      </c>
      <c r="H2" s="145" t="s">
        <v>466</v>
      </c>
      <c r="I2" s="145" t="s">
        <v>465</v>
      </c>
    </row>
    <row r="3" spans="1:9" ht="15.75" x14ac:dyDescent="0.25">
      <c r="A3" s="24"/>
      <c r="B3" s="268" t="s">
        <v>6</v>
      </c>
      <c r="C3" s="269"/>
      <c r="D3" s="269"/>
      <c r="E3" s="270"/>
      <c r="F3" s="24"/>
      <c r="G3" s="24"/>
      <c r="H3" s="149"/>
      <c r="I3" s="149"/>
    </row>
    <row r="4" spans="1:9" ht="15.75" x14ac:dyDescent="0.25">
      <c r="A4" s="24"/>
      <c r="B4" s="257" t="s">
        <v>27</v>
      </c>
      <c r="C4" s="258"/>
      <c r="D4" s="258"/>
      <c r="E4" s="259"/>
      <c r="F4" s="24"/>
      <c r="G4" s="24"/>
      <c r="H4" s="149"/>
      <c r="I4" s="149"/>
    </row>
    <row r="5" spans="1:9" ht="15.75" x14ac:dyDescent="0.25">
      <c r="A5" s="24"/>
      <c r="B5" s="257" t="s">
        <v>28</v>
      </c>
      <c r="C5" s="258"/>
      <c r="D5" s="258"/>
      <c r="E5" s="259"/>
      <c r="F5" s="24"/>
      <c r="G5" s="24"/>
      <c r="H5" s="149"/>
      <c r="I5" s="149"/>
    </row>
    <row r="6" spans="1:9" ht="15.75" x14ac:dyDescent="0.25">
      <c r="A6" s="24"/>
      <c r="B6" s="257" t="s">
        <v>29</v>
      </c>
      <c r="C6" s="258"/>
      <c r="D6" s="258"/>
      <c r="E6" s="259"/>
      <c r="F6" s="24"/>
      <c r="G6" s="24"/>
      <c r="H6" s="149"/>
      <c r="I6" s="149"/>
    </row>
    <row r="7" spans="1:9" ht="15.75" x14ac:dyDescent="0.25">
      <c r="A7" s="24"/>
      <c r="B7" s="260"/>
      <c r="C7" s="261"/>
      <c r="D7" s="261"/>
      <c r="E7" s="262"/>
      <c r="F7" s="24"/>
      <c r="G7" s="50"/>
      <c r="H7" s="150"/>
      <c r="I7" s="150"/>
    </row>
    <row r="8" spans="1:9" ht="15.75" x14ac:dyDescent="0.25">
      <c r="A8" s="24" t="s">
        <v>30</v>
      </c>
      <c r="B8" s="260" t="s">
        <v>31</v>
      </c>
      <c r="C8" s="261"/>
      <c r="D8" s="261"/>
      <c r="E8" s="262"/>
      <c r="F8" s="24" t="s">
        <v>447</v>
      </c>
      <c r="G8" s="50">
        <v>513</v>
      </c>
      <c r="H8" s="150">
        <v>500</v>
      </c>
      <c r="I8" s="150">
        <f>G8*H8</f>
        <v>256500</v>
      </c>
    </row>
    <row r="9" spans="1:9" ht="15.75" x14ac:dyDescent="0.25">
      <c r="A9" s="24"/>
      <c r="B9" s="260" t="s">
        <v>32</v>
      </c>
      <c r="C9" s="261"/>
      <c r="D9" s="261"/>
      <c r="E9" s="262"/>
      <c r="F9" s="24"/>
      <c r="G9" s="50"/>
      <c r="H9" s="150"/>
      <c r="I9" s="150"/>
    </row>
    <row r="10" spans="1:9" ht="15.75" x14ac:dyDescent="0.25">
      <c r="A10" s="24"/>
      <c r="B10" s="260" t="s">
        <v>33</v>
      </c>
      <c r="C10" s="261"/>
      <c r="D10" s="261"/>
      <c r="E10" s="262"/>
      <c r="F10" s="24"/>
      <c r="G10" s="50"/>
      <c r="H10" s="150"/>
      <c r="I10" s="150"/>
    </row>
    <row r="11" spans="1:9" ht="15.75" x14ac:dyDescent="0.25">
      <c r="A11" s="24"/>
      <c r="B11" s="260" t="s">
        <v>34</v>
      </c>
      <c r="C11" s="261"/>
      <c r="D11" s="261"/>
      <c r="E11" s="262"/>
      <c r="F11" s="24"/>
      <c r="G11" s="50" t="s">
        <v>442</v>
      </c>
      <c r="H11" s="150"/>
      <c r="I11" s="150"/>
    </row>
    <row r="12" spans="1:9" ht="15.75" x14ac:dyDescent="0.25">
      <c r="A12" s="24" t="s">
        <v>36</v>
      </c>
      <c r="B12" s="260" t="s">
        <v>37</v>
      </c>
      <c r="C12" s="261"/>
      <c r="D12" s="261"/>
      <c r="E12" s="262"/>
      <c r="F12" s="24" t="s">
        <v>447</v>
      </c>
      <c r="G12" s="50">
        <v>513</v>
      </c>
      <c r="H12" s="150">
        <v>2000</v>
      </c>
      <c r="I12" s="150">
        <f>G12*H12</f>
        <v>1026000</v>
      </c>
    </row>
    <row r="13" spans="1:9" ht="15.75" x14ac:dyDescent="0.25">
      <c r="A13" s="24"/>
      <c r="B13" s="260" t="s">
        <v>38</v>
      </c>
      <c r="C13" s="261"/>
      <c r="D13" s="261"/>
      <c r="E13" s="262"/>
      <c r="F13" s="24"/>
      <c r="G13" s="50"/>
      <c r="H13" s="150"/>
      <c r="I13" s="150"/>
    </row>
    <row r="14" spans="1:9" ht="15.75" x14ac:dyDescent="0.25">
      <c r="A14" s="24"/>
      <c r="B14" s="260" t="s">
        <v>292</v>
      </c>
      <c r="C14" s="261"/>
      <c r="D14" s="261"/>
      <c r="E14" s="262"/>
      <c r="F14" s="24"/>
      <c r="G14" s="50"/>
      <c r="H14" s="150"/>
      <c r="I14" s="150"/>
    </row>
    <row r="15" spans="1:9" ht="15.75" x14ac:dyDescent="0.25">
      <c r="A15" s="24"/>
      <c r="B15" s="260"/>
      <c r="C15" s="261"/>
      <c r="D15" s="261"/>
      <c r="E15" s="262"/>
      <c r="F15" s="24"/>
      <c r="G15" s="50"/>
      <c r="H15" s="150"/>
      <c r="I15" s="150"/>
    </row>
    <row r="16" spans="1:9" ht="15.75" x14ac:dyDescent="0.25">
      <c r="A16" s="24" t="s">
        <v>39</v>
      </c>
      <c r="B16" s="260" t="s">
        <v>40</v>
      </c>
      <c r="C16" s="261"/>
      <c r="D16" s="261"/>
      <c r="E16" s="262"/>
      <c r="F16" s="130" t="s">
        <v>449</v>
      </c>
      <c r="G16" s="50">
        <v>70</v>
      </c>
      <c r="H16" s="150">
        <v>6000</v>
      </c>
      <c r="I16" s="150">
        <f>G16*H16</f>
        <v>420000</v>
      </c>
    </row>
    <row r="17" spans="1:9" ht="15.75" x14ac:dyDescent="0.25">
      <c r="A17" s="24"/>
      <c r="B17" s="260" t="s">
        <v>41</v>
      </c>
      <c r="C17" s="261"/>
      <c r="D17" s="261"/>
      <c r="E17" s="262"/>
      <c r="F17" s="24"/>
      <c r="G17" s="50"/>
      <c r="H17" s="150"/>
      <c r="I17" s="150"/>
    </row>
    <row r="18" spans="1:9" ht="15.75" x14ac:dyDescent="0.25">
      <c r="A18" s="24"/>
      <c r="B18" s="260" t="s">
        <v>293</v>
      </c>
      <c r="C18" s="261"/>
      <c r="D18" s="261"/>
      <c r="E18" s="262"/>
      <c r="F18" s="24"/>
      <c r="G18" s="50"/>
      <c r="H18" s="150"/>
      <c r="I18" s="150"/>
    </row>
    <row r="19" spans="1:9" ht="15.75" x14ac:dyDescent="0.25">
      <c r="A19" s="24"/>
      <c r="B19" s="260"/>
      <c r="C19" s="261"/>
      <c r="D19" s="261"/>
      <c r="E19" s="262"/>
      <c r="F19" s="24"/>
      <c r="G19" s="50"/>
      <c r="H19" s="150"/>
      <c r="I19" s="150"/>
    </row>
    <row r="20" spans="1:9" ht="15.75" x14ac:dyDescent="0.25">
      <c r="A20" s="24" t="s">
        <v>42</v>
      </c>
      <c r="B20" s="260" t="s">
        <v>45</v>
      </c>
      <c r="C20" s="261"/>
      <c r="D20" s="261"/>
      <c r="E20" s="262"/>
      <c r="F20" s="24" t="s">
        <v>448</v>
      </c>
      <c r="G20" s="50">
        <v>25</v>
      </c>
      <c r="H20" s="150">
        <v>11000</v>
      </c>
      <c r="I20" s="150">
        <f>G20*H20</f>
        <v>275000</v>
      </c>
    </row>
    <row r="21" spans="1:9" ht="15.75" x14ac:dyDescent="0.25">
      <c r="A21" s="24"/>
      <c r="B21" s="260" t="s">
        <v>294</v>
      </c>
      <c r="C21" s="261"/>
      <c r="D21" s="261"/>
      <c r="E21" s="262"/>
      <c r="F21" s="24"/>
      <c r="G21" s="50"/>
      <c r="H21" s="150"/>
      <c r="I21" s="150"/>
    </row>
    <row r="22" spans="1:9" ht="15.75" x14ac:dyDescent="0.25">
      <c r="A22" s="24"/>
      <c r="B22" s="260"/>
      <c r="C22" s="261"/>
      <c r="D22" s="261"/>
      <c r="E22" s="262"/>
      <c r="F22" s="24"/>
      <c r="G22" s="50"/>
      <c r="H22" s="150"/>
      <c r="I22" s="150"/>
    </row>
    <row r="23" spans="1:9" ht="15.75" x14ac:dyDescent="0.25">
      <c r="A23" s="24"/>
      <c r="B23" s="260"/>
      <c r="C23" s="261"/>
      <c r="D23" s="261"/>
      <c r="E23" s="262"/>
      <c r="F23" s="24"/>
      <c r="G23" s="50"/>
      <c r="H23" s="150"/>
      <c r="I23" s="150"/>
    </row>
    <row r="24" spans="1:9" ht="15.75" x14ac:dyDescent="0.25">
      <c r="A24" s="24" t="s">
        <v>49</v>
      </c>
      <c r="B24" s="260" t="s">
        <v>50</v>
      </c>
      <c r="C24" s="261"/>
      <c r="D24" s="261"/>
      <c r="E24" s="262"/>
      <c r="F24" s="24" t="s">
        <v>449</v>
      </c>
      <c r="G24" s="50">
        <v>25</v>
      </c>
      <c r="H24" s="150">
        <v>6000</v>
      </c>
      <c r="I24" s="150">
        <f>G24*H24</f>
        <v>150000</v>
      </c>
    </row>
    <row r="25" spans="1:9" ht="15.75" x14ac:dyDescent="0.25">
      <c r="A25" s="24"/>
      <c r="B25" s="260" t="s">
        <v>51</v>
      </c>
      <c r="C25" s="261"/>
      <c r="D25" s="261"/>
      <c r="E25" s="262"/>
      <c r="F25" s="24"/>
      <c r="G25" s="50"/>
      <c r="H25" s="150"/>
      <c r="I25" s="150"/>
    </row>
    <row r="26" spans="1:9" ht="15.75" x14ac:dyDescent="0.25">
      <c r="A26" s="24"/>
      <c r="B26" s="260" t="s">
        <v>52</v>
      </c>
      <c r="C26" s="261"/>
      <c r="D26" s="261"/>
      <c r="E26" s="262"/>
      <c r="F26" s="24"/>
      <c r="G26" s="50"/>
      <c r="H26" s="150"/>
      <c r="I26" s="150"/>
    </row>
    <row r="27" spans="1:9" ht="15.75" x14ac:dyDescent="0.25">
      <c r="A27" s="24"/>
      <c r="B27" s="260" t="s">
        <v>296</v>
      </c>
      <c r="C27" s="261"/>
      <c r="D27" s="261"/>
      <c r="E27" s="262"/>
      <c r="F27" s="24"/>
      <c r="G27" s="50"/>
      <c r="H27" s="150"/>
      <c r="I27" s="150"/>
    </row>
    <row r="28" spans="1:9" ht="15.75" x14ac:dyDescent="0.25">
      <c r="A28" s="24"/>
      <c r="B28" s="260"/>
      <c r="C28" s="261"/>
      <c r="D28" s="261"/>
      <c r="E28" s="262"/>
      <c r="F28" s="24"/>
      <c r="G28" s="50"/>
      <c r="H28" s="150"/>
      <c r="I28" s="150"/>
    </row>
    <row r="29" spans="1:9" ht="15.75" x14ac:dyDescent="0.25">
      <c r="A29" s="24" t="s">
        <v>53</v>
      </c>
      <c r="B29" s="260" t="s">
        <v>54</v>
      </c>
      <c r="C29" s="261"/>
      <c r="D29" s="261"/>
      <c r="E29" s="262"/>
      <c r="F29" s="24" t="s">
        <v>0</v>
      </c>
      <c r="G29" s="50">
        <v>1</v>
      </c>
      <c r="H29" s="150">
        <v>360000</v>
      </c>
      <c r="I29" s="150">
        <f>G29*H29</f>
        <v>360000</v>
      </c>
    </row>
    <row r="30" spans="1:9" ht="15.75" x14ac:dyDescent="0.25">
      <c r="A30" s="24"/>
      <c r="B30" s="260" t="s">
        <v>297</v>
      </c>
      <c r="C30" s="261"/>
      <c r="D30" s="261"/>
      <c r="E30" s="262"/>
      <c r="F30" s="24"/>
      <c r="G30" s="50"/>
      <c r="H30" s="150"/>
      <c r="I30" s="150"/>
    </row>
    <row r="31" spans="1:9" ht="15.75" x14ac:dyDescent="0.25">
      <c r="A31" s="26"/>
      <c r="B31" s="260"/>
      <c r="C31" s="261"/>
      <c r="D31" s="261"/>
      <c r="E31" s="262"/>
      <c r="F31" s="27"/>
      <c r="G31" s="50"/>
      <c r="H31" s="150"/>
      <c r="I31" s="150"/>
    </row>
    <row r="32" spans="1:9" ht="15.75" x14ac:dyDescent="0.25">
      <c r="A32" s="26" t="s">
        <v>55</v>
      </c>
      <c r="B32" s="260" t="s">
        <v>56</v>
      </c>
      <c r="C32" s="261"/>
      <c r="D32" s="261"/>
      <c r="E32" s="261"/>
      <c r="F32" s="18" t="s">
        <v>0</v>
      </c>
      <c r="G32" s="50">
        <v>1</v>
      </c>
      <c r="H32" s="150">
        <v>380000</v>
      </c>
      <c r="I32" s="150">
        <f>G32*H32</f>
        <v>380000</v>
      </c>
    </row>
    <row r="33" spans="1:9" ht="15.75" x14ac:dyDescent="0.25">
      <c r="A33" s="24"/>
      <c r="B33" s="261" t="s">
        <v>298</v>
      </c>
      <c r="C33" s="261"/>
      <c r="D33" s="261"/>
      <c r="E33" s="262"/>
      <c r="F33" s="24"/>
      <c r="G33" s="50"/>
      <c r="H33" s="150"/>
      <c r="I33" s="151"/>
    </row>
    <row r="34" spans="1:9" ht="15.75" x14ac:dyDescent="0.25">
      <c r="A34" s="24"/>
      <c r="B34" s="261"/>
      <c r="C34" s="261"/>
      <c r="D34" s="261"/>
      <c r="E34" s="262"/>
      <c r="F34" s="24"/>
      <c r="G34" s="50"/>
      <c r="H34" s="150"/>
      <c r="I34" s="150"/>
    </row>
    <row r="35" spans="1:9" ht="15.75" x14ac:dyDescent="0.25">
      <c r="A35" s="24" t="s">
        <v>57</v>
      </c>
      <c r="B35" s="328" t="s">
        <v>58</v>
      </c>
      <c r="C35" s="328"/>
      <c r="D35" s="328"/>
      <c r="E35" s="329"/>
      <c r="F35" s="131" t="s">
        <v>447</v>
      </c>
      <c r="G35" s="132">
        <v>225</v>
      </c>
      <c r="H35" s="152">
        <v>12000</v>
      </c>
      <c r="I35" s="152">
        <f>G35*H35</f>
        <v>2700000</v>
      </c>
    </row>
    <row r="36" spans="1:9" ht="15.75" x14ac:dyDescent="0.25">
      <c r="A36" s="24"/>
      <c r="B36" s="328" t="s">
        <v>474</v>
      </c>
      <c r="C36" s="328"/>
      <c r="D36" s="328"/>
      <c r="E36" s="329"/>
      <c r="F36" s="131"/>
      <c r="G36" s="132"/>
      <c r="H36" s="152"/>
      <c r="I36" s="152"/>
    </row>
    <row r="37" spans="1:9" ht="15.75" x14ac:dyDescent="0.25">
      <c r="A37" s="24"/>
      <c r="B37" s="328" t="s">
        <v>60</v>
      </c>
      <c r="C37" s="328"/>
      <c r="D37" s="328"/>
      <c r="E37" s="329"/>
      <c r="F37" s="131"/>
      <c r="G37" s="132"/>
      <c r="H37" s="152"/>
      <c r="I37" s="152"/>
    </row>
    <row r="38" spans="1:9" ht="16.5" thickBot="1" x14ac:dyDescent="0.3">
      <c r="A38" s="25"/>
      <c r="B38" s="271" t="s">
        <v>299</v>
      </c>
      <c r="C38" s="271"/>
      <c r="D38" s="271"/>
      <c r="E38" s="272"/>
      <c r="F38" s="133"/>
      <c r="G38" s="133"/>
      <c r="H38" s="200"/>
      <c r="I38" s="153"/>
    </row>
    <row r="39" spans="1:9" ht="15.75" x14ac:dyDescent="0.25">
      <c r="A39" s="28"/>
      <c r="B39" s="253" t="s">
        <v>308</v>
      </c>
      <c r="C39" s="253"/>
      <c r="D39" s="253"/>
      <c r="E39" s="253"/>
      <c r="F39" s="42"/>
      <c r="G39" s="42"/>
      <c r="H39" s="201"/>
      <c r="I39" s="154">
        <f>SUM(I8:I38)</f>
        <v>5567500</v>
      </c>
    </row>
    <row r="40" spans="1:9" ht="15.75" thickBot="1" x14ac:dyDescent="0.3">
      <c r="A40" s="89"/>
      <c r="B40" s="263"/>
      <c r="C40" s="263"/>
      <c r="D40" s="263"/>
      <c r="E40" s="263"/>
      <c r="F40" s="263"/>
      <c r="G40" s="263"/>
      <c r="H40" s="202"/>
      <c r="I40" s="155"/>
    </row>
  </sheetData>
  <mergeCells count="39">
    <mergeCell ref="B35:E35"/>
    <mergeCell ref="B36:E36"/>
    <mergeCell ref="B37:E37"/>
    <mergeCell ref="B38:E38"/>
    <mergeCell ref="B40:G40"/>
    <mergeCell ref="B22:E22"/>
    <mergeCell ref="B34:E34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17:E17"/>
    <mergeCell ref="B18:E18"/>
    <mergeCell ref="B19:E19"/>
    <mergeCell ref="B20:E20"/>
    <mergeCell ref="B21:E21"/>
    <mergeCell ref="B39:E39"/>
    <mergeCell ref="B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opLeftCell="A22" workbookViewId="0">
      <selection activeCell="I9" sqref="I9"/>
    </sheetView>
  </sheetViews>
  <sheetFormatPr defaultRowHeight="15" x14ac:dyDescent="0.25"/>
  <cols>
    <col min="1" max="1" width="5.42578125" customWidth="1"/>
    <col min="5" max="5" width="16.85546875" customWidth="1"/>
    <col min="6" max="6" width="4.85546875" bestFit="1" customWidth="1"/>
    <col min="7" max="7" width="10.7109375" customWidth="1"/>
    <col min="8" max="8" width="16.7109375" style="137" customWidth="1"/>
    <col min="9" max="9" width="16.42578125" style="143" customWidth="1"/>
  </cols>
  <sheetData>
    <row r="1" spans="1:9" ht="15.75" thickBot="1" x14ac:dyDescent="0.3">
      <c r="A1" s="20"/>
      <c r="B1" s="263" t="s">
        <v>10</v>
      </c>
      <c r="C1" s="263"/>
      <c r="D1" s="263"/>
      <c r="E1" s="263"/>
      <c r="F1" s="263"/>
      <c r="G1" s="263"/>
      <c r="H1" s="180"/>
      <c r="I1" s="144"/>
    </row>
    <row r="2" spans="1:9" ht="16.5" thickBot="1" x14ac:dyDescent="0.3">
      <c r="A2" s="38" t="s">
        <v>0</v>
      </c>
      <c r="B2" s="234" t="s">
        <v>1</v>
      </c>
      <c r="C2" s="235"/>
      <c r="D2" s="235"/>
      <c r="E2" s="236"/>
      <c r="F2" s="38" t="s">
        <v>24</v>
      </c>
      <c r="G2" s="38" t="s">
        <v>2</v>
      </c>
      <c r="H2" s="181" t="s">
        <v>470</v>
      </c>
      <c r="I2" s="145" t="s">
        <v>465</v>
      </c>
    </row>
    <row r="3" spans="1:9" x14ac:dyDescent="0.25">
      <c r="A3" s="18"/>
      <c r="B3" s="267" t="s">
        <v>62</v>
      </c>
      <c r="C3" s="226"/>
      <c r="D3" s="226"/>
      <c r="E3" s="227"/>
      <c r="F3" s="18"/>
      <c r="G3" s="18"/>
      <c r="H3" s="136"/>
      <c r="I3" s="139"/>
    </row>
    <row r="4" spans="1:9" x14ac:dyDescent="0.25">
      <c r="A4" s="18"/>
      <c r="B4" s="254"/>
      <c r="C4" s="228"/>
      <c r="D4" s="228"/>
      <c r="E4" s="229"/>
      <c r="F4" s="18"/>
      <c r="G4" s="18"/>
      <c r="H4" s="136"/>
      <c r="I4" s="139"/>
    </row>
    <row r="5" spans="1:9" x14ac:dyDescent="0.25">
      <c r="A5" s="18" t="s">
        <v>30</v>
      </c>
      <c r="B5" s="254" t="s">
        <v>63</v>
      </c>
      <c r="C5" s="228"/>
      <c r="D5" s="228"/>
      <c r="E5" s="229"/>
      <c r="F5" s="18" t="s">
        <v>447</v>
      </c>
      <c r="G5" s="18">
        <v>38</v>
      </c>
      <c r="H5" s="136">
        <v>8500</v>
      </c>
      <c r="I5" s="139">
        <f>G5*H5</f>
        <v>323000</v>
      </c>
    </row>
    <row r="6" spans="1:9" x14ac:dyDescent="0.25">
      <c r="A6" s="18"/>
      <c r="B6" s="254" t="s">
        <v>512</v>
      </c>
      <c r="C6" s="228"/>
      <c r="D6" s="228"/>
      <c r="E6" s="229"/>
      <c r="F6" s="18"/>
      <c r="G6" s="18"/>
      <c r="H6" s="136"/>
      <c r="I6" s="139"/>
    </row>
    <row r="7" spans="1:9" x14ac:dyDescent="0.25">
      <c r="A7" s="18"/>
      <c r="B7" s="254"/>
      <c r="C7" s="228"/>
      <c r="D7" s="228"/>
      <c r="E7" s="229"/>
      <c r="F7" s="18"/>
      <c r="G7" s="18"/>
      <c r="H7" s="136"/>
      <c r="I7" s="139"/>
    </row>
    <row r="8" spans="1:9" x14ac:dyDescent="0.25">
      <c r="A8" s="18" t="s">
        <v>36</v>
      </c>
      <c r="B8" s="254" t="s">
        <v>64</v>
      </c>
      <c r="C8" s="228"/>
      <c r="D8" s="228"/>
      <c r="E8" s="229"/>
      <c r="F8" s="18" t="s">
        <v>447</v>
      </c>
      <c r="G8" s="18">
        <v>38</v>
      </c>
      <c r="H8" s="136">
        <v>15000</v>
      </c>
      <c r="I8" s="139">
        <f>G8*H8</f>
        <v>570000</v>
      </c>
    </row>
    <row r="9" spans="1:9" x14ac:dyDescent="0.25">
      <c r="A9" s="18"/>
      <c r="B9" s="254" t="s">
        <v>65</v>
      </c>
      <c r="C9" s="228"/>
      <c r="D9" s="228"/>
      <c r="E9" s="229"/>
      <c r="F9" s="18"/>
      <c r="G9" s="18"/>
      <c r="H9" s="136"/>
      <c r="I9" s="139"/>
    </row>
    <row r="10" spans="1:9" x14ac:dyDescent="0.25">
      <c r="A10" s="18"/>
      <c r="B10" s="254" t="s">
        <v>512</v>
      </c>
      <c r="C10" s="228"/>
      <c r="D10" s="228"/>
      <c r="E10" s="229"/>
      <c r="F10" s="18"/>
      <c r="G10" s="18"/>
      <c r="H10" s="136"/>
      <c r="I10" s="139"/>
    </row>
    <row r="11" spans="1:9" x14ac:dyDescent="0.25">
      <c r="A11" s="18"/>
      <c r="B11" s="254"/>
      <c r="C11" s="228"/>
      <c r="D11" s="228"/>
      <c r="E11" s="229"/>
      <c r="F11" s="18"/>
      <c r="G11" s="18"/>
      <c r="H11" s="136"/>
      <c r="I11" s="139"/>
    </row>
    <row r="12" spans="1:9" x14ac:dyDescent="0.25">
      <c r="A12" s="18"/>
      <c r="B12" s="267" t="s">
        <v>66</v>
      </c>
      <c r="C12" s="226"/>
      <c r="D12" s="226"/>
      <c r="E12" s="227"/>
      <c r="F12" s="18"/>
      <c r="G12" s="18"/>
      <c r="H12" s="136"/>
      <c r="I12" s="139"/>
    </row>
    <row r="13" spans="1:9" x14ac:dyDescent="0.25">
      <c r="A13" s="18" t="s">
        <v>39</v>
      </c>
      <c r="B13" s="254" t="s">
        <v>67</v>
      </c>
      <c r="C13" s="228"/>
      <c r="D13" s="228"/>
      <c r="E13" s="229"/>
      <c r="F13" s="18" t="s">
        <v>447</v>
      </c>
      <c r="G13" s="18">
        <v>62</v>
      </c>
      <c r="H13" s="136">
        <v>30000</v>
      </c>
      <c r="I13" s="139">
        <f>G13*H13</f>
        <v>1860000</v>
      </c>
    </row>
    <row r="14" spans="1:9" x14ac:dyDescent="0.25">
      <c r="A14" s="18"/>
      <c r="B14" s="254" t="s">
        <v>301</v>
      </c>
      <c r="C14" s="228"/>
      <c r="D14" s="228"/>
      <c r="E14" s="229"/>
      <c r="F14" s="18"/>
      <c r="G14" s="18"/>
      <c r="H14" s="136"/>
      <c r="I14" s="139"/>
    </row>
    <row r="15" spans="1:9" x14ac:dyDescent="0.25">
      <c r="A15" s="18"/>
      <c r="B15" s="254"/>
      <c r="C15" s="228"/>
      <c r="D15" s="228"/>
      <c r="E15" s="229"/>
      <c r="F15" s="18"/>
      <c r="G15" s="18"/>
      <c r="H15" s="136"/>
      <c r="I15" s="139"/>
    </row>
    <row r="16" spans="1:9" x14ac:dyDescent="0.25">
      <c r="A16" s="18" t="s">
        <v>42</v>
      </c>
      <c r="B16" s="330" t="s">
        <v>475</v>
      </c>
      <c r="C16" s="331"/>
      <c r="D16" s="331"/>
      <c r="E16" s="332"/>
      <c r="F16" s="18" t="s">
        <v>447</v>
      </c>
      <c r="G16" s="18">
        <v>82</v>
      </c>
      <c r="H16" s="136">
        <v>30000</v>
      </c>
      <c r="I16" s="139">
        <f>G16*H16</f>
        <v>2460000</v>
      </c>
    </row>
    <row r="17" spans="1:9" x14ac:dyDescent="0.25">
      <c r="A17" s="18"/>
      <c r="B17" s="254"/>
      <c r="C17" s="228"/>
      <c r="D17" s="228"/>
      <c r="E17" s="229"/>
      <c r="F17" s="18"/>
      <c r="G17" s="18"/>
      <c r="H17" s="136"/>
      <c r="I17" s="139"/>
    </row>
    <row r="18" spans="1:9" x14ac:dyDescent="0.25">
      <c r="A18" s="18"/>
      <c r="B18" s="254"/>
      <c r="C18" s="228"/>
      <c r="D18" s="228"/>
      <c r="E18" s="229"/>
      <c r="F18" s="18"/>
      <c r="G18" s="18"/>
      <c r="H18" s="136"/>
      <c r="I18" s="139"/>
    </row>
    <row r="19" spans="1:9" x14ac:dyDescent="0.25">
      <c r="A19" s="18" t="s">
        <v>46</v>
      </c>
      <c r="B19" s="254" t="s">
        <v>69</v>
      </c>
      <c r="C19" s="228"/>
      <c r="D19" s="228"/>
      <c r="E19" s="229"/>
      <c r="F19" s="18" t="s">
        <v>447</v>
      </c>
      <c r="G19" s="18">
        <v>79</v>
      </c>
      <c r="H19" s="136">
        <v>25000</v>
      </c>
      <c r="I19" s="139">
        <f>G19*H19</f>
        <v>1975000</v>
      </c>
    </row>
    <row r="20" spans="1:9" x14ac:dyDescent="0.25">
      <c r="A20" s="18"/>
      <c r="B20" s="254" t="s">
        <v>303</v>
      </c>
      <c r="C20" s="228"/>
      <c r="D20" s="228"/>
      <c r="E20" s="229"/>
      <c r="F20" s="18"/>
      <c r="G20" s="18"/>
      <c r="H20" s="136"/>
      <c r="I20" s="139"/>
    </row>
    <row r="21" spans="1:9" x14ac:dyDescent="0.25">
      <c r="A21" s="18"/>
      <c r="B21" s="254"/>
      <c r="C21" s="228"/>
      <c r="D21" s="228"/>
      <c r="E21" s="229"/>
      <c r="F21" s="18"/>
      <c r="G21" s="18"/>
      <c r="H21" s="136"/>
      <c r="I21" s="139"/>
    </row>
    <row r="22" spans="1:9" x14ac:dyDescent="0.25">
      <c r="A22" s="18"/>
      <c r="B22" s="267" t="s">
        <v>305</v>
      </c>
      <c r="C22" s="226"/>
      <c r="D22" s="226"/>
      <c r="E22" s="227"/>
      <c r="F22" s="18"/>
      <c r="G22" s="18"/>
      <c r="H22" s="136"/>
      <c r="I22" s="139"/>
    </row>
    <row r="23" spans="1:9" x14ac:dyDescent="0.25">
      <c r="A23" s="18" t="s">
        <v>49</v>
      </c>
      <c r="B23" s="254" t="s">
        <v>304</v>
      </c>
      <c r="C23" s="228"/>
      <c r="D23" s="228"/>
      <c r="E23" s="229"/>
      <c r="F23" s="18" t="s">
        <v>280</v>
      </c>
      <c r="G23" s="18">
        <v>140</v>
      </c>
      <c r="H23" s="136">
        <v>4000</v>
      </c>
      <c r="I23" s="139">
        <f>G23*H23</f>
        <v>560000</v>
      </c>
    </row>
    <row r="24" spans="1:9" x14ac:dyDescent="0.25">
      <c r="A24" s="18"/>
      <c r="B24" s="254"/>
      <c r="C24" s="228"/>
      <c r="D24" s="228"/>
      <c r="E24" s="229"/>
      <c r="F24" s="18"/>
      <c r="G24" s="18"/>
      <c r="H24" s="136"/>
      <c r="I24" s="139"/>
    </row>
    <row r="25" spans="1:9" x14ac:dyDescent="0.25">
      <c r="A25" s="18" t="s">
        <v>53</v>
      </c>
      <c r="B25" s="254" t="s">
        <v>70</v>
      </c>
      <c r="C25" s="228"/>
      <c r="D25" s="228"/>
      <c r="E25" s="229"/>
      <c r="F25" s="18" t="s">
        <v>280</v>
      </c>
      <c r="G25" s="18">
        <v>80</v>
      </c>
      <c r="H25" s="136">
        <v>4000</v>
      </c>
      <c r="I25" s="139">
        <f>G25*H25</f>
        <v>320000</v>
      </c>
    </row>
    <row r="26" spans="1:9" x14ac:dyDescent="0.25">
      <c r="A26" s="18"/>
      <c r="B26" s="254" t="s">
        <v>306</v>
      </c>
      <c r="C26" s="228"/>
      <c r="D26" s="228"/>
      <c r="E26" s="229"/>
      <c r="F26" s="18"/>
      <c r="G26" s="18"/>
      <c r="H26" s="136"/>
      <c r="I26" s="139"/>
    </row>
    <row r="27" spans="1:9" x14ac:dyDescent="0.25">
      <c r="A27" s="18"/>
      <c r="B27" s="254"/>
      <c r="C27" s="228"/>
      <c r="D27" s="228"/>
      <c r="E27" s="229"/>
      <c r="F27" s="18"/>
      <c r="G27" s="18"/>
      <c r="H27" s="136"/>
      <c r="I27" s="139"/>
    </row>
    <row r="28" spans="1:9" x14ac:dyDescent="0.25">
      <c r="A28" s="18" t="s">
        <v>55</v>
      </c>
      <c r="B28" s="254" t="s">
        <v>71</v>
      </c>
      <c r="C28" s="228"/>
      <c r="D28" s="228"/>
      <c r="E28" s="229"/>
      <c r="F28" s="18" t="s">
        <v>280</v>
      </c>
      <c r="G28" s="18">
        <v>85</v>
      </c>
      <c r="H28" s="136">
        <v>4000</v>
      </c>
      <c r="I28" s="139">
        <f>G28*H28</f>
        <v>340000</v>
      </c>
    </row>
    <row r="29" spans="1:9" x14ac:dyDescent="0.25">
      <c r="A29" s="18"/>
      <c r="B29" s="254" t="s">
        <v>306</v>
      </c>
      <c r="C29" s="228"/>
      <c r="D29" s="228"/>
      <c r="E29" s="229"/>
      <c r="F29" s="18"/>
      <c r="G29" s="18"/>
      <c r="H29" s="136"/>
      <c r="I29" s="139"/>
    </row>
    <row r="30" spans="1:9" x14ac:dyDescent="0.25">
      <c r="A30" s="18"/>
      <c r="B30" s="254"/>
      <c r="C30" s="228"/>
      <c r="D30" s="228"/>
      <c r="E30" s="229"/>
      <c r="F30" s="18"/>
      <c r="G30" s="18"/>
      <c r="H30" s="136"/>
      <c r="I30" s="139"/>
    </row>
    <row r="31" spans="1:9" ht="17.25" x14ac:dyDescent="0.25">
      <c r="A31" s="18" t="s">
        <v>57</v>
      </c>
      <c r="B31" s="254" t="s">
        <v>476</v>
      </c>
      <c r="C31" s="228"/>
      <c r="D31" s="228"/>
      <c r="E31" s="229"/>
      <c r="F31" s="18" t="s">
        <v>279</v>
      </c>
      <c r="G31" s="18">
        <v>30</v>
      </c>
      <c r="H31" s="136">
        <v>16500</v>
      </c>
      <c r="I31" s="139">
        <f>G31*H31</f>
        <v>495000</v>
      </c>
    </row>
    <row r="32" spans="1:9" ht="15.75" thickBot="1" x14ac:dyDescent="0.3">
      <c r="A32" s="18"/>
      <c r="B32" s="254" t="s">
        <v>307</v>
      </c>
      <c r="C32" s="228"/>
      <c r="D32" s="228"/>
      <c r="E32" s="229"/>
      <c r="F32" s="18"/>
      <c r="G32" s="18"/>
      <c r="H32" s="136"/>
      <c r="I32" s="139"/>
    </row>
    <row r="33" spans="1:9" x14ac:dyDescent="0.25">
      <c r="A33" s="19"/>
      <c r="B33" s="253" t="s">
        <v>308</v>
      </c>
      <c r="C33" s="253"/>
      <c r="D33" s="253"/>
      <c r="E33" s="253"/>
      <c r="F33" s="14"/>
      <c r="G33" s="14"/>
      <c r="H33" s="170"/>
      <c r="I33" s="146">
        <f>SUM(I5:I32)</f>
        <v>8903000</v>
      </c>
    </row>
    <row r="34" spans="1:9" x14ac:dyDescent="0.25">
      <c r="A34" s="16"/>
      <c r="B34" s="226"/>
      <c r="C34" s="226"/>
      <c r="D34" s="226"/>
      <c r="E34" s="226"/>
      <c r="F34" s="7"/>
      <c r="G34" s="7"/>
      <c r="H34" s="182"/>
      <c r="I34" s="147"/>
    </row>
    <row r="35" spans="1:9" ht="15.75" thickBot="1" x14ac:dyDescent="0.3">
      <c r="A35" s="17"/>
      <c r="B35" s="263"/>
      <c r="C35" s="263"/>
      <c r="D35" s="263"/>
      <c r="E35" s="263"/>
      <c r="F35" s="20"/>
      <c r="G35" s="20"/>
      <c r="H35" s="183"/>
      <c r="I35" s="140"/>
    </row>
  </sheetData>
  <mergeCells count="35">
    <mergeCell ref="B31:E31"/>
    <mergeCell ref="B32:E32"/>
    <mergeCell ref="B33:E33"/>
    <mergeCell ref="B34:E34"/>
    <mergeCell ref="B35:E35"/>
    <mergeCell ref="B16:E16"/>
    <mergeCell ref="B17:E17"/>
    <mergeCell ref="B18:E18"/>
    <mergeCell ref="B30:E30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G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31" workbookViewId="0">
      <selection activeCell="G21" sqref="G21"/>
    </sheetView>
  </sheetViews>
  <sheetFormatPr defaultRowHeight="15" x14ac:dyDescent="0.25"/>
  <cols>
    <col min="1" max="1" width="4.28515625" customWidth="1"/>
    <col min="5" max="5" width="17" customWidth="1"/>
    <col min="7" max="7" width="9.5703125" style="137" bestFit="1" customWidth="1"/>
    <col min="8" max="8" width="15.140625" style="137" customWidth="1"/>
    <col min="9" max="9" width="15.42578125" style="143" customWidth="1"/>
  </cols>
  <sheetData>
    <row r="1" spans="1:9" ht="15.75" thickBot="1" x14ac:dyDescent="0.3">
      <c r="A1" s="36" t="s">
        <v>0</v>
      </c>
      <c r="B1" s="234" t="s">
        <v>1</v>
      </c>
      <c r="C1" s="235"/>
      <c r="D1" s="235"/>
      <c r="E1" s="236"/>
      <c r="F1" s="36" t="s">
        <v>24</v>
      </c>
      <c r="G1" s="134" t="s">
        <v>2</v>
      </c>
      <c r="H1" s="138" t="s">
        <v>466</v>
      </c>
      <c r="I1" s="138" t="s">
        <v>465</v>
      </c>
    </row>
    <row r="2" spans="1:9" x14ac:dyDescent="0.25">
      <c r="A2" s="41"/>
      <c r="B2" s="224" t="s">
        <v>73</v>
      </c>
      <c r="C2" s="224"/>
      <c r="D2" s="224"/>
      <c r="E2" s="224"/>
      <c r="F2" s="41"/>
      <c r="G2" s="135"/>
      <c r="H2" s="135"/>
      <c r="I2" s="135"/>
    </row>
    <row r="3" spans="1:9" x14ac:dyDescent="0.25">
      <c r="A3" s="41"/>
      <c r="B3" s="232" t="s">
        <v>464</v>
      </c>
      <c r="C3" s="224"/>
      <c r="D3" s="224"/>
      <c r="E3" s="224"/>
      <c r="F3" s="41"/>
      <c r="G3" s="135"/>
      <c r="H3" s="135"/>
      <c r="I3" s="135"/>
    </row>
    <row r="4" spans="1:9" x14ac:dyDescent="0.25">
      <c r="A4" s="41"/>
      <c r="B4" s="265"/>
      <c r="C4" s="265"/>
      <c r="D4" s="265"/>
      <c r="E4" s="265"/>
      <c r="F4" s="41"/>
      <c r="G4" s="135"/>
      <c r="H4" s="135"/>
      <c r="I4" s="135"/>
    </row>
    <row r="5" spans="1:9" x14ac:dyDescent="0.25">
      <c r="A5" s="18"/>
      <c r="B5" s="231" t="s">
        <v>424</v>
      </c>
      <c r="C5" s="231"/>
      <c r="D5" s="231"/>
      <c r="E5" s="231"/>
      <c r="F5" s="18"/>
      <c r="G5" s="136"/>
      <c r="H5" s="136"/>
      <c r="I5" s="139"/>
    </row>
    <row r="6" spans="1:9" x14ac:dyDescent="0.25">
      <c r="A6" s="18"/>
      <c r="B6" s="221"/>
      <c r="C6" s="221"/>
      <c r="D6" s="221"/>
      <c r="E6" s="221"/>
      <c r="F6" s="18"/>
      <c r="G6" s="136"/>
      <c r="H6" s="136"/>
      <c r="I6" s="139"/>
    </row>
    <row r="7" spans="1:9" x14ac:dyDescent="0.25">
      <c r="A7" s="18" t="s">
        <v>30</v>
      </c>
      <c r="B7" s="221" t="s">
        <v>477</v>
      </c>
      <c r="C7" s="221"/>
      <c r="D7" s="221"/>
      <c r="E7" s="221"/>
      <c r="F7" s="18" t="s">
        <v>214</v>
      </c>
      <c r="G7" s="136">
        <v>29</v>
      </c>
      <c r="H7" s="136">
        <v>25000</v>
      </c>
      <c r="I7" s="139">
        <f>G7*H7</f>
        <v>725000</v>
      </c>
    </row>
    <row r="8" spans="1:9" x14ac:dyDescent="0.25">
      <c r="A8" s="18"/>
      <c r="B8" s="221" t="s">
        <v>478</v>
      </c>
      <c r="C8" s="221"/>
      <c r="D8" s="221"/>
      <c r="E8" s="221"/>
      <c r="F8" s="18"/>
      <c r="G8" s="136"/>
      <c r="H8" s="136"/>
      <c r="I8" s="139"/>
    </row>
    <row r="9" spans="1:9" x14ac:dyDescent="0.25">
      <c r="A9" s="18"/>
      <c r="B9" s="221" t="s">
        <v>78</v>
      </c>
      <c r="C9" s="221"/>
      <c r="D9" s="221"/>
      <c r="E9" s="221"/>
      <c r="F9" s="18"/>
      <c r="G9" s="136"/>
      <c r="H9" s="136"/>
      <c r="I9" s="139"/>
    </row>
    <row r="10" spans="1:9" x14ac:dyDescent="0.25">
      <c r="A10" s="18"/>
      <c r="B10" s="221"/>
      <c r="C10" s="221"/>
      <c r="D10" s="221"/>
      <c r="E10" s="221"/>
      <c r="F10" s="18"/>
      <c r="G10" s="136"/>
      <c r="H10" s="136"/>
      <c r="I10" s="139"/>
    </row>
    <row r="11" spans="1:9" x14ac:dyDescent="0.25">
      <c r="A11" s="18"/>
      <c r="B11" s="231" t="s">
        <v>79</v>
      </c>
      <c r="C11" s="231"/>
      <c r="D11" s="231"/>
      <c r="E11" s="231"/>
      <c r="F11" s="18"/>
      <c r="G11" s="136"/>
      <c r="H11" s="136"/>
      <c r="I11" s="139"/>
    </row>
    <row r="12" spans="1:9" x14ac:dyDescent="0.25">
      <c r="A12" s="18" t="s">
        <v>36</v>
      </c>
      <c r="B12" s="221" t="s">
        <v>284</v>
      </c>
      <c r="C12" s="221"/>
      <c r="D12" s="221"/>
      <c r="E12" s="221"/>
      <c r="F12" s="18" t="s">
        <v>449</v>
      </c>
      <c r="G12" s="136">
        <v>5.8</v>
      </c>
      <c r="H12" s="136">
        <v>300000</v>
      </c>
      <c r="I12" s="139">
        <f>G12*H12</f>
        <v>1740000</v>
      </c>
    </row>
    <row r="13" spans="1:9" x14ac:dyDescent="0.25">
      <c r="A13" s="18"/>
      <c r="B13" s="221"/>
      <c r="C13" s="221"/>
      <c r="D13" s="221"/>
      <c r="E13" s="221"/>
      <c r="F13" s="18"/>
      <c r="G13" s="136"/>
      <c r="H13" s="136"/>
      <c r="I13" s="139"/>
    </row>
    <row r="14" spans="1:9" x14ac:dyDescent="0.25">
      <c r="A14" s="18" t="s">
        <v>39</v>
      </c>
      <c r="B14" s="221" t="s">
        <v>425</v>
      </c>
      <c r="C14" s="221"/>
      <c r="D14" s="221"/>
      <c r="E14" s="221"/>
      <c r="F14" s="18" t="s">
        <v>449</v>
      </c>
      <c r="G14" s="136">
        <v>3.24</v>
      </c>
      <c r="H14" s="136">
        <v>300000</v>
      </c>
      <c r="I14" s="139">
        <f>G14*H14</f>
        <v>972000.00000000012</v>
      </c>
    </row>
    <row r="15" spans="1:9" x14ac:dyDescent="0.25">
      <c r="A15" s="18"/>
      <c r="B15" s="221"/>
      <c r="C15" s="221"/>
      <c r="D15" s="221"/>
      <c r="E15" s="221"/>
      <c r="F15" s="18"/>
      <c r="G15" s="136"/>
      <c r="H15" s="136"/>
      <c r="I15" s="139"/>
    </row>
    <row r="16" spans="1:9" x14ac:dyDescent="0.25">
      <c r="A16" s="18"/>
      <c r="B16" s="274" t="s">
        <v>479</v>
      </c>
      <c r="C16" s="231"/>
      <c r="D16" s="231"/>
      <c r="E16" s="231"/>
      <c r="F16" s="18"/>
      <c r="G16" s="136"/>
      <c r="H16" s="136"/>
      <c r="I16" s="139"/>
    </row>
    <row r="17" spans="1:9" x14ac:dyDescent="0.25">
      <c r="A17" s="18"/>
      <c r="B17" s="231" t="s">
        <v>81</v>
      </c>
      <c r="C17" s="231"/>
      <c r="D17" s="231"/>
      <c r="E17" s="231"/>
      <c r="F17" s="18"/>
      <c r="G17" s="136"/>
      <c r="H17" s="136"/>
      <c r="I17" s="139"/>
    </row>
    <row r="18" spans="1:9" x14ac:dyDescent="0.25">
      <c r="A18" s="18"/>
      <c r="B18" s="221"/>
      <c r="C18" s="221"/>
      <c r="D18" s="221"/>
      <c r="E18" s="221"/>
      <c r="F18" s="18"/>
      <c r="G18" s="136"/>
      <c r="H18" s="136"/>
      <c r="I18" s="139"/>
    </row>
    <row r="19" spans="1:9" x14ac:dyDescent="0.25">
      <c r="A19" s="18" t="s">
        <v>42</v>
      </c>
      <c r="B19" s="221" t="s">
        <v>285</v>
      </c>
      <c r="C19" s="221"/>
      <c r="D19" s="221"/>
      <c r="E19" s="221"/>
      <c r="F19" s="18" t="s">
        <v>280</v>
      </c>
      <c r="G19" s="136">
        <v>80</v>
      </c>
      <c r="H19" s="136">
        <v>4000</v>
      </c>
      <c r="I19" s="139">
        <f>G19*H19</f>
        <v>320000</v>
      </c>
    </row>
    <row r="20" spans="1:9" x14ac:dyDescent="0.25">
      <c r="A20" s="18"/>
      <c r="B20" s="221"/>
      <c r="C20" s="221"/>
      <c r="D20" s="221"/>
      <c r="E20" s="221"/>
      <c r="F20" s="18"/>
      <c r="G20" s="136"/>
      <c r="H20" s="136"/>
      <c r="I20" s="139"/>
    </row>
    <row r="21" spans="1:9" x14ac:dyDescent="0.25">
      <c r="A21" s="18" t="s">
        <v>46</v>
      </c>
      <c r="B21" s="254" t="s">
        <v>426</v>
      </c>
      <c r="C21" s="228"/>
      <c r="D21" s="228"/>
      <c r="E21" s="229"/>
      <c r="F21" s="18" t="s">
        <v>280</v>
      </c>
      <c r="G21" s="136">
        <v>230</v>
      </c>
      <c r="H21" s="136">
        <v>4000</v>
      </c>
      <c r="I21" s="139">
        <f>G21*H21</f>
        <v>920000</v>
      </c>
    </row>
    <row r="22" spans="1:9" x14ac:dyDescent="0.25">
      <c r="A22" s="18"/>
      <c r="B22" s="221"/>
      <c r="C22" s="221"/>
      <c r="D22" s="221"/>
      <c r="E22" s="221"/>
      <c r="F22" s="18"/>
      <c r="G22" s="136"/>
      <c r="H22" s="136"/>
      <c r="I22" s="139"/>
    </row>
    <row r="23" spans="1:9" x14ac:dyDescent="0.25">
      <c r="A23" s="18"/>
      <c r="B23" s="231" t="s">
        <v>286</v>
      </c>
      <c r="C23" s="231"/>
      <c r="D23" s="231"/>
      <c r="E23" s="231"/>
      <c r="F23" s="18"/>
      <c r="G23" s="136"/>
      <c r="H23" s="136"/>
      <c r="I23" s="139"/>
    </row>
    <row r="24" spans="1:9" x14ac:dyDescent="0.25">
      <c r="A24" s="18" t="s">
        <v>49</v>
      </c>
      <c r="B24" s="221" t="s">
        <v>287</v>
      </c>
      <c r="C24" s="221"/>
      <c r="D24" s="221"/>
      <c r="E24" s="221"/>
      <c r="F24" s="18" t="s">
        <v>280</v>
      </c>
      <c r="G24" s="136">
        <v>160</v>
      </c>
      <c r="H24" s="136">
        <v>4000</v>
      </c>
      <c r="I24" s="139">
        <f>G24*H24</f>
        <v>640000</v>
      </c>
    </row>
    <row r="25" spans="1:9" x14ac:dyDescent="0.25">
      <c r="A25" s="18"/>
      <c r="B25" s="221"/>
      <c r="C25" s="221"/>
      <c r="D25" s="221"/>
      <c r="E25" s="221"/>
      <c r="F25" s="18"/>
      <c r="G25" s="136"/>
      <c r="H25" s="136"/>
      <c r="I25" s="139"/>
    </row>
    <row r="26" spans="1:9" x14ac:dyDescent="0.25">
      <c r="A26" s="18"/>
      <c r="B26" s="274" t="s">
        <v>480</v>
      </c>
      <c r="C26" s="231"/>
      <c r="D26" s="231"/>
      <c r="E26" s="231"/>
      <c r="F26" s="18"/>
      <c r="G26" s="136"/>
      <c r="H26" s="136"/>
      <c r="I26" s="139"/>
    </row>
    <row r="27" spans="1:9" x14ac:dyDescent="0.25">
      <c r="A27" s="18" t="s">
        <v>53</v>
      </c>
      <c r="B27" s="221" t="s">
        <v>481</v>
      </c>
      <c r="C27" s="221"/>
      <c r="D27" s="221"/>
      <c r="E27" s="221"/>
      <c r="F27" s="18" t="s">
        <v>447</v>
      </c>
      <c r="G27" s="136">
        <v>50</v>
      </c>
      <c r="H27" s="136">
        <v>16500</v>
      </c>
      <c r="I27" s="139">
        <f>G27*H27</f>
        <v>825000</v>
      </c>
    </row>
    <row r="28" spans="1:9" x14ac:dyDescent="0.25">
      <c r="A28" s="18"/>
      <c r="B28" s="221"/>
      <c r="C28" s="221"/>
      <c r="D28" s="221"/>
      <c r="E28" s="221"/>
      <c r="F28" s="18"/>
      <c r="G28" s="136"/>
      <c r="H28" s="136"/>
      <c r="I28" s="139"/>
    </row>
    <row r="29" spans="1:9" x14ac:dyDescent="0.25">
      <c r="A29" s="18" t="s">
        <v>55</v>
      </c>
      <c r="B29" s="221" t="s">
        <v>482</v>
      </c>
      <c r="C29" s="221"/>
      <c r="D29" s="221"/>
      <c r="E29" s="221"/>
      <c r="F29" s="18" t="s">
        <v>447</v>
      </c>
      <c r="G29" s="136">
        <v>29</v>
      </c>
      <c r="H29" s="136">
        <v>16500</v>
      </c>
      <c r="I29" s="139">
        <f>G29*H29</f>
        <v>478500</v>
      </c>
    </row>
    <row r="30" spans="1:9" x14ac:dyDescent="0.25">
      <c r="A30" s="18"/>
      <c r="B30" s="221"/>
      <c r="C30" s="221"/>
      <c r="D30" s="221"/>
      <c r="E30" s="221"/>
      <c r="F30" s="18"/>
      <c r="G30" s="136"/>
      <c r="H30" s="136"/>
      <c r="I30" s="139"/>
    </row>
    <row r="31" spans="1:9" x14ac:dyDescent="0.25">
      <c r="A31" s="18"/>
      <c r="B31" s="231" t="s">
        <v>82</v>
      </c>
      <c r="C31" s="231"/>
      <c r="D31" s="231"/>
      <c r="E31" s="231"/>
      <c r="F31" s="18"/>
      <c r="G31" s="136"/>
      <c r="H31" s="136"/>
      <c r="I31" s="139"/>
    </row>
    <row r="32" spans="1:9" x14ac:dyDescent="0.25">
      <c r="A32" s="18" t="s">
        <v>57</v>
      </c>
      <c r="B32" s="221" t="s">
        <v>83</v>
      </c>
      <c r="C32" s="221"/>
      <c r="D32" s="221"/>
      <c r="E32" s="221"/>
      <c r="F32" s="18" t="s">
        <v>447</v>
      </c>
      <c r="G32" s="136">
        <v>290</v>
      </c>
      <c r="H32" s="136">
        <v>15000</v>
      </c>
      <c r="I32" s="139">
        <f>G32*H32</f>
        <v>4350000</v>
      </c>
    </row>
    <row r="33" spans="1:9" x14ac:dyDescent="0.25">
      <c r="A33" s="18"/>
      <c r="B33" s="221" t="s">
        <v>483</v>
      </c>
      <c r="C33" s="221"/>
      <c r="D33" s="221"/>
      <c r="E33" s="221"/>
      <c r="F33" s="18"/>
      <c r="G33" s="136"/>
      <c r="H33" s="136"/>
      <c r="I33" s="139"/>
    </row>
    <row r="34" spans="1:9" x14ac:dyDescent="0.25">
      <c r="A34" s="18"/>
      <c r="B34" s="221" t="s">
        <v>484</v>
      </c>
      <c r="C34" s="221"/>
      <c r="D34" s="221"/>
      <c r="E34" s="221"/>
      <c r="F34" s="18"/>
      <c r="G34" s="136"/>
      <c r="H34" s="136"/>
      <c r="I34" s="139"/>
    </row>
    <row r="35" spans="1:9" x14ac:dyDescent="0.25">
      <c r="A35" s="18"/>
      <c r="B35" s="221"/>
      <c r="C35" s="221"/>
      <c r="D35" s="221"/>
      <c r="E35" s="221"/>
      <c r="F35" s="18"/>
      <c r="G35" s="136"/>
      <c r="H35" s="136"/>
      <c r="I35" s="139"/>
    </row>
    <row r="36" spans="1:9" x14ac:dyDescent="0.25">
      <c r="A36" s="18" t="s">
        <v>85</v>
      </c>
      <c r="B36" s="221" t="s">
        <v>427</v>
      </c>
      <c r="C36" s="221"/>
      <c r="D36" s="221"/>
      <c r="E36" s="221"/>
      <c r="F36" s="18" t="s">
        <v>447</v>
      </c>
      <c r="G36" s="136">
        <v>32</v>
      </c>
      <c r="H36" s="136">
        <v>0</v>
      </c>
      <c r="I36" s="139">
        <f>G36*H36</f>
        <v>0</v>
      </c>
    </row>
    <row r="37" spans="1:9" x14ac:dyDescent="0.25">
      <c r="A37" s="18"/>
      <c r="B37" s="221"/>
      <c r="C37" s="221"/>
      <c r="D37" s="221"/>
      <c r="E37" s="221"/>
      <c r="F37" s="18"/>
      <c r="G37" s="136"/>
      <c r="H37" s="136"/>
      <c r="I37" s="139"/>
    </row>
    <row r="38" spans="1:9" x14ac:dyDescent="0.25">
      <c r="A38" s="18" t="s">
        <v>86</v>
      </c>
      <c r="B38" s="221" t="s">
        <v>428</v>
      </c>
      <c r="C38" s="221"/>
      <c r="D38" s="221"/>
      <c r="E38" s="221"/>
      <c r="F38" s="18" t="s">
        <v>214</v>
      </c>
      <c r="G38" s="136">
        <v>28</v>
      </c>
      <c r="H38" s="136">
        <v>10000</v>
      </c>
      <c r="I38" s="139">
        <f>G38*H38</f>
        <v>280000</v>
      </c>
    </row>
    <row r="39" spans="1:9" ht="15.75" thickBot="1" x14ac:dyDescent="0.3">
      <c r="A39" s="18"/>
      <c r="B39" s="221"/>
      <c r="C39" s="221"/>
      <c r="D39" s="221"/>
      <c r="E39" s="221"/>
      <c r="F39" s="18"/>
      <c r="G39" s="136"/>
      <c r="H39" s="136"/>
      <c r="I39" s="139"/>
    </row>
    <row r="40" spans="1:9" x14ac:dyDescent="0.25">
      <c r="A40" s="19"/>
      <c r="B40" s="333" t="s">
        <v>451</v>
      </c>
      <c r="C40" s="253"/>
      <c r="D40" s="253"/>
      <c r="E40" s="253"/>
      <c r="F40" s="253"/>
      <c r="G40" s="253"/>
      <c r="H40" s="253"/>
      <c r="I40" s="141">
        <f>SUM(I7:I39)</f>
        <v>11250500</v>
      </c>
    </row>
    <row r="41" spans="1:9" ht="15.75" thickBot="1" x14ac:dyDescent="0.3">
      <c r="A41" s="17"/>
      <c r="B41" s="263"/>
      <c r="C41" s="263"/>
      <c r="D41" s="263"/>
      <c r="E41" s="263"/>
      <c r="F41" s="263"/>
      <c r="G41" s="263"/>
      <c r="H41" s="273"/>
      <c r="I41" s="142"/>
    </row>
  </sheetData>
  <mergeCells count="41">
    <mergeCell ref="B37:E37"/>
    <mergeCell ref="B38:E38"/>
    <mergeCell ref="B39:E39"/>
    <mergeCell ref="B40:H40"/>
    <mergeCell ref="B41:H41"/>
    <mergeCell ref="B21:E21"/>
    <mergeCell ref="B22:E22"/>
    <mergeCell ref="B23:E23"/>
    <mergeCell ref="B24:E24"/>
    <mergeCell ref="B36:E36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16:E16"/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Normal="100" workbookViewId="0">
      <selection activeCell="K16" sqref="K16"/>
    </sheetView>
  </sheetViews>
  <sheetFormatPr defaultRowHeight="15" x14ac:dyDescent="0.25"/>
  <cols>
    <col min="1" max="1" width="5.28515625" customWidth="1"/>
    <col min="5" max="5" width="16.140625" customWidth="1"/>
    <col min="6" max="6" width="5.85546875" customWidth="1"/>
    <col min="7" max="7" width="9.5703125" customWidth="1"/>
    <col min="8" max="8" width="13.5703125" style="137" customWidth="1"/>
    <col min="9" max="9" width="15.42578125" style="143" customWidth="1"/>
  </cols>
  <sheetData>
    <row r="1" spans="1:9" ht="15.75" thickBot="1" x14ac:dyDescent="0.3">
      <c r="A1" s="36" t="s">
        <v>0</v>
      </c>
      <c r="B1" s="234" t="s">
        <v>1</v>
      </c>
      <c r="C1" s="235"/>
      <c r="D1" s="235"/>
      <c r="E1" s="236"/>
      <c r="F1" s="36" t="s">
        <v>24</v>
      </c>
      <c r="G1" s="36" t="s">
        <v>2</v>
      </c>
      <c r="H1" s="134" t="s">
        <v>3</v>
      </c>
      <c r="I1" s="138" t="s">
        <v>465</v>
      </c>
    </row>
    <row r="2" spans="1:9" x14ac:dyDescent="0.25">
      <c r="A2" s="18"/>
      <c r="B2" s="231"/>
      <c r="C2" s="231"/>
      <c r="D2" s="231"/>
      <c r="E2" s="231"/>
      <c r="F2" s="18"/>
      <c r="G2" s="18"/>
      <c r="H2" s="136"/>
      <c r="I2" s="139"/>
    </row>
    <row r="3" spans="1:9" x14ac:dyDescent="0.25">
      <c r="A3" s="18"/>
      <c r="B3" s="242" t="s">
        <v>87</v>
      </c>
      <c r="C3" s="243"/>
      <c r="D3" s="243"/>
      <c r="E3" s="244"/>
      <c r="F3" s="18"/>
      <c r="G3" s="18"/>
      <c r="H3" s="136"/>
      <c r="I3" s="139"/>
    </row>
    <row r="4" spans="1:9" x14ac:dyDescent="0.25">
      <c r="A4" s="18"/>
      <c r="B4" s="242" t="s">
        <v>88</v>
      </c>
      <c r="C4" s="243"/>
      <c r="D4" s="243"/>
      <c r="E4" s="244"/>
      <c r="F4" s="18"/>
      <c r="G4" s="18"/>
      <c r="H4" s="136"/>
      <c r="I4" s="139"/>
    </row>
    <row r="5" spans="1:9" x14ac:dyDescent="0.25">
      <c r="A5" s="18"/>
      <c r="B5" s="221"/>
      <c r="C5" s="221"/>
      <c r="D5" s="221"/>
      <c r="E5" s="221"/>
      <c r="F5" s="18"/>
      <c r="G5" s="18"/>
      <c r="H5" s="136"/>
      <c r="I5" s="139"/>
    </row>
    <row r="6" spans="1:9" x14ac:dyDescent="0.25">
      <c r="A6" s="18"/>
      <c r="B6" s="274" t="s">
        <v>485</v>
      </c>
      <c r="C6" s="231"/>
      <c r="D6" s="231"/>
      <c r="E6" s="231"/>
      <c r="F6" s="18"/>
      <c r="G6" s="18"/>
      <c r="H6" s="136"/>
      <c r="I6" s="139"/>
    </row>
    <row r="7" spans="1:9" x14ac:dyDescent="0.25">
      <c r="A7" s="18"/>
      <c r="B7" s="274" t="s">
        <v>486</v>
      </c>
      <c r="C7" s="231"/>
      <c r="D7" s="231"/>
      <c r="E7" s="231"/>
      <c r="F7" s="18"/>
      <c r="G7" s="18"/>
      <c r="H7" s="136"/>
      <c r="I7" s="139"/>
    </row>
    <row r="8" spans="1:9" x14ac:dyDescent="0.25">
      <c r="A8" s="18"/>
      <c r="B8" s="221"/>
      <c r="C8" s="221"/>
      <c r="D8" s="221"/>
      <c r="E8" s="221"/>
      <c r="F8" s="18"/>
      <c r="G8" s="18"/>
      <c r="H8" s="136"/>
      <c r="I8" s="139"/>
    </row>
    <row r="9" spans="1:9" x14ac:dyDescent="0.25">
      <c r="A9" s="18" t="s">
        <v>30</v>
      </c>
      <c r="B9" s="221" t="s">
        <v>90</v>
      </c>
      <c r="C9" s="221"/>
      <c r="D9" s="221"/>
      <c r="E9" s="221"/>
      <c r="F9" s="18" t="s">
        <v>214</v>
      </c>
      <c r="G9" s="18">
        <v>35</v>
      </c>
      <c r="H9" s="136">
        <v>20000</v>
      </c>
      <c r="I9" s="139">
        <f>G9*H9</f>
        <v>700000</v>
      </c>
    </row>
    <row r="10" spans="1:9" x14ac:dyDescent="0.25">
      <c r="A10" s="18"/>
      <c r="B10" s="221" t="s">
        <v>310</v>
      </c>
      <c r="C10" s="221"/>
      <c r="D10" s="221"/>
      <c r="E10" s="221"/>
      <c r="F10" s="18"/>
      <c r="G10" s="18"/>
      <c r="H10" s="136"/>
      <c r="I10" s="139"/>
    </row>
    <row r="11" spans="1:9" x14ac:dyDescent="0.25">
      <c r="A11" s="18" t="s">
        <v>36</v>
      </c>
      <c r="B11" s="221" t="s">
        <v>311</v>
      </c>
      <c r="C11" s="221"/>
      <c r="D11" s="221"/>
      <c r="E11" s="221"/>
      <c r="F11" s="18" t="s">
        <v>214</v>
      </c>
      <c r="G11" s="18">
        <v>210</v>
      </c>
      <c r="H11" s="136">
        <v>12000</v>
      </c>
      <c r="I11" s="139">
        <f t="shared" ref="I11:I17" si="0">G11*H11</f>
        <v>2520000</v>
      </c>
    </row>
    <row r="12" spans="1:9" x14ac:dyDescent="0.25">
      <c r="A12" s="18" t="s">
        <v>39</v>
      </c>
      <c r="B12" s="221" t="s">
        <v>312</v>
      </c>
      <c r="C12" s="221"/>
      <c r="D12" s="221"/>
      <c r="E12" s="221"/>
      <c r="F12" s="18" t="s">
        <v>214</v>
      </c>
      <c r="G12" s="18">
        <v>212</v>
      </c>
      <c r="H12" s="136">
        <v>10000</v>
      </c>
      <c r="I12" s="139">
        <f t="shared" si="0"/>
        <v>2120000</v>
      </c>
    </row>
    <row r="13" spans="1:9" x14ac:dyDescent="0.25">
      <c r="A13" s="18" t="s">
        <v>42</v>
      </c>
      <c r="B13" s="221" t="s">
        <v>313</v>
      </c>
      <c r="C13" s="221"/>
      <c r="D13" s="221"/>
      <c r="E13" s="221"/>
      <c r="F13" s="18" t="s">
        <v>214</v>
      </c>
      <c r="G13" s="18">
        <v>140</v>
      </c>
      <c r="H13" s="136">
        <v>12000</v>
      </c>
      <c r="I13" s="139">
        <f t="shared" si="0"/>
        <v>1680000</v>
      </c>
    </row>
    <row r="14" spans="1:9" x14ac:dyDescent="0.25">
      <c r="A14" s="18" t="s">
        <v>46</v>
      </c>
      <c r="B14" s="221" t="s">
        <v>314</v>
      </c>
      <c r="C14" s="221"/>
      <c r="D14" s="221"/>
      <c r="E14" s="221"/>
      <c r="F14" s="18" t="s">
        <v>214</v>
      </c>
      <c r="G14" s="18">
        <v>150</v>
      </c>
      <c r="H14" s="136">
        <v>10000</v>
      </c>
      <c r="I14" s="139">
        <f t="shared" si="0"/>
        <v>1500000</v>
      </c>
    </row>
    <row r="15" spans="1:9" x14ac:dyDescent="0.25">
      <c r="A15" s="18" t="s">
        <v>49</v>
      </c>
      <c r="B15" s="221" t="s">
        <v>315</v>
      </c>
      <c r="C15" s="221"/>
      <c r="D15" s="221"/>
      <c r="E15" s="221"/>
      <c r="F15" s="18" t="s">
        <v>214</v>
      </c>
      <c r="G15" s="18">
        <v>250</v>
      </c>
      <c r="H15" s="136">
        <v>10000</v>
      </c>
      <c r="I15" s="139">
        <f t="shared" si="0"/>
        <v>2500000</v>
      </c>
    </row>
    <row r="16" spans="1:9" x14ac:dyDescent="0.25">
      <c r="A16" s="18" t="s">
        <v>53</v>
      </c>
      <c r="B16" s="221" t="s">
        <v>316</v>
      </c>
      <c r="C16" s="221"/>
      <c r="D16" s="221"/>
      <c r="E16" s="221"/>
      <c r="F16" s="18" t="s">
        <v>214</v>
      </c>
      <c r="G16" s="18">
        <v>230</v>
      </c>
      <c r="H16" s="136">
        <v>7000</v>
      </c>
      <c r="I16" s="139">
        <f t="shared" si="0"/>
        <v>1610000</v>
      </c>
    </row>
    <row r="17" spans="1:9" x14ac:dyDescent="0.25">
      <c r="A17" s="18" t="s">
        <v>55</v>
      </c>
      <c r="B17" s="221" t="s">
        <v>317</v>
      </c>
      <c r="C17" s="221"/>
      <c r="D17" s="221"/>
      <c r="E17" s="221"/>
      <c r="F17" s="18" t="s">
        <v>214</v>
      </c>
      <c r="G17" s="18">
        <v>20</v>
      </c>
      <c r="H17" s="136">
        <v>20000</v>
      </c>
      <c r="I17" s="139">
        <f t="shared" si="0"/>
        <v>400000</v>
      </c>
    </row>
    <row r="18" spans="1:9" x14ac:dyDescent="0.25">
      <c r="A18" s="18"/>
      <c r="B18" s="274" t="s">
        <v>91</v>
      </c>
      <c r="C18" s="274"/>
      <c r="D18" s="274"/>
      <c r="E18" s="274"/>
      <c r="F18" s="18"/>
      <c r="G18" s="18"/>
      <c r="H18" s="136"/>
      <c r="I18" s="139"/>
    </row>
    <row r="19" spans="1:9" x14ac:dyDescent="0.25">
      <c r="A19" s="18" t="s">
        <v>57</v>
      </c>
      <c r="B19" s="221" t="s">
        <v>318</v>
      </c>
      <c r="C19" s="221"/>
      <c r="D19" s="221"/>
      <c r="E19" s="221"/>
      <c r="F19" s="18" t="s">
        <v>214</v>
      </c>
      <c r="G19" s="18">
        <v>25</v>
      </c>
      <c r="H19" s="136">
        <v>25000</v>
      </c>
      <c r="I19" s="139">
        <f>G19*H19</f>
        <v>625000</v>
      </c>
    </row>
    <row r="20" spans="1:9" x14ac:dyDescent="0.25">
      <c r="A20" s="18"/>
      <c r="B20" s="274" t="s">
        <v>462</v>
      </c>
      <c r="C20" s="274"/>
      <c r="D20" s="274"/>
      <c r="E20" s="274"/>
      <c r="F20" s="18"/>
      <c r="G20" s="18"/>
      <c r="H20" s="136"/>
      <c r="I20" s="139"/>
    </row>
    <row r="21" spans="1:9" x14ac:dyDescent="0.25">
      <c r="A21" s="18" t="s">
        <v>85</v>
      </c>
      <c r="B21" s="221" t="s">
        <v>461</v>
      </c>
      <c r="C21" s="221"/>
      <c r="D21" s="221"/>
      <c r="E21" s="221"/>
      <c r="F21" s="18" t="s">
        <v>447</v>
      </c>
      <c r="G21" s="18">
        <v>150</v>
      </c>
      <c r="H21" s="136">
        <v>50000</v>
      </c>
      <c r="I21" s="139">
        <f>G21*H21</f>
        <v>7500000</v>
      </c>
    </row>
    <row r="22" spans="1:9" x14ac:dyDescent="0.25">
      <c r="A22" s="18"/>
      <c r="B22" s="221" t="s">
        <v>94</v>
      </c>
      <c r="C22" s="221"/>
      <c r="D22" s="221"/>
      <c r="E22" s="221"/>
      <c r="F22" s="18"/>
      <c r="G22" s="18"/>
      <c r="H22" s="136"/>
      <c r="I22" s="139"/>
    </row>
    <row r="23" spans="1:9" x14ac:dyDescent="0.25">
      <c r="A23" s="18"/>
      <c r="B23" s="221" t="s">
        <v>319</v>
      </c>
      <c r="C23" s="221"/>
      <c r="D23" s="221"/>
      <c r="E23" s="221"/>
      <c r="F23" s="18"/>
      <c r="G23" s="18"/>
      <c r="H23" s="136"/>
      <c r="I23" s="139"/>
    </row>
    <row r="24" spans="1:9" x14ac:dyDescent="0.25">
      <c r="A24" s="18" t="s">
        <v>86</v>
      </c>
      <c r="B24" s="221" t="s">
        <v>487</v>
      </c>
      <c r="C24" s="221"/>
      <c r="D24" s="221"/>
      <c r="E24" s="221"/>
      <c r="F24" s="18" t="s">
        <v>447</v>
      </c>
      <c r="G24" s="18">
        <v>150</v>
      </c>
      <c r="H24" s="136">
        <v>25000</v>
      </c>
      <c r="I24" s="139">
        <f>G24*H24</f>
        <v>3750000</v>
      </c>
    </row>
    <row r="25" spans="1:9" x14ac:dyDescent="0.25">
      <c r="A25" s="18"/>
      <c r="B25" s="221" t="s">
        <v>320</v>
      </c>
      <c r="C25" s="221"/>
      <c r="D25" s="221"/>
      <c r="E25" s="221"/>
      <c r="F25" s="18"/>
      <c r="G25" s="18"/>
      <c r="H25" s="136"/>
      <c r="I25" s="139"/>
    </row>
    <row r="26" spans="1:9" x14ac:dyDescent="0.25">
      <c r="A26" s="18" t="s">
        <v>96</v>
      </c>
      <c r="B26" s="221" t="s">
        <v>99</v>
      </c>
      <c r="C26" s="221"/>
      <c r="D26" s="221"/>
      <c r="E26" s="221"/>
      <c r="F26" s="18" t="s">
        <v>214</v>
      </c>
      <c r="G26" s="18">
        <v>85</v>
      </c>
      <c r="H26" s="136">
        <v>5000</v>
      </c>
      <c r="I26" s="139">
        <f>G26*H26</f>
        <v>425000</v>
      </c>
    </row>
    <row r="27" spans="1:9" x14ac:dyDescent="0.25">
      <c r="A27" s="18"/>
      <c r="B27" s="221" t="s">
        <v>100</v>
      </c>
      <c r="C27" s="221"/>
      <c r="D27" s="221"/>
      <c r="E27" s="221"/>
      <c r="F27" s="18"/>
      <c r="G27" s="18"/>
      <c r="H27" s="136"/>
      <c r="I27" s="139"/>
    </row>
    <row r="28" spans="1:9" x14ac:dyDescent="0.25">
      <c r="A28" s="18"/>
      <c r="B28" s="221" t="s">
        <v>321</v>
      </c>
      <c r="C28" s="221"/>
      <c r="D28" s="221"/>
      <c r="E28" s="221"/>
      <c r="F28" s="18"/>
      <c r="G28" s="18"/>
      <c r="H28" s="136"/>
      <c r="I28" s="139"/>
    </row>
    <row r="29" spans="1:9" x14ac:dyDescent="0.25">
      <c r="A29" s="18" t="s">
        <v>97</v>
      </c>
      <c r="B29" s="221" t="s">
        <v>322</v>
      </c>
      <c r="C29" s="221"/>
      <c r="D29" s="221"/>
      <c r="E29" s="221"/>
      <c r="F29" s="18" t="s">
        <v>214</v>
      </c>
      <c r="G29" s="18">
        <v>10</v>
      </c>
      <c r="H29" s="136">
        <v>15000</v>
      </c>
      <c r="I29" s="139">
        <f>G29*H29</f>
        <v>150000</v>
      </c>
    </row>
    <row r="30" spans="1:9" x14ac:dyDescent="0.25">
      <c r="A30" s="31" t="s">
        <v>98</v>
      </c>
      <c r="B30" s="221" t="s">
        <v>323</v>
      </c>
      <c r="C30" s="221"/>
      <c r="D30" s="221"/>
      <c r="E30" s="221"/>
      <c r="F30" s="18" t="s">
        <v>214</v>
      </c>
      <c r="G30" s="18">
        <v>7</v>
      </c>
      <c r="H30" s="136">
        <v>15000</v>
      </c>
      <c r="I30" s="139">
        <f>G30*H30</f>
        <v>105000</v>
      </c>
    </row>
    <row r="31" spans="1:9" x14ac:dyDescent="0.25">
      <c r="A31" s="31" t="s">
        <v>101</v>
      </c>
      <c r="B31" s="221" t="s">
        <v>324</v>
      </c>
      <c r="C31" s="221"/>
      <c r="D31" s="221"/>
      <c r="E31" s="221"/>
      <c r="F31" s="18" t="s">
        <v>214</v>
      </c>
      <c r="G31" s="18">
        <v>12</v>
      </c>
      <c r="H31" s="136">
        <v>21000</v>
      </c>
      <c r="I31" s="139">
        <f>G31*H31</f>
        <v>252000</v>
      </c>
    </row>
    <row r="32" spans="1:9" ht="15.75" thickBot="1" x14ac:dyDescent="0.3">
      <c r="A32" s="11"/>
      <c r="B32" s="279"/>
      <c r="C32" s="279"/>
      <c r="D32" s="279"/>
      <c r="E32" s="279"/>
      <c r="F32" s="11"/>
      <c r="G32" s="11"/>
      <c r="H32" s="157"/>
      <c r="I32" s="140"/>
    </row>
    <row r="33" spans="1:9" x14ac:dyDescent="0.25">
      <c r="A33" s="19"/>
      <c r="B33" s="333" t="s">
        <v>452</v>
      </c>
      <c r="C33" s="253"/>
      <c r="D33" s="253"/>
      <c r="E33" s="253"/>
      <c r="F33" s="253"/>
      <c r="G33" s="253"/>
      <c r="H33" s="253"/>
      <c r="I33" s="141">
        <f>SUM(I9:I32)</f>
        <v>25837000</v>
      </c>
    </row>
    <row r="34" spans="1:9" ht="15.75" thickBot="1" x14ac:dyDescent="0.3">
      <c r="A34" s="17"/>
      <c r="B34" s="263"/>
      <c r="C34" s="263"/>
      <c r="D34" s="263"/>
      <c r="E34" s="263"/>
      <c r="F34" s="263"/>
      <c r="G34" s="263"/>
      <c r="H34" s="273"/>
      <c r="I34" s="142"/>
    </row>
  </sheetData>
  <mergeCells count="34">
    <mergeCell ref="B32:E32"/>
    <mergeCell ref="B33:H33"/>
    <mergeCell ref="B34:H34"/>
    <mergeCell ref="B25:E2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31:E31"/>
    <mergeCell ref="B16:E16"/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10" zoomScale="115" zoomScaleNormal="115" workbookViewId="0">
      <selection activeCell="I38" sqref="I38"/>
    </sheetView>
  </sheetViews>
  <sheetFormatPr defaultRowHeight="15" x14ac:dyDescent="0.25"/>
  <cols>
    <col min="1" max="1" width="5.28515625" style="167" customWidth="1"/>
    <col min="2" max="4" width="9.140625" style="167"/>
    <col min="5" max="5" width="15.42578125" style="167" customWidth="1"/>
    <col min="6" max="6" width="6.140625" style="167" customWidth="1"/>
    <col min="7" max="7" width="8.7109375" style="167" customWidth="1"/>
    <col min="8" max="8" width="16.5703125" style="168" customWidth="1"/>
    <col min="9" max="9" width="15.7109375" style="169" customWidth="1"/>
  </cols>
  <sheetData>
    <row r="1" spans="1:9" ht="15.75" thickBot="1" x14ac:dyDescent="0.3">
      <c r="A1" s="129" t="s">
        <v>0</v>
      </c>
      <c r="B1" s="334" t="s">
        <v>1</v>
      </c>
      <c r="C1" s="335"/>
      <c r="D1" s="335"/>
      <c r="E1" s="336"/>
      <c r="F1" s="129" t="s">
        <v>24</v>
      </c>
      <c r="G1" s="129" t="s">
        <v>2</v>
      </c>
      <c r="H1" s="138" t="s">
        <v>3</v>
      </c>
      <c r="I1" s="138" t="s">
        <v>465</v>
      </c>
    </row>
    <row r="2" spans="1:9" x14ac:dyDescent="0.25">
      <c r="A2" s="159"/>
      <c r="B2" s="337"/>
      <c r="C2" s="337"/>
      <c r="D2" s="337"/>
      <c r="E2" s="337"/>
      <c r="F2" s="159"/>
      <c r="G2" s="159"/>
      <c r="H2" s="160"/>
      <c r="I2" s="160"/>
    </row>
    <row r="3" spans="1:9" x14ac:dyDescent="0.25">
      <c r="A3" s="159"/>
      <c r="B3" s="284" t="s">
        <v>106</v>
      </c>
      <c r="C3" s="285"/>
      <c r="D3" s="285"/>
      <c r="E3" s="286"/>
      <c r="F3" s="159"/>
      <c r="G3" s="159"/>
      <c r="H3" s="160"/>
      <c r="I3" s="160"/>
    </row>
    <row r="4" spans="1:9" x14ac:dyDescent="0.25">
      <c r="A4" s="159"/>
      <c r="B4" s="284" t="s">
        <v>107</v>
      </c>
      <c r="C4" s="285"/>
      <c r="D4" s="285"/>
      <c r="E4" s="286"/>
      <c r="F4" s="159"/>
      <c r="G4" s="159"/>
      <c r="H4" s="160"/>
      <c r="I4" s="160"/>
    </row>
    <row r="5" spans="1:9" x14ac:dyDescent="0.25">
      <c r="A5" s="159"/>
      <c r="B5" s="337"/>
      <c r="C5" s="337"/>
      <c r="D5" s="337"/>
      <c r="E5" s="337"/>
      <c r="F5" s="159"/>
      <c r="G5" s="159"/>
      <c r="H5" s="160"/>
      <c r="I5" s="160"/>
    </row>
    <row r="6" spans="1:9" x14ac:dyDescent="0.25">
      <c r="A6" s="159"/>
      <c r="B6" s="274" t="s">
        <v>108</v>
      </c>
      <c r="C6" s="274"/>
      <c r="D6" s="274"/>
      <c r="E6" s="274"/>
      <c r="F6" s="159"/>
      <c r="G6" s="159"/>
      <c r="H6" s="160"/>
      <c r="I6" s="160"/>
    </row>
    <row r="7" spans="1:9" x14ac:dyDescent="0.25">
      <c r="A7" s="159"/>
      <c r="B7" s="274" t="s">
        <v>109</v>
      </c>
      <c r="C7" s="274"/>
      <c r="D7" s="274"/>
      <c r="E7" s="274"/>
      <c r="F7" s="159"/>
      <c r="G7" s="159"/>
      <c r="H7" s="160"/>
      <c r="I7" s="160"/>
    </row>
    <row r="8" spans="1:9" x14ac:dyDescent="0.25">
      <c r="A8" s="159"/>
      <c r="B8" s="274" t="s">
        <v>110</v>
      </c>
      <c r="C8" s="274"/>
      <c r="D8" s="274"/>
      <c r="E8" s="274"/>
      <c r="F8" s="159"/>
      <c r="G8" s="159"/>
      <c r="H8" s="160"/>
      <c r="I8" s="160"/>
    </row>
    <row r="9" spans="1:9" x14ac:dyDescent="0.25">
      <c r="A9" s="159"/>
      <c r="B9" s="274" t="s">
        <v>111</v>
      </c>
      <c r="C9" s="274"/>
      <c r="D9" s="274"/>
      <c r="E9" s="274"/>
      <c r="F9" s="159"/>
      <c r="G9" s="159"/>
      <c r="H9" s="160"/>
      <c r="I9" s="160"/>
    </row>
    <row r="10" spans="1:9" x14ac:dyDescent="0.25">
      <c r="A10" s="159"/>
      <c r="B10" s="276" t="s">
        <v>112</v>
      </c>
      <c r="C10" s="277"/>
      <c r="D10" s="277"/>
      <c r="E10" s="278"/>
      <c r="F10" s="159"/>
      <c r="G10" s="159"/>
      <c r="H10" s="160"/>
      <c r="I10" s="160"/>
    </row>
    <row r="11" spans="1:9" x14ac:dyDescent="0.25">
      <c r="A11" s="159"/>
      <c r="B11" s="276" t="s">
        <v>113</v>
      </c>
      <c r="C11" s="277"/>
      <c r="D11" s="277"/>
      <c r="E11" s="278"/>
      <c r="F11" s="159"/>
      <c r="G11" s="159"/>
      <c r="H11" s="160"/>
      <c r="I11" s="160"/>
    </row>
    <row r="12" spans="1:9" x14ac:dyDescent="0.25">
      <c r="A12" s="159"/>
      <c r="B12" s="276" t="s">
        <v>325</v>
      </c>
      <c r="C12" s="277"/>
      <c r="D12" s="277"/>
      <c r="E12" s="278"/>
      <c r="F12" s="159"/>
      <c r="G12" s="159"/>
      <c r="H12" s="160"/>
      <c r="I12" s="160"/>
    </row>
    <row r="13" spans="1:9" x14ac:dyDescent="0.25">
      <c r="A13" s="159"/>
      <c r="B13" s="338"/>
      <c r="C13" s="339"/>
      <c r="D13" s="339"/>
      <c r="E13" s="340"/>
      <c r="F13" s="159"/>
      <c r="G13" s="159"/>
      <c r="H13" s="160"/>
      <c r="I13" s="160"/>
    </row>
    <row r="14" spans="1:9" x14ac:dyDescent="0.25">
      <c r="A14" s="159"/>
      <c r="B14" s="338"/>
      <c r="C14" s="339"/>
      <c r="D14" s="339"/>
      <c r="E14" s="340"/>
      <c r="F14" s="159"/>
      <c r="G14" s="159"/>
      <c r="H14" s="160"/>
      <c r="I14" s="160"/>
    </row>
    <row r="15" spans="1:9" x14ac:dyDescent="0.25">
      <c r="A15" s="159"/>
      <c r="B15" s="338"/>
      <c r="C15" s="339"/>
      <c r="D15" s="339"/>
      <c r="E15" s="340"/>
      <c r="F15" s="159"/>
      <c r="G15" s="159"/>
      <c r="H15" s="160"/>
      <c r="I15" s="160"/>
    </row>
    <row r="16" spans="1:9" x14ac:dyDescent="0.25">
      <c r="A16" s="159" t="s">
        <v>42</v>
      </c>
      <c r="B16" s="338" t="s">
        <v>467</v>
      </c>
      <c r="C16" s="339"/>
      <c r="D16" s="339"/>
      <c r="E16" s="340"/>
      <c r="F16" s="159" t="s">
        <v>216</v>
      </c>
      <c r="G16" s="159">
        <v>1</v>
      </c>
      <c r="H16" s="160">
        <v>1200000</v>
      </c>
      <c r="I16" s="160">
        <f>G16*H16</f>
        <v>1200000</v>
      </c>
    </row>
    <row r="17" spans="1:9" x14ac:dyDescent="0.25">
      <c r="A17" s="159"/>
      <c r="B17" s="338" t="s">
        <v>114</v>
      </c>
      <c r="C17" s="339"/>
      <c r="D17" s="339"/>
      <c r="E17" s="340"/>
      <c r="F17" s="159"/>
      <c r="G17" s="159"/>
      <c r="H17" s="160"/>
      <c r="I17" s="160"/>
    </row>
    <row r="18" spans="1:9" x14ac:dyDescent="0.25">
      <c r="A18" s="159"/>
      <c r="B18" s="338" t="s">
        <v>326</v>
      </c>
      <c r="C18" s="339"/>
      <c r="D18" s="339"/>
      <c r="E18" s="340"/>
      <c r="F18" s="159"/>
      <c r="G18" s="159"/>
      <c r="H18" s="160"/>
      <c r="I18" s="160"/>
    </row>
    <row r="19" spans="1:9" x14ac:dyDescent="0.25">
      <c r="A19" s="159"/>
      <c r="B19" s="338"/>
      <c r="C19" s="339"/>
      <c r="D19" s="339"/>
      <c r="E19" s="340"/>
      <c r="F19" s="159"/>
      <c r="G19" s="159"/>
      <c r="H19" s="160"/>
      <c r="I19" s="160"/>
    </row>
    <row r="20" spans="1:9" x14ac:dyDescent="0.25">
      <c r="A20" s="159" t="s">
        <v>46</v>
      </c>
      <c r="B20" s="338" t="s">
        <v>468</v>
      </c>
      <c r="C20" s="339"/>
      <c r="D20" s="339"/>
      <c r="E20" s="340"/>
      <c r="F20" s="159" t="s">
        <v>216</v>
      </c>
      <c r="G20" s="159">
        <v>9</v>
      </c>
      <c r="H20" s="160">
        <v>650000</v>
      </c>
      <c r="I20" s="160">
        <f>G20*H20</f>
        <v>5850000</v>
      </c>
    </row>
    <row r="21" spans="1:9" x14ac:dyDescent="0.25">
      <c r="A21" s="159"/>
      <c r="B21" s="338" t="s">
        <v>117</v>
      </c>
      <c r="C21" s="339"/>
      <c r="D21" s="339"/>
      <c r="E21" s="340"/>
      <c r="F21" s="159"/>
      <c r="G21" s="159"/>
      <c r="H21" s="160"/>
      <c r="I21" s="160"/>
    </row>
    <row r="22" spans="1:9" x14ac:dyDescent="0.25">
      <c r="A22" s="159"/>
      <c r="B22" s="338" t="s">
        <v>327</v>
      </c>
      <c r="C22" s="339"/>
      <c r="D22" s="339"/>
      <c r="E22" s="340"/>
      <c r="F22" s="159"/>
      <c r="G22" s="159"/>
      <c r="H22" s="160"/>
      <c r="I22" s="160"/>
    </row>
    <row r="23" spans="1:9" x14ac:dyDescent="0.25">
      <c r="A23" s="159"/>
      <c r="B23" s="338"/>
      <c r="C23" s="339"/>
      <c r="D23" s="339"/>
      <c r="E23" s="340"/>
      <c r="F23" s="159"/>
      <c r="G23" s="159"/>
      <c r="H23" s="160"/>
      <c r="I23" s="160"/>
    </row>
    <row r="24" spans="1:9" x14ac:dyDescent="0.25">
      <c r="A24" s="159" t="s">
        <v>49</v>
      </c>
      <c r="B24" s="338" t="s">
        <v>469</v>
      </c>
      <c r="C24" s="339"/>
      <c r="D24" s="339"/>
      <c r="E24" s="340"/>
      <c r="F24" s="159" t="s">
        <v>216</v>
      </c>
      <c r="G24" s="159">
        <v>3</v>
      </c>
      <c r="H24" s="160">
        <v>200000</v>
      </c>
      <c r="I24" s="160">
        <f>G24*H24</f>
        <v>600000</v>
      </c>
    </row>
    <row r="25" spans="1:9" x14ac:dyDescent="0.25">
      <c r="A25" s="159"/>
      <c r="B25" s="338" t="s">
        <v>119</v>
      </c>
      <c r="C25" s="339"/>
      <c r="D25" s="339"/>
      <c r="E25" s="340"/>
      <c r="F25" s="159"/>
      <c r="G25" s="159"/>
      <c r="H25" s="160"/>
      <c r="I25" s="160"/>
    </row>
    <row r="26" spans="1:9" x14ac:dyDescent="0.25">
      <c r="A26" s="159"/>
      <c r="B26" s="338" t="s">
        <v>328</v>
      </c>
      <c r="C26" s="339"/>
      <c r="D26" s="339"/>
      <c r="E26" s="340"/>
      <c r="F26" s="159"/>
      <c r="G26" s="159"/>
      <c r="H26" s="160"/>
      <c r="I26" s="160"/>
    </row>
    <row r="27" spans="1:9" x14ac:dyDescent="0.25">
      <c r="A27" s="159"/>
      <c r="B27" s="338"/>
      <c r="C27" s="339"/>
      <c r="D27" s="339"/>
      <c r="E27" s="340"/>
      <c r="F27" s="159"/>
      <c r="G27" s="159"/>
      <c r="H27" s="160"/>
      <c r="I27" s="160"/>
    </row>
    <row r="28" spans="1:9" x14ac:dyDescent="0.25">
      <c r="A28" s="159"/>
      <c r="B28" s="338"/>
      <c r="C28" s="339"/>
      <c r="D28" s="339"/>
      <c r="E28" s="340"/>
      <c r="F28" s="159"/>
      <c r="G28" s="159"/>
      <c r="H28" s="160"/>
      <c r="I28" s="160"/>
    </row>
    <row r="29" spans="1:9" x14ac:dyDescent="0.25">
      <c r="A29" s="159"/>
      <c r="B29" s="338"/>
      <c r="C29" s="339"/>
      <c r="D29" s="339"/>
      <c r="E29" s="340"/>
      <c r="F29" s="159"/>
      <c r="G29" s="159"/>
      <c r="H29" s="160"/>
      <c r="I29" s="160"/>
    </row>
    <row r="30" spans="1:9" x14ac:dyDescent="0.25">
      <c r="A30" s="159"/>
      <c r="B30" s="338"/>
      <c r="C30" s="339"/>
      <c r="D30" s="339"/>
      <c r="E30" s="340"/>
      <c r="F30" s="159"/>
      <c r="G30" s="159"/>
      <c r="H30" s="160"/>
      <c r="I30" s="160"/>
    </row>
    <row r="31" spans="1:9" x14ac:dyDescent="0.25">
      <c r="A31" s="159"/>
      <c r="B31" s="338"/>
      <c r="C31" s="339"/>
      <c r="D31" s="339"/>
      <c r="E31" s="340"/>
      <c r="F31" s="159"/>
      <c r="G31" s="159"/>
      <c r="H31" s="160"/>
      <c r="I31" s="160"/>
    </row>
    <row r="32" spans="1:9" x14ac:dyDescent="0.25">
      <c r="A32" s="159"/>
      <c r="B32" s="338"/>
      <c r="C32" s="339"/>
      <c r="D32" s="339"/>
      <c r="E32" s="340"/>
      <c r="F32" s="159"/>
      <c r="G32" s="159"/>
      <c r="H32" s="160"/>
      <c r="I32" s="160"/>
    </row>
    <row r="33" spans="1:9" x14ac:dyDescent="0.25">
      <c r="A33" s="159"/>
      <c r="B33" s="338"/>
      <c r="C33" s="339"/>
      <c r="D33" s="339"/>
      <c r="E33" s="340"/>
      <c r="F33" s="159"/>
      <c r="G33" s="159"/>
      <c r="H33" s="160"/>
      <c r="I33" s="160"/>
    </row>
    <row r="34" spans="1:9" x14ac:dyDescent="0.25">
      <c r="A34" s="159"/>
      <c r="B34" s="338"/>
      <c r="C34" s="339"/>
      <c r="D34" s="339"/>
      <c r="E34" s="340"/>
      <c r="F34" s="159"/>
      <c r="G34" s="159"/>
      <c r="H34" s="160"/>
      <c r="I34" s="160"/>
    </row>
    <row r="35" spans="1:9" x14ac:dyDescent="0.25">
      <c r="A35" s="159"/>
      <c r="B35" s="338"/>
      <c r="C35" s="339"/>
      <c r="D35" s="339"/>
      <c r="E35" s="340"/>
      <c r="F35" s="159"/>
      <c r="G35" s="159"/>
      <c r="H35" s="160"/>
      <c r="I35" s="160"/>
    </row>
    <row r="36" spans="1:9" x14ac:dyDescent="0.25">
      <c r="A36" s="159"/>
      <c r="B36" s="338"/>
      <c r="C36" s="339"/>
      <c r="D36" s="339"/>
      <c r="E36" s="340"/>
      <c r="F36" s="159"/>
      <c r="G36" s="159"/>
      <c r="H36" s="160"/>
      <c r="I36" s="341"/>
    </row>
    <row r="37" spans="1:9" ht="15.75" thickBot="1" x14ac:dyDescent="0.3">
      <c r="A37" s="159"/>
      <c r="B37" s="338"/>
      <c r="C37" s="339"/>
      <c r="D37" s="339"/>
      <c r="E37" s="340"/>
      <c r="F37" s="159"/>
      <c r="G37" s="159"/>
      <c r="H37" s="160"/>
      <c r="I37" s="341"/>
    </row>
    <row r="38" spans="1:9" x14ac:dyDescent="0.25">
      <c r="A38" s="161"/>
      <c r="B38" s="91" t="s">
        <v>453</v>
      </c>
      <c r="C38" s="91"/>
      <c r="D38" s="91"/>
      <c r="E38" s="91"/>
      <c r="F38" s="91"/>
      <c r="G38" s="91"/>
      <c r="H38" s="162"/>
      <c r="I38" s="158">
        <f>SUM(I16:I37)</f>
        <v>7650000</v>
      </c>
    </row>
    <row r="39" spans="1:9" ht="15.75" thickBot="1" x14ac:dyDescent="0.3">
      <c r="A39" s="163"/>
      <c r="B39" s="164"/>
      <c r="C39" s="92"/>
      <c r="D39" s="92"/>
      <c r="E39" s="92"/>
      <c r="F39" s="92"/>
      <c r="G39" s="92"/>
      <c r="H39" s="165"/>
      <c r="I39" s="166"/>
    </row>
  </sheetData>
  <mergeCells count="38">
    <mergeCell ref="B37:E37"/>
    <mergeCell ref="I36:I37"/>
    <mergeCell ref="B31:E31"/>
    <mergeCell ref="B32:E32"/>
    <mergeCell ref="B33:E33"/>
    <mergeCell ref="B34:E34"/>
    <mergeCell ref="B35:E35"/>
    <mergeCell ref="B36:E36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B16:E16"/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10" workbookViewId="0">
      <selection activeCell="B21" sqref="B21:E21"/>
    </sheetView>
  </sheetViews>
  <sheetFormatPr defaultRowHeight="15" x14ac:dyDescent="0.25"/>
  <cols>
    <col min="1" max="1" width="5.140625" bestFit="1" customWidth="1"/>
    <col min="5" max="5" width="17.7109375" customWidth="1"/>
    <col min="6" max="6" width="11" customWidth="1"/>
    <col min="7" max="7" width="12.140625" customWidth="1"/>
    <col min="8" max="8" width="15.85546875" style="137" customWidth="1"/>
    <col min="9" max="9" width="16.7109375" style="143" customWidth="1"/>
  </cols>
  <sheetData>
    <row r="1" spans="1:9" ht="15.75" thickBot="1" x14ac:dyDescent="0.3">
      <c r="A1" s="36" t="s">
        <v>0</v>
      </c>
      <c r="B1" s="234" t="s">
        <v>1</v>
      </c>
      <c r="C1" s="235"/>
      <c r="D1" s="235"/>
      <c r="E1" s="236"/>
      <c r="F1" s="36" t="s">
        <v>24</v>
      </c>
      <c r="G1" s="36" t="s">
        <v>2</v>
      </c>
      <c r="H1" s="134" t="s">
        <v>3</v>
      </c>
      <c r="I1" s="138" t="s">
        <v>465</v>
      </c>
    </row>
    <row r="2" spans="1:9" x14ac:dyDescent="0.25">
      <c r="A2" s="18"/>
      <c r="B2" s="281"/>
      <c r="C2" s="282"/>
      <c r="D2" s="282"/>
      <c r="E2" s="283"/>
      <c r="F2" s="18"/>
      <c r="G2" s="18"/>
      <c r="H2" s="136"/>
      <c r="I2" s="139"/>
    </row>
    <row r="3" spans="1:9" x14ac:dyDescent="0.25">
      <c r="A3" s="18"/>
      <c r="B3" s="284" t="s">
        <v>120</v>
      </c>
      <c r="C3" s="285"/>
      <c r="D3" s="285"/>
      <c r="E3" s="286"/>
      <c r="F3" s="18"/>
      <c r="G3" s="18"/>
      <c r="H3" s="136"/>
      <c r="I3" s="139"/>
    </row>
    <row r="4" spans="1:9" x14ac:dyDescent="0.25">
      <c r="A4" s="18"/>
      <c r="B4" s="284" t="s">
        <v>121</v>
      </c>
      <c r="C4" s="285"/>
      <c r="D4" s="285"/>
      <c r="E4" s="286"/>
      <c r="F4" s="18"/>
      <c r="G4" s="18"/>
      <c r="H4" s="136"/>
      <c r="I4" s="139"/>
    </row>
    <row r="5" spans="1:9" x14ac:dyDescent="0.25">
      <c r="A5" s="18"/>
      <c r="B5" s="276"/>
      <c r="C5" s="277"/>
      <c r="D5" s="277"/>
      <c r="E5" s="278"/>
      <c r="F5" s="18"/>
      <c r="G5" s="18"/>
      <c r="H5" s="136"/>
      <c r="I5" s="139"/>
    </row>
    <row r="6" spans="1:9" x14ac:dyDescent="0.25">
      <c r="A6" s="18"/>
      <c r="B6" s="276" t="s">
        <v>122</v>
      </c>
      <c r="C6" s="277"/>
      <c r="D6" s="277"/>
      <c r="E6" s="278"/>
      <c r="F6" s="18"/>
      <c r="G6" s="18"/>
      <c r="H6" s="136"/>
      <c r="I6" s="139"/>
    </row>
    <row r="7" spans="1:9" x14ac:dyDescent="0.25">
      <c r="A7" s="18"/>
      <c r="B7" s="276" t="s">
        <v>123</v>
      </c>
      <c r="C7" s="277"/>
      <c r="D7" s="277"/>
      <c r="E7" s="278"/>
      <c r="F7" s="18"/>
      <c r="G7" s="18"/>
      <c r="H7" s="136"/>
      <c r="I7" s="139"/>
    </row>
    <row r="8" spans="1:9" x14ac:dyDescent="0.25">
      <c r="A8" s="18"/>
      <c r="B8" s="276" t="s">
        <v>124</v>
      </c>
      <c r="C8" s="277"/>
      <c r="D8" s="277"/>
      <c r="E8" s="278"/>
      <c r="F8" s="18"/>
      <c r="G8" s="18"/>
      <c r="H8" s="136"/>
      <c r="I8" s="139"/>
    </row>
    <row r="9" spans="1:9" x14ac:dyDescent="0.25">
      <c r="A9" s="18"/>
      <c r="B9" s="276" t="s">
        <v>329</v>
      </c>
      <c r="C9" s="277"/>
      <c r="D9" s="277"/>
      <c r="E9" s="278"/>
      <c r="F9" s="18"/>
      <c r="G9" s="18"/>
      <c r="H9" s="136"/>
      <c r="I9" s="139"/>
    </row>
    <row r="10" spans="1:9" x14ac:dyDescent="0.25">
      <c r="A10" s="18"/>
      <c r="B10" s="254"/>
      <c r="C10" s="228"/>
      <c r="D10" s="228"/>
      <c r="E10" s="229"/>
      <c r="F10" s="18"/>
      <c r="G10" s="18"/>
      <c r="H10" s="136"/>
      <c r="I10" s="139"/>
    </row>
    <row r="11" spans="1:9" x14ac:dyDescent="0.25">
      <c r="A11" s="18" t="s">
        <v>30</v>
      </c>
      <c r="B11" s="254" t="s">
        <v>125</v>
      </c>
      <c r="C11" s="228"/>
      <c r="D11" s="228"/>
      <c r="E11" s="229"/>
      <c r="F11" s="18" t="s">
        <v>216</v>
      </c>
      <c r="G11" s="18">
        <v>1</v>
      </c>
      <c r="H11" s="136">
        <v>500000</v>
      </c>
      <c r="I11" s="139">
        <f>G11*H11</f>
        <v>500000</v>
      </c>
    </row>
    <row r="12" spans="1:9" x14ac:dyDescent="0.25">
      <c r="A12" s="18"/>
      <c r="B12" s="254" t="s">
        <v>126</v>
      </c>
      <c r="C12" s="228"/>
      <c r="D12" s="228"/>
      <c r="E12" s="229"/>
      <c r="F12" s="18"/>
      <c r="G12" s="18"/>
      <c r="H12" s="136"/>
      <c r="I12" s="139"/>
    </row>
    <row r="13" spans="1:9" x14ac:dyDescent="0.25">
      <c r="A13" s="18"/>
      <c r="B13" s="254" t="s">
        <v>330</v>
      </c>
      <c r="C13" s="228"/>
      <c r="D13" s="228"/>
      <c r="E13" s="229"/>
      <c r="F13" s="18"/>
      <c r="G13" s="18"/>
      <c r="H13" s="136"/>
      <c r="I13" s="139"/>
    </row>
    <row r="14" spans="1:9" x14ac:dyDescent="0.25">
      <c r="A14" s="18" t="s">
        <v>42</v>
      </c>
      <c r="B14" s="254" t="s">
        <v>127</v>
      </c>
      <c r="C14" s="228"/>
      <c r="D14" s="228"/>
      <c r="E14" s="229"/>
      <c r="F14" s="18" t="s">
        <v>216</v>
      </c>
      <c r="G14" s="18">
        <v>7</v>
      </c>
      <c r="H14" s="136">
        <v>650000</v>
      </c>
      <c r="I14" s="139">
        <f>G14*H14</f>
        <v>4550000</v>
      </c>
    </row>
    <row r="15" spans="1:9" x14ac:dyDescent="0.25">
      <c r="A15" s="18"/>
      <c r="B15" s="254" t="s">
        <v>450</v>
      </c>
      <c r="C15" s="228"/>
      <c r="D15" s="228"/>
      <c r="E15" s="229"/>
      <c r="F15" s="18"/>
      <c r="G15" s="18"/>
      <c r="H15" s="136"/>
      <c r="I15" s="139"/>
    </row>
    <row r="16" spans="1:9" x14ac:dyDescent="0.25">
      <c r="A16" s="18"/>
      <c r="B16" s="254" t="s">
        <v>331</v>
      </c>
      <c r="C16" s="228"/>
      <c r="D16" s="228"/>
      <c r="E16" s="229"/>
      <c r="F16" s="18"/>
      <c r="G16" s="18"/>
      <c r="H16" s="136"/>
      <c r="I16" s="139"/>
    </row>
    <row r="17" spans="1:9" x14ac:dyDescent="0.25">
      <c r="A17" s="18" t="s">
        <v>46</v>
      </c>
      <c r="B17" s="254" t="s">
        <v>488</v>
      </c>
      <c r="C17" s="228"/>
      <c r="D17" s="228"/>
      <c r="E17" s="229"/>
      <c r="F17" s="18" t="s">
        <v>216</v>
      </c>
      <c r="G17" s="18">
        <v>7</v>
      </c>
      <c r="H17" s="136">
        <v>100000</v>
      </c>
      <c r="I17" s="139">
        <f>G17*H17</f>
        <v>700000</v>
      </c>
    </row>
    <row r="18" spans="1:9" x14ac:dyDescent="0.25">
      <c r="A18" s="18"/>
      <c r="B18" s="254" t="s">
        <v>332</v>
      </c>
      <c r="C18" s="228"/>
      <c r="D18" s="228"/>
      <c r="E18" s="229"/>
      <c r="G18" s="18"/>
      <c r="H18" s="136"/>
      <c r="I18" s="139"/>
    </row>
    <row r="19" spans="1:9" x14ac:dyDescent="0.25">
      <c r="A19" s="18" t="s">
        <v>49</v>
      </c>
      <c r="B19" s="254" t="s">
        <v>471</v>
      </c>
      <c r="C19" s="228"/>
      <c r="D19" s="228"/>
      <c r="E19" s="229"/>
      <c r="F19" s="18" t="s">
        <v>216</v>
      </c>
      <c r="G19" s="18">
        <v>3</v>
      </c>
      <c r="H19" s="136">
        <v>450000</v>
      </c>
      <c r="I19" s="139">
        <f>G19*H19</f>
        <v>1350000</v>
      </c>
    </row>
    <row r="20" spans="1:9" x14ac:dyDescent="0.25">
      <c r="A20" s="18"/>
      <c r="B20" s="254"/>
      <c r="C20" s="228"/>
      <c r="D20" s="228"/>
      <c r="E20" s="229"/>
      <c r="F20" s="18"/>
      <c r="G20" s="18"/>
      <c r="H20" s="136"/>
      <c r="I20" s="139"/>
    </row>
    <row r="21" spans="1:9" x14ac:dyDescent="0.25">
      <c r="A21" s="18"/>
      <c r="B21" s="276" t="s">
        <v>130</v>
      </c>
      <c r="C21" s="277"/>
      <c r="D21" s="277"/>
      <c r="E21" s="278"/>
      <c r="F21" s="18"/>
      <c r="G21" s="18"/>
      <c r="H21" s="136"/>
      <c r="I21" s="139"/>
    </row>
    <row r="22" spans="1:9" x14ac:dyDescent="0.25">
      <c r="A22" s="18"/>
      <c r="B22" s="276" t="s">
        <v>131</v>
      </c>
      <c r="C22" s="277"/>
      <c r="D22" s="277"/>
      <c r="E22" s="278"/>
      <c r="F22" s="18"/>
      <c r="G22" s="18"/>
      <c r="H22" s="136"/>
      <c r="I22" s="139"/>
    </row>
    <row r="23" spans="1:9" x14ac:dyDescent="0.25">
      <c r="A23" s="18"/>
      <c r="B23" s="276" t="s">
        <v>334</v>
      </c>
      <c r="C23" s="277"/>
      <c r="D23" s="277"/>
      <c r="E23" s="278"/>
      <c r="F23" s="18"/>
      <c r="G23" s="18"/>
      <c r="H23" s="136"/>
      <c r="I23" s="139"/>
    </row>
    <row r="24" spans="1:9" x14ac:dyDescent="0.25">
      <c r="A24" s="18" t="s">
        <v>53</v>
      </c>
      <c r="B24" s="254" t="s">
        <v>335</v>
      </c>
      <c r="C24" s="228"/>
      <c r="D24" s="228"/>
      <c r="E24" s="229"/>
      <c r="F24" s="18" t="s">
        <v>216</v>
      </c>
      <c r="G24" s="18"/>
      <c r="H24" s="136"/>
      <c r="I24" s="139">
        <f>G24*H24</f>
        <v>0</v>
      </c>
    </row>
    <row r="25" spans="1:9" x14ac:dyDescent="0.25">
      <c r="A25" s="18" t="s">
        <v>55</v>
      </c>
      <c r="B25" s="254" t="s">
        <v>336</v>
      </c>
      <c r="C25" s="228"/>
      <c r="D25" s="228"/>
      <c r="E25" s="229"/>
      <c r="F25" s="18" t="s">
        <v>216</v>
      </c>
      <c r="G25" s="18"/>
      <c r="H25" s="136"/>
      <c r="I25" s="139">
        <f>G25*H25</f>
        <v>0</v>
      </c>
    </row>
    <row r="26" spans="1:9" x14ac:dyDescent="0.25">
      <c r="A26" s="18" t="s">
        <v>57</v>
      </c>
      <c r="B26" s="254" t="s">
        <v>489</v>
      </c>
      <c r="C26" s="228"/>
      <c r="D26" s="228"/>
      <c r="E26" s="229"/>
      <c r="F26" s="18" t="s">
        <v>447</v>
      </c>
      <c r="G26" s="18">
        <v>6</v>
      </c>
      <c r="H26" s="136">
        <v>45000</v>
      </c>
      <c r="I26" s="139">
        <f>G26*H26</f>
        <v>270000</v>
      </c>
    </row>
    <row r="27" spans="1:9" x14ac:dyDescent="0.25">
      <c r="A27" s="18"/>
      <c r="B27" s="254" t="s">
        <v>472</v>
      </c>
      <c r="C27" s="228"/>
      <c r="D27" s="228"/>
      <c r="E27" s="229"/>
      <c r="F27" s="18"/>
      <c r="G27" s="18"/>
      <c r="H27" s="136"/>
      <c r="I27" s="139"/>
    </row>
    <row r="28" spans="1:9" x14ac:dyDescent="0.25">
      <c r="A28" s="18"/>
      <c r="B28" s="254" t="s">
        <v>134</v>
      </c>
      <c r="C28" s="228"/>
      <c r="D28" s="228"/>
      <c r="E28" s="229"/>
      <c r="F28" s="18"/>
      <c r="G28" s="18"/>
      <c r="H28" s="136"/>
      <c r="I28" s="139"/>
    </row>
    <row r="29" spans="1:9" x14ac:dyDescent="0.25">
      <c r="A29" s="18"/>
      <c r="B29" s="254" t="s">
        <v>337</v>
      </c>
      <c r="C29" s="228"/>
      <c r="D29" s="228"/>
      <c r="E29" s="229"/>
      <c r="F29" s="18"/>
      <c r="G29" s="18"/>
      <c r="H29" s="136"/>
      <c r="I29" s="139"/>
    </row>
    <row r="30" spans="1:9" x14ac:dyDescent="0.25">
      <c r="A30" s="18" t="s">
        <v>85</v>
      </c>
      <c r="B30" s="254" t="s">
        <v>135</v>
      </c>
      <c r="C30" s="228"/>
      <c r="D30" s="228"/>
      <c r="E30" s="229"/>
      <c r="F30" s="18" t="s">
        <v>447</v>
      </c>
      <c r="G30" s="18">
        <v>42</v>
      </c>
      <c r="H30" s="136">
        <v>6000</v>
      </c>
      <c r="I30" s="139">
        <f>G30*H30</f>
        <v>252000</v>
      </c>
    </row>
    <row r="31" spans="1:9" x14ac:dyDescent="0.25">
      <c r="A31" s="18" t="s">
        <v>86</v>
      </c>
      <c r="B31" s="254" t="s">
        <v>338</v>
      </c>
      <c r="C31" s="228"/>
      <c r="D31" s="228"/>
      <c r="E31" s="229"/>
      <c r="F31" s="18" t="s">
        <v>214</v>
      </c>
      <c r="G31" s="18">
        <v>42</v>
      </c>
      <c r="H31" s="136">
        <v>1000</v>
      </c>
      <c r="I31" s="139">
        <f>G31*H31</f>
        <v>42000</v>
      </c>
    </row>
    <row r="32" spans="1:9" x14ac:dyDescent="0.25">
      <c r="A32" s="18"/>
      <c r="B32" s="267" t="s">
        <v>136</v>
      </c>
      <c r="C32" s="226"/>
      <c r="D32" s="226"/>
      <c r="E32" s="227"/>
      <c r="F32" s="18"/>
      <c r="G32" s="18"/>
      <c r="H32" s="136"/>
      <c r="I32" s="139"/>
    </row>
    <row r="33" spans="1:9" x14ac:dyDescent="0.25">
      <c r="A33" s="18"/>
      <c r="B33" s="267" t="s">
        <v>137</v>
      </c>
      <c r="C33" s="226"/>
      <c r="D33" s="226"/>
      <c r="E33" s="227"/>
      <c r="F33" s="18"/>
      <c r="G33" s="18"/>
      <c r="H33" s="136"/>
      <c r="I33" s="139"/>
    </row>
    <row r="34" spans="1:9" x14ac:dyDescent="0.25">
      <c r="A34" s="18"/>
      <c r="B34" s="267" t="s">
        <v>339</v>
      </c>
      <c r="C34" s="226"/>
      <c r="D34" s="226"/>
      <c r="E34" s="227"/>
      <c r="F34" s="18"/>
      <c r="G34" s="18"/>
      <c r="H34" s="136"/>
      <c r="I34" s="139"/>
    </row>
    <row r="35" spans="1:9" x14ac:dyDescent="0.25">
      <c r="A35" s="18" t="s">
        <v>96</v>
      </c>
      <c r="B35" s="254" t="s">
        <v>340</v>
      </c>
      <c r="C35" s="228"/>
      <c r="D35" s="228"/>
      <c r="E35" s="229"/>
      <c r="F35" s="18" t="s">
        <v>341</v>
      </c>
      <c r="G35" s="18">
        <v>26</v>
      </c>
      <c r="H35" s="136">
        <v>12000</v>
      </c>
      <c r="I35" s="139">
        <f>G35*H35</f>
        <v>312000</v>
      </c>
    </row>
    <row r="36" spans="1:9" x14ac:dyDescent="0.25">
      <c r="A36" s="18" t="s">
        <v>97</v>
      </c>
      <c r="B36" s="254" t="s">
        <v>138</v>
      </c>
      <c r="C36" s="228"/>
      <c r="D36" s="228"/>
      <c r="E36" s="229"/>
      <c r="F36" s="18" t="s">
        <v>216</v>
      </c>
      <c r="G36" s="18">
        <v>14</v>
      </c>
      <c r="H36" s="136">
        <v>15000</v>
      </c>
      <c r="I36" s="139">
        <f>G36*H36</f>
        <v>210000</v>
      </c>
    </row>
    <row r="37" spans="1:9" x14ac:dyDescent="0.25">
      <c r="A37" s="18"/>
      <c r="B37" s="254" t="s">
        <v>342</v>
      </c>
      <c r="C37" s="228"/>
      <c r="D37" s="228"/>
      <c r="E37" s="228"/>
      <c r="F37" s="18"/>
      <c r="G37" s="18"/>
      <c r="H37" s="136"/>
      <c r="I37" s="139"/>
    </row>
    <row r="38" spans="1:9" x14ac:dyDescent="0.25">
      <c r="A38" s="18" t="s">
        <v>98</v>
      </c>
      <c r="B38" s="254" t="s">
        <v>429</v>
      </c>
      <c r="C38" s="228"/>
      <c r="D38" s="228"/>
      <c r="E38" s="228"/>
      <c r="F38" s="18" t="s">
        <v>216</v>
      </c>
      <c r="G38" s="18">
        <v>26</v>
      </c>
      <c r="H38" s="136">
        <v>12000</v>
      </c>
      <c r="I38" s="139">
        <f>G38*H38</f>
        <v>312000</v>
      </c>
    </row>
    <row r="39" spans="1:9" ht="15.75" thickBot="1" x14ac:dyDescent="0.3">
      <c r="A39" s="18" t="s">
        <v>101</v>
      </c>
      <c r="B39" s="254" t="s">
        <v>443</v>
      </c>
      <c r="C39" s="228"/>
      <c r="D39" s="228"/>
      <c r="E39" s="229"/>
      <c r="F39" s="18" t="s">
        <v>216</v>
      </c>
      <c r="G39" s="18"/>
      <c r="H39" s="136"/>
      <c r="I39" s="140"/>
    </row>
    <row r="40" spans="1:9" x14ac:dyDescent="0.25">
      <c r="A40" s="19"/>
      <c r="B40" s="14"/>
      <c r="C40" s="14"/>
      <c r="D40" s="14"/>
      <c r="E40" s="14"/>
      <c r="F40" s="14"/>
      <c r="G40" s="14"/>
      <c r="H40" s="170"/>
      <c r="I40" s="171"/>
    </row>
    <row r="41" spans="1:9" x14ac:dyDescent="0.25">
      <c r="A41" s="16"/>
      <c r="B41" s="277" t="s">
        <v>454</v>
      </c>
      <c r="C41" s="226"/>
      <c r="D41" s="226"/>
      <c r="E41" s="226"/>
      <c r="F41" s="226"/>
      <c r="G41" s="226"/>
      <c r="H41" s="227"/>
      <c r="I41" s="172">
        <f>SUM(I11:I40)</f>
        <v>8498000</v>
      </c>
    </row>
    <row r="42" spans="1:9" x14ac:dyDescent="0.25">
      <c r="A42" s="16"/>
      <c r="B42" s="226"/>
      <c r="C42" s="226"/>
      <c r="D42" s="226"/>
      <c r="E42" s="226"/>
      <c r="F42" s="226"/>
      <c r="G42" s="226"/>
      <c r="H42" s="227"/>
      <c r="I42" s="173"/>
    </row>
    <row r="43" spans="1:9" ht="15.75" thickBot="1" x14ac:dyDescent="0.3">
      <c r="A43" s="17"/>
      <c r="B43" s="263"/>
      <c r="C43" s="263"/>
      <c r="D43" s="263"/>
      <c r="E43" s="263"/>
      <c r="F43" s="263"/>
      <c r="G43" s="263"/>
      <c r="H43" s="273"/>
      <c r="I43" s="174"/>
    </row>
  </sheetData>
  <mergeCells count="42">
    <mergeCell ref="B36:E36"/>
    <mergeCell ref="B43:H43"/>
    <mergeCell ref="B37:E37"/>
    <mergeCell ref="B38:E38"/>
    <mergeCell ref="B39:E39"/>
    <mergeCell ref="B41:H41"/>
    <mergeCell ref="B42:H42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B16:E16"/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I16" sqref="I16"/>
    </sheetView>
  </sheetViews>
  <sheetFormatPr defaultRowHeight="15" x14ac:dyDescent="0.25"/>
  <cols>
    <col min="1" max="1" width="5.140625" bestFit="1" customWidth="1"/>
    <col min="5" max="5" width="18.42578125" customWidth="1"/>
    <col min="6" max="6" width="7.140625" customWidth="1"/>
    <col min="7" max="7" width="7" customWidth="1"/>
    <col min="8" max="8" width="11.5703125" style="137" customWidth="1"/>
    <col min="9" max="9" width="15.5703125" style="143" customWidth="1"/>
  </cols>
  <sheetData>
    <row r="1" spans="1:9" ht="15.75" thickBot="1" x14ac:dyDescent="0.3">
      <c r="A1" s="38" t="s">
        <v>0</v>
      </c>
      <c r="B1" s="280" t="s">
        <v>1</v>
      </c>
      <c r="C1" s="280"/>
      <c r="D1" s="280"/>
      <c r="E1" s="280"/>
      <c r="F1" s="38" t="s">
        <v>24</v>
      </c>
      <c r="G1" s="38" t="s">
        <v>2</v>
      </c>
      <c r="H1" s="175" t="s">
        <v>3</v>
      </c>
      <c r="I1" s="138" t="s">
        <v>465</v>
      </c>
    </row>
    <row r="2" spans="1:9" x14ac:dyDescent="0.25">
      <c r="A2" s="8"/>
      <c r="B2" s="287" t="s">
        <v>139</v>
      </c>
      <c r="C2" s="287"/>
      <c r="D2" s="287"/>
      <c r="E2" s="287"/>
      <c r="F2" s="32"/>
      <c r="G2" s="8"/>
      <c r="H2" s="176"/>
      <c r="I2" s="177"/>
    </row>
    <row r="3" spans="1:9" x14ac:dyDescent="0.25">
      <c r="A3" s="18"/>
      <c r="B3" s="232" t="s">
        <v>140</v>
      </c>
      <c r="C3" s="232"/>
      <c r="D3" s="232"/>
      <c r="E3" s="232"/>
      <c r="F3" s="33"/>
      <c r="G3" s="18"/>
      <c r="H3" s="136"/>
      <c r="I3" s="139"/>
    </row>
    <row r="4" spans="1:9" x14ac:dyDescent="0.25">
      <c r="A4" s="18"/>
      <c r="B4" s="274" t="s">
        <v>354</v>
      </c>
      <c r="C4" s="274"/>
      <c r="D4" s="274"/>
      <c r="E4" s="274"/>
      <c r="F4" s="33"/>
      <c r="G4" s="18"/>
      <c r="H4" s="136"/>
      <c r="I4" s="139"/>
    </row>
    <row r="5" spans="1:9" x14ac:dyDescent="0.25">
      <c r="A5" s="18" t="s">
        <v>30</v>
      </c>
      <c r="B5" s="221" t="s">
        <v>490</v>
      </c>
      <c r="C5" s="221"/>
      <c r="D5" s="221"/>
      <c r="E5" s="221"/>
      <c r="F5" s="90" t="s">
        <v>447</v>
      </c>
      <c r="G5" s="18">
        <v>215</v>
      </c>
      <c r="H5" s="136">
        <v>8900</v>
      </c>
      <c r="I5" s="139">
        <f>G5*H5</f>
        <v>1913500</v>
      </c>
    </row>
    <row r="6" spans="1:9" x14ac:dyDescent="0.25">
      <c r="A6" s="18"/>
      <c r="B6" s="221" t="s">
        <v>344</v>
      </c>
      <c r="C6" s="221"/>
      <c r="D6" s="221"/>
      <c r="E6" s="221"/>
      <c r="F6" s="87"/>
      <c r="G6" s="18"/>
      <c r="H6" s="136"/>
      <c r="I6" s="139"/>
    </row>
    <row r="7" spans="1:9" x14ac:dyDescent="0.25">
      <c r="A7" s="18" t="s">
        <v>36</v>
      </c>
      <c r="B7" s="221" t="s">
        <v>491</v>
      </c>
      <c r="C7" s="221"/>
      <c r="D7" s="221"/>
      <c r="E7" s="221"/>
      <c r="F7" s="90" t="s">
        <v>447</v>
      </c>
      <c r="G7" s="18"/>
      <c r="H7" s="136"/>
      <c r="I7" s="139">
        <f>G7*H7</f>
        <v>0</v>
      </c>
    </row>
    <row r="8" spans="1:9" x14ac:dyDescent="0.25">
      <c r="A8" s="18" t="s">
        <v>39</v>
      </c>
      <c r="B8" s="221" t="s">
        <v>492</v>
      </c>
      <c r="C8" s="221"/>
      <c r="D8" s="221"/>
      <c r="E8" s="221"/>
      <c r="F8" s="90" t="s">
        <v>447</v>
      </c>
      <c r="G8" s="18">
        <v>185</v>
      </c>
      <c r="H8" s="136">
        <v>3000</v>
      </c>
      <c r="I8" s="139">
        <f>G8*H8</f>
        <v>555000</v>
      </c>
    </row>
    <row r="9" spans="1:9" x14ac:dyDescent="0.25">
      <c r="A9" s="18" t="s">
        <v>42</v>
      </c>
      <c r="B9" s="221" t="s">
        <v>493</v>
      </c>
      <c r="C9" s="221"/>
      <c r="D9" s="221"/>
      <c r="E9" s="221"/>
      <c r="F9" s="90" t="s">
        <v>447</v>
      </c>
      <c r="G9" s="18">
        <v>212</v>
      </c>
      <c r="H9" s="136">
        <v>10000</v>
      </c>
      <c r="I9" s="139">
        <f>G9*H9</f>
        <v>2120000</v>
      </c>
    </row>
    <row r="10" spans="1:9" x14ac:dyDescent="0.25">
      <c r="A10" s="18"/>
      <c r="B10" s="221" t="s">
        <v>347</v>
      </c>
      <c r="C10" s="221"/>
      <c r="D10" s="221"/>
      <c r="E10" s="221"/>
      <c r="F10" s="87"/>
      <c r="G10" s="18"/>
      <c r="H10" s="136"/>
      <c r="I10" s="139"/>
    </row>
    <row r="11" spans="1:9" ht="15.75" thickBot="1" x14ac:dyDescent="0.3">
      <c r="A11" s="18" t="s">
        <v>46</v>
      </c>
      <c r="B11" s="221" t="s">
        <v>473</v>
      </c>
      <c r="C11" s="221"/>
      <c r="D11" s="221"/>
      <c r="E11" s="221"/>
      <c r="F11" s="90" t="s">
        <v>447</v>
      </c>
      <c r="G11" s="18">
        <v>21</v>
      </c>
      <c r="H11" s="136">
        <v>20000</v>
      </c>
      <c r="I11" s="139">
        <f>G11*H11</f>
        <v>420000</v>
      </c>
    </row>
    <row r="12" spans="1:9" x14ac:dyDescent="0.25">
      <c r="A12" s="19"/>
      <c r="B12" s="333" t="s">
        <v>455</v>
      </c>
      <c r="C12" s="253"/>
      <c r="D12" s="253"/>
      <c r="E12" s="253"/>
      <c r="F12" s="253"/>
      <c r="G12" s="253"/>
      <c r="H12" s="275"/>
      <c r="I12" s="146">
        <f>SUM(I5:I11)</f>
        <v>5008500</v>
      </c>
    </row>
    <row r="13" spans="1:9" x14ac:dyDescent="0.25">
      <c r="A13" s="16"/>
      <c r="B13" s="226"/>
      <c r="C13" s="226"/>
      <c r="D13" s="226"/>
      <c r="E13" s="226"/>
      <c r="F13" s="226"/>
      <c r="G13" s="226"/>
      <c r="H13" s="227"/>
      <c r="I13" s="139"/>
    </row>
    <row r="14" spans="1:9" ht="15.75" thickBot="1" x14ac:dyDescent="0.3">
      <c r="A14" s="17"/>
      <c r="B14" s="263"/>
      <c r="C14" s="263"/>
      <c r="D14" s="263"/>
      <c r="E14" s="263"/>
      <c r="F14" s="263"/>
      <c r="G14" s="263"/>
      <c r="H14" s="273"/>
      <c r="I14" s="140"/>
    </row>
  </sheetData>
  <mergeCells count="14">
    <mergeCell ref="B6:E6"/>
    <mergeCell ref="B13:H13"/>
    <mergeCell ref="B14:H14"/>
    <mergeCell ref="B7:E7"/>
    <mergeCell ref="B8:E8"/>
    <mergeCell ref="B9:E9"/>
    <mergeCell ref="B10:E10"/>
    <mergeCell ref="B11:E11"/>
    <mergeCell ref="B12:H12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H16" sqref="H16"/>
    </sheetView>
  </sheetViews>
  <sheetFormatPr defaultRowHeight="15" x14ac:dyDescent="0.25"/>
  <cols>
    <col min="1" max="1" width="5.140625" bestFit="1" customWidth="1"/>
    <col min="5" max="5" width="16.7109375" customWidth="1"/>
    <col min="7" max="7" width="6.7109375" customWidth="1"/>
    <col min="8" max="8" width="12.7109375" style="137" customWidth="1"/>
    <col min="9" max="9" width="14.42578125" style="143" customWidth="1"/>
  </cols>
  <sheetData>
    <row r="1" spans="1:9" ht="15.75" thickBot="1" x14ac:dyDescent="0.3">
      <c r="A1" s="36" t="s">
        <v>0</v>
      </c>
      <c r="B1" s="280" t="s">
        <v>1</v>
      </c>
      <c r="C1" s="280"/>
      <c r="D1" s="280"/>
      <c r="E1" s="280"/>
      <c r="F1" s="36" t="s">
        <v>24</v>
      </c>
      <c r="G1" s="36" t="s">
        <v>2</v>
      </c>
      <c r="H1" s="134" t="s">
        <v>3</v>
      </c>
      <c r="I1" s="138" t="s">
        <v>465</v>
      </c>
    </row>
    <row r="2" spans="1:9" x14ac:dyDescent="0.25">
      <c r="A2" s="8"/>
      <c r="B2" s="287" t="s">
        <v>143</v>
      </c>
      <c r="C2" s="287"/>
      <c r="D2" s="287"/>
      <c r="E2" s="287"/>
      <c r="F2" s="8"/>
      <c r="G2" s="8"/>
      <c r="H2" s="176"/>
      <c r="I2" s="177"/>
    </row>
    <row r="3" spans="1:9" x14ac:dyDescent="0.25">
      <c r="A3" s="18"/>
      <c r="B3" s="232" t="s">
        <v>446</v>
      </c>
      <c r="C3" s="232"/>
      <c r="D3" s="232"/>
      <c r="E3" s="232"/>
      <c r="F3" s="18"/>
      <c r="G3" s="18"/>
      <c r="H3" s="136"/>
      <c r="I3" s="139"/>
    </row>
    <row r="4" spans="1:9" x14ac:dyDescent="0.25">
      <c r="A4" s="18"/>
      <c r="B4" s="232" t="s">
        <v>355</v>
      </c>
      <c r="C4" s="232"/>
      <c r="D4" s="232"/>
      <c r="E4" s="232"/>
      <c r="F4" s="18"/>
      <c r="G4" s="18"/>
      <c r="H4" s="136"/>
      <c r="I4" s="139"/>
    </row>
    <row r="5" spans="1:9" x14ac:dyDescent="0.25">
      <c r="A5" s="18" t="s">
        <v>30</v>
      </c>
      <c r="B5" s="290" t="s">
        <v>350</v>
      </c>
      <c r="C5" s="291"/>
      <c r="D5" s="291"/>
      <c r="E5" s="292"/>
      <c r="F5" s="18" t="s">
        <v>447</v>
      </c>
      <c r="G5" s="18">
        <v>580</v>
      </c>
      <c r="H5" s="136">
        <v>8100</v>
      </c>
      <c r="I5" s="139">
        <f>G5*H5</f>
        <v>4698000</v>
      </c>
    </row>
    <row r="6" spans="1:9" x14ac:dyDescent="0.25">
      <c r="A6" s="18"/>
      <c r="B6" s="289" t="s">
        <v>349</v>
      </c>
      <c r="C6" s="289"/>
      <c r="D6" s="289"/>
      <c r="E6" s="289"/>
      <c r="F6" s="18"/>
      <c r="G6" s="18"/>
      <c r="H6" s="136"/>
      <c r="I6" s="139"/>
    </row>
    <row r="7" spans="1:9" x14ac:dyDescent="0.25">
      <c r="A7" s="18" t="s">
        <v>36</v>
      </c>
      <c r="B7" s="289" t="s">
        <v>499</v>
      </c>
      <c r="C7" s="289"/>
      <c r="D7" s="289"/>
      <c r="E7" s="289"/>
      <c r="F7" s="18" t="s">
        <v>447</v>
      </c>
      <c r="G7" s="18">
        <v>46</v>
      </c>
      <c r="H7" s="136">
        <v>54000</v>
      </c>
      <c r="I7" s="139">
        <f>G7*H7</f>
        <v>2484000</v>
      </c>
    </row>
    <row r="8" spans="1:9" x14ac:dyDescent="0.25">
      <c r="A8" s="18" t="s">
        <v>39</v>
      </c>
      <c r="B8" s="289" t="s">
        <v>144</v>
      </c>
      <c r="C8" s="289"/>
      <c r="D8" s="289"/>
      <c r="E8" s="289"/>
      <c r="F8" s="18" t="s">
        <v>447</v>
      </c>
      <c r="G8" s="18">
        <v>580</v>
      </c>
      <c r="H8" s="136">
        <v>8100</v>
      </c>
      <c r="I8" s="139">
        <f>G8*H8</f>
        <v>4698000</v>
      </c>
    </row>
    <row r="9" spans="1:9" x14ac:dyDescent="0.25">
      <c r="A9" s="18"/>
      <c r="B9" s="289" t="s">
        <v>352</v>
      </c>
      <c r="C9" s="289"/>
      <c r="D9" s="289"/>
      <c r="E9" s="289"/>
      <c r="F9" s="18"/>
      <c r="G9" s="18"/>
      <c r="H9" s="136"/>
      <c r="I9" s="139"/>
    </row>
    <row r="10" spans="1:9" ht="15.75" thickBot="1" x14ac:dyDescent="0.3">
      <c r="A10" s="18" t="s">
        <v>42</v>
      </c>
      <c r="B10" s="289" t="s">
        <v>353</v>
      </c>
      <c r="C10" s="289"/>
      <c r="D10" s="289"/>
      <c r="E10" s="289"/>
      <c r="F10" s="18" t="s">
        <v>447</v>
      </c>
      <c r="G10" s="18">
        <v>36</v>
      </c>
      <c r="H10" s="136">
        <v>8100</v>
      </c>
      <c r="I10" s="139">
        <f>G10*H10</f>
        <v>291600</v>
      </c>
    </row>
    <row r="11" spans="1:9" x14ac:dyDescent="0.25">
      <c r="A11" s="19"/>
      <c r="B11" s="342" t="s">
        <v>456</v>
      </c>
      <c r="C11" s="296"/>
      <c r="D11" s="296"/>
      <c r="E11" s="296"/>
      <c r="F11" s="296"/>
      <c r="G11" s="296"/>
      <c r="H11" s="297"/>
      <c r="I11" s="146">
        <f>SUM(I5:I10)</f>
        <v>12171600</v>
      </c>
    </row>
    <row r="12" spans="1:9" x14ac:dyDescent="0.25">
      <c r="A12" s="16"/>
      <c r="B12" s="226"/>
      <c r="C12" s="226"/>
      <c r="D12" s="226"/>
      <c r="E12" s="226"/>
      <c r="F12" s="226"/>
      <c r="G12" s="226"/>
      <c r="H12" s="227"/>
      <c r="I12" s="139"/>
    </row>
    <row r="13" spans="1:9" ht="15.75" thickBot="1" x14ac:dyDescent="0.3">
      <c r="A13" s="17"/>
      <c r="B13" s="298"/>
      <c r="C13" s="298"/>
      <c r="D13" s="298"/>
      <c r="E13" s="298"/>
      <c r="F13" s="298"/>
      <c r="G13" s="298"/>
      <c r="H13" s="299"/>
      <c r="I13" s="140"/>
    </row>
  </sheetData>
  <mergeCells count="13">
    <mergeCell ref="B6:E6"/>
    <mergeCell ref="B13:H13"/>
    <mergeCell ref="B7:E7"/>
    <mergeCell ref="B8:E8"/>
    <mergeCell ref="B9:E9"/>
    <mergeCell ref="B10:E10"/>
    <mergeCell ref="B11:H11"/>
    <mergeCell ref="B12:H12"/>
    <mergeCell ref="B1:E1"/>
    <mergeCell ref="B2:E2"/>
    <mergeCell ref="B3:E3"/>
    <mergeCell ref="B4:E4"/>
    <mergeCell ref="B5:E5"/>
  </mergeCells>
  <pageMargins left="0.7" right="0.7" top="0.75" bottom="0.75" header="0.3" footer="0.3"/>
  <pageSetup paperSize="9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H12" sqref="H12"/>
    </sheetView>
  </sheetViews>
  <sheetFormatPr defaultRowHeight="15" x14ac:dyDescent="0.25"/>
  <cols>
    <col min="1" max="1" width="5.140625" bestFit="1" customWidth="1"/>
    <col min="5" max="5" width="15.85546875" customWidth="1"/>
    <col min="8" max="8" width="14.42578125" style="137" customWidth="1"/>
    <col min="9" max="9" width="15.42578125" style="143" customWidth="1"/>
  </cols>
  <sheetData>
    <row r="1" spans="1:9" ht="15.75" thickBot="1" x14ac:dyDescent="0.3">
      <c r="A1" s="36" t="s">
        <v>0</v>
      </c>
      <c r="B1" s="280" t="s">
        <v>1</v>
      </c>
      <c r="C1" s="280"/>
      <c r="D1" s="280"/>
      <c r="E1" s="280"/>
      <c r="F1" s="36" t="s">
        <v>24</v>
      </c>
      <c r="G1" s="36" t="s">
        <v>2</v>
      </c>
      <c r="H1" s="134" t="s">
        <v>3</v>
      </c>
      <c r="I1" s="138" t="s">
        <v>465</v>
      </c>
    </row>
    <row r="2" spans="1:9" x14ac:dyDescent="0.25">
      <c r="A2" s="18"/>
      <c r="B2" s="232" t="s">
        <v>145</v>
      </c>
      <c r="C2" s="232"/>
      <c r="D2" s="232"/>
      <c r="E2" s="232"/>
      <c r="F2" s="18"/>
      <c r="G2" s="18"/>
      <c r="H2" s="136"/>
      <c r="I2" s="177"/>
    </row>
    <row r="3" spans="1:9" x14ac:dyDescent="0.25">
      <c r="A3" s="18"/>
      <c r="B3" s="232" t="s">
        <v>146</v>
      </c>
      <c r="C3" s="232"/>
      <c r="D3" s="232"/>
      <c r="E3" s="232"/>
      <c r="F3" s="18"/>
      <c r="G3" s="18"/>
      <c r="H3" s="136"/>
      <c r="I3" s="139"/>
    </row>
    <row r="4" spans="1:9" x14ac:dyDescent="0.25">
      <c r="A4" s="18"/>
      <c r="B4" s="288" t="s">
        <v>356</v>
      </c>
      <c r="C4" s="288"/>
      <c r="D4" s="288"/>
      <c r="E4" s="288"/>
      <c r="F4" s="18"/>
      <c r="G4" s="18"/>
      <c r="H4" s="136"/>
      <c r="I4" s="139"/>
    </row>
    <row r="5" spans="1:9" x14ac:dyDescent="0.25">
      <c r="A5" s="18" t="s">
        <v>30</v>
      </c>
      <c r="B5" s="289" t="s">
        <v>494</v>
      </c>
      <c r="C5" s="289"/>
      <c r="D5" s="289"/>
      <c r="E5" s="289"/>
      <c r="F5" s="18" t="s">
        <v>447</v>
      </c>
      <c r="G5" s="18">
        <v>212</v>
      </c>
      <c r="H5" s="136">
        <v>9000</v>
      </c>
      <c r="I5" s="139">
        <f>G5*H5</f>
        <v>1908000</v>
      </c>
    </row>
    <row r="6" spans="1:9" x14ac:dyDescent="0.25">
      <c r="A6" s="18"/>
      <c r="B6" s="289" t="s">
        <v>495</v>
      </c>
      <c r="C6" s="289"/>
      <c r="D6" s="289"/>
      <c r="E6" s="289"/>
      <c r="F6" s="18"/>
      <c r="G6" s="18"/>
      <c r="H6" s="136"/>
      <c r="I6" s="139"/>
    </row>
    <row r="7" spans="1:9" ht="17.25" x14ac:dyDescent="0.25">
      <c r="A7" s="18" t="s">
        <v>36</v>
      </c>
      <c r="B7" s="289" t="s">
        <v>358</v>
      </c>
      <c r="C7" s="289"/>
      <c r="D7" s="289"/>
      <c r="E7" s="289"/>
      <c r="F7" s="18" t="s">
        <v>279</v>
      </c>
      <c r="G7" s="18">
        <v>212</v>
      </c>
      <c r="H7" s="136">
        <v>30000</v>
      </c>
      <c r="I7" s="139">
        <f>G7*H7</f>
        <v>6360000</v>
      </c>
    </row>
    <row r="8" spans="1:9" ht="17.25" x14ac:dyDescent="0.25">
      <c r="A8" s="18" t="s">
        <v>39</v>
      </c>
      <c r="B8" s="289" t="s">
        <v>496</v>
      </c>
      <c r="C8" s="289"/>
      <c r="D8" s="289"/>
      <c r="E8" s="289"/>
      <c r="F8" s="18" t="s">
        <v>281</v>
      </c>
      <c r="G8" s="18">
        <v>37</v>
      </c>
      <c r="H8" s="136">
        <v>25000</v>
      </c>
      <c r="I8" s="139">
        <f>G8*H8</f>
        <v>925000</v>
      </c>
    </row>
    <row r="9" spans="1:9" x14ac:dyDescent="0.25">
      <c r="A9" s="18" t="s">
        <v>42</v>
      </c>
      <c r="B9" s="289" t="s">
        <v>148</v>
      </c>
      <c r="C9" s="289"/>
      <c r="D9" s="289"/>
      <c r="E9" s="289"/>
      <c r="F9" s="18" t="s">
        <v>214</v>
      </c>
      <c r="G9" s="18">
        <v>460</v>
      </c>
      <c r="H9" s="136">
        <v>2500</v>
      </c>
      <c r="I9" s="139">
        <f>G9*H9</f>
        <v>1150000</v>
      </c>
    </row>
    <row r="10" spans="1:9" x14ac:dyDescent="0.25">
      <c r="A10" s="18"/>
      <c r="B10" s="289" t="s">
        <v>360</v>
      </c>
      <c r="C10" s="289"/>
      <c r="D10" s="289"/>
      <c r="E10" s="289"/>
      <c r="F10" s="18"/>
      <c r="G10" s="18"/>
      <c r="H10" s="136"/>
      <c r="I10" s="139"/>
    </row>
    <row r="11" spans="1:9" x14ac:dyDescent="0.25">
      <c r="A11" s="18" t="s">
        <v>46</v>
      </c>
      <c r="B11" s="289" t="s">
        <v>149</v>
      </c>
      <c r="C11" s="289"/>
      <c r="D11" s="289"/>
      <c r="E11" s="289"/>
      <c r="F11" s="18" t="s">
        <v>214</v>
      </c>
      <c r="G11" s="18">
        <v>460</v>
      </c>
      <c r="H11" s="136">
        <v>3000</v>
      </c>
      <c r="I11" s="139">
        <f>G11*H11</f>
        <v>1380000</v>
      </c>
    </row>
    <row r="12" spans="1:9" ht="15.75" thickBot="1" x14ac:dyDescent="0.3">
      <c r="A12" s="11"/>
      <c r="B12" s="301" t="s">
        <v>361</v>
      </c>
      <c r="C12" s="301"/>
      <c r="D12" s="301"/>
      <c r="E12" s="301"/>
      <c r="F12" s="11"/>
      <c r="G12" s="11"/>
      <c r="H12" s="157"/>
      <c r="I12" s="140"/>
    </row>
    <row r="13" spans="1:9" x14ac:dyDescent="0.25">
      <c r="A13" s="19"/>
      <c r="B13" s="333" t="s">
        <v>457</v>
      </c>
      <c r="C13" s="253"/>
      <c r="D13" s="253"/>
      <c r="E13" s="253"/>
      <c r="F13" s="253"/>
      <c r="G13" s="253"/>
      <c r="H13" s="275"/>
      <c r="I13" s="146">
        <f>SUM(I5:I12)</f>
        <v>11723000</v>
      </c>
    </row>
    <row r="14" spans="1:9" x14ac:dyDescent="0.25">
      <c r="A14" s="16"/>
      <c r="B14" s="226"/>
      <c r="C14" s="226"/>
      <c r="D14" s="226"/>
      <c r="E14" s="226"/>
      <c r="F14" s="226"/>
      <c r="G14" s="226"/>
      <c r="H14" s="227"/>
      <c r="I14" s="139"/>
    </row>
    <row r="15" spans="1:9" ht="15.75" thickBot="1" x14ac:dyDescent="0.3">
      <c r="A15" s="17"/>
      <c r="B15" s="263"/>
      <c r="C15" s="263"/>
      <c r="D15" s="263"/>
      <c r="E15" s="263"/>
      <c r="F15" s="263"/>
      <c r="G15" s="263"/>
      <c r="H15" s="273"/>
      <c r="I15" s="140"/>
    </row>
  </sheetData>
  <mergeCells count="15">
    <mergeCell ref="B6:E6"/>
    <mergeCell ref="B13:H13"/>
    <mergeCell ref="B14:H14"/>
    <mergeCell ref="B15:H15"/>
    <mergeCell ref="B7:E7"/>
    <mergeCell ref="B8:E8"/>
    <mergeCell ref="B9:E9"/>
    <mergeCell ref="B10:E10"/>
    <mergeCell ref="B11:E11"/>
    <mergeCell ref="B12:E12"/>
    <mergeCell ref="B1:E1"/>
    <mergeCell ref="B2:E2"/>
    <mergeCell ref="B3:E3"/>
    <mergeCell ref="B4:E4"/>
    <mergeCell ref="B5:E5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7" workbookViewId="0">
      <selection activeCell="H10" sqref="H10"/>
    </sheetView>
  </sheetViews>
  <sheetFormatPr defaultRowHeight="15" x14ac:dyDescent="0.25"/>
  <cols>
    <col min="1" max="1" width="5.140625" bestFit="1" customWidth="1"/>
    <col min="5" max="5" width="16.5703125" customWidth="1"/>
    <col min="6" max="6" width="4.85546875" bestFit="1" customWidth="1"/>
    <col min="8" max="8" width="12.85546875" style="137" customWidth="1"/>
    <col min="9" max="9" width="15.5703125" style="143" customWidth="1"/>
  </cols>
  <sheetData>
    <row r="1" spans="1:9" ht="15.75" thickBot="1" x14ac:dyDescent="0.3">
      <c r="A1" s="37" t="s">
        <v>0</v>
      </c>
      <c r="B1" s="237" t="s">
        <v>1</v>
      </c>
      <c r="C1" s="237"/>
      <c r="D1" s="237"/>
      <c r="E1" s="238"/>
      <c r="F1" s="38" t="s">
        <v>24</v>
      </c>
      <c r="G1" s="39" t="s">
        <v>2</v>
      </c>
      <c r="H1" s="175" t="s">
        <v>3</v>
      </c>
      <c r="I1" s="138" t="s">
        <v>465</v>
      </c>
    </row>
    <row r="2" spans="1:9" x14ac:dyDescent="0.25">
      <c r="A2" s="19"/>
      <c r="B2" s="239"/>
      <c r="C2" s="240"/>
      <c r="D2" s="240"/>
      <c r="E2" s="241"/>
      <c r="F2" s="8"/>
      <c r="G2" s="14"/>
      <c r="H2" s="176"/>
      <c r="I2" s="177"/>
    </row>
    <row r="3" spans="1:9" x14ac:dyDescent="0.25">
      <c r="A3" s="18"/>
      <c r="B3" s="224" t="s">
        <v>150</v>
      </c>
      <c r="C3" s="224"/>
      <c r="D3" s="224"/>
      <c r="E3" s="224"/>
      <c r="F3" s="18"/>
      <c r="G3" s="18"/>
      <c r="H3" s="136"/>
      <c r="I3" s="139"/>
    </row>
    <row r="4" spans="1:9" x14ac:dyDescent="0.25">
      <c r="A4" s="18"/>
      <c r="B4" s="224" t="s">
        <v>151</v>
      </c>
      <c r="C4" s="224"/>
      <c r="D4" s="224"/>
      <c r="E4" s="224"/>
      <c r="F4" s="18"/>
      <c r="G4" s="18"/>
      <c r="H4" s="136"/>
      <c r="I4" s="139"/>
    </row>
    <row r="5" spans="1:9" x14ac:dyDescent="0.25">
      <c r="A5" s="18"/>
      <c r="B5" s="225"/>
      <c r="C5" s="225"/>
      <c r="D5" s="225"/>
      <c r="E5" s="225"/>
      <c r="F5" s="18"/>
      <c r="G5" s="18"/>
      <c r="H5" s="136"/>
      <c r="I5" s="139"/>
    </row>
    <row r="6" spans="1:9" x14ac:dyDescent="0.25">
      <c r="A6" s="18"/>
      <c r="B6" s="274" t="s">
        <v>497</v>
      </c>
      <c r="C6" s="231"/>
      <c r="D6" s="231"/>
      <c r="E6" s="231"/>
      <c r="F6" s="18"/>
      <c r="G6" s="18"/>
      <c r="H6" s="136"/>
      <c r="I6" s="139"/>
    </row>
    <row r="7" spans="1:9" x14ac:dyDescent="0.25">
      <c r="A7" s="18"/>
      <c r="B7" s="231" t="s">
        <v>153</v>
      </c>
      <c r="C7" s="231"/>
      <c r="D7" s="231"/>
      <c r="E7" s="231"/>
      <c r="F7" s="18"/>
      <c r="G7" s="18"/>
      <c r="H7" s="136"/>
      <c r="I7" s="139"/>
    </row>
    <row r="8" spans="1:9" x14ac:dyDescent="0.25">
      <c r="A8" s="18"/>
      <c r="B8" s="231" t="s">
        <v>362</v>
      </c>
      <c r="C8" s="231"/>
      <c r="D8" s="231"/>
      <c r="E8" s="231"/>
      <c r="F8" s="18"/>
      <c r="G8" s="18"/>
      <c r="H8" s="136"/>
      <c r="I8" s="139"/>
    </row>
    <row r="9" spans="1:9" x14ac:dyDescent="0.25">
      <c r="A9" s="18"/>
      <c r="B9" s="231"/>
      <c r="C9" s="231"/>
      <c r="D9" s="231"/>
      <c r="E9" s="231"/>
      <c r="F9" s="18"/>
      <c r="G9" s="18"/>
      <c r="H9" s="136"/>
      <c r="I9" s="139"/>
    </row>
    <row r="10" spans="1:9" x14ac:dyDescent="0.25">
      <c r="A10" s="18" t="s">
        <v>30</v>
      </c>
      <c r="B10" s="221" t="s">
        <v>510</v>
      </c>
      <c r="C10" s="221"/>
      <c r="D10" s="221"/>
      <c r="E10" s="221"/>
      <c r="F10" s="18" t="s">
        <v>214</v>
      </c>
      <c r="G10" s="18">
        <v>460</v>
      </c>
      <c r="H10" s="136">
        <v>9000</v>
      </c>
      <c r="I10" s="139">
        <f>G10*H10</f>
        <v>4140000</v>
      </c>
    </row>
    <row r="11" spans="1:9" x14ac:dyDescent="0.25">
      <c r="A11" s="18"/>
      <c r="B11" s="221"/>
      <c r="C11" s="221"/>
      <c r="D11" s="221"/>
      <c r="E11" s="221"/>
      <c r="F11" s="18"/>
      <c r="G11" s="18"/>
      <c r="H11" s="136"/>
      <c r="I11" s="139"/>
    </row>
    <row r="12" spans="1:9" x14ac:dyDescent="0.25">
      <c r="A12" s="18" t="s">
        <v>36</v>
      </c>
      <c r="B12" s="221" t="s">
        <v>363</v>
      </c>
      <c r="C12" s="221"/>
      <c r="D12" s="221"/>
      <c r="E12" s="221"/>
      <c r="F12" s="18" t="s">
        <v>214</v>
      </c>
      <c r="G12" s="18">
        <v>380</v>
      </c>
      <c r="H12" s="136">
        <v>7000</v>
      </c>
      <c r="I12" s="139">
        <f>G12*H12</f>
        <v>2660000</v>
      </c>
    </row>
    <row r="13" spans="1:9" x14ac:dyDescent="0.25">
      <c r="A13" s="18"/>
      <c r="B13" s="221"/>
      <c r="C13" s="221"/>
      <c r="D13" s="221"/>
      <c r="E13" s="221"/>
      <c r="F13" s="18"/>
      <c r="G13" s="18"/>
      <c r="H13" s="136"/>
      <c r="I13" s="139"/>
    </row>
    <row r="14" spans="1:9" x14ac:dyDescent="0.25">
      <c r="A14" s="18" t="s">
        <v>39</v>
      </c>
      <c r="B14" s="221" t="s">
        <v>155</v>
      </c>
      <c r="C14" s="221"/>
      <c r="D14" s="221"/>
      <c r="E14" s="221"/>
      <c r="F14" s="18" t="s">
        <v>214</v>
      </c>
      <c r="G14" s="18">
        <v>270</v>
      </c>
      <c r="H14" s="136">
        <v>6000</v>
      </c>
      <c r="I14" s="139">
        <f>G14*H14</f>
        <v>1620000</v>
      </c>
    </row>
    <row r="15" spans="1:9" x14ac:dyDescent="0.25">
      <c r="A15" s="18"/>
      <c r="B15" s="221" t="s">
        <v>364</v>
      </c>
      <c r="C15" s="221"/>
      <c r="D15" s="221"/>
      <c r="E15" s="221"/>
      <c r="F15" s="18"/>
      <c r="G15" s="18"/>
      <c r="H15" s="136"/>
      <c r="I15" s="139"/>
    </row>
    <row r="16" spans="1:9" x14ac:dyDescent="0.25">
      <c r="A16" s="18"/>
      <c r="B16" s="221"/>
      <c r="C16" s="221"/>
      <c r="D16" s="221"/>
      <c r="E16" s="221"/>
      <c r="F16" s="18"/>
      <c r="G16" s="18"/>
      <c r="H16" s="136"/>
      <c r="I16" s="139"/>
    </row>
    <row r="17" spans="1:9" x14ac:dyDescent="0.25">
      <c r="A17" s="18" t="s">
        <v>42</v>
      </c>
      <c r="B17" s="221" t="s">
        <v>511</v>
      </c>
      <c r="C17" s="221"/>
      <c r="D17" s="221"/>
      <c r="E17" s="221"/>
      <c r="F17" s="18" t="s">
        <v>447</v>
      </c>
      <c r="G17" s="18">
        <v>190</v>
      </c>
      <c r="H17" s="136">
        <v>8700</v>
      </c>
      <c r="I17" s="139">
        <f>G17*H17</f>
        <v>1653000</v>
      </c>
    </row>
    <row r="18" spans="1:9" x14ac:dyDescent="0.25">
      <c r="A18" s="18"/>
      <c r="B18" s="221" t="s">
        <v>157</v>
      </c>
      <c r="C18" s="221"/>
      <c r="D18" s="221"/>
      <c r="E18" s="221"/>
      <c r="F18" s="18"/>
      <c r="G18" s="18"/>
      <c r="H18" s="136"/>
      <c r="I18" s="139"/>
    </row>
    <row r="19" spans="1:9" x14ac:dyDescent="0.25">
      <c r="A19" s="18"/>
      <c r="B19" s="221" t="s">
        <v>365</v>
      </c>
      <c r="C19" s="221"/>
      <c r="D19" s="221"/>
      <c r="E19" s="221"/>
      <c r="F19" s="18"/>
      <c r="G19" s="18"/>
      <c r="H19" s="136"/>
      <c r="I19" s="139"/>
    </row>
    <row r="20" spans="1:9" x14ac:dyDescent="0.25">
      <c r="A20" s="18"/>
      <c r="B20" s="221"/>
      <c r="C20" s="221"/>
      <c r="D20" s="221"/>
      <c r="E20" s="221"/>
      <c r="F20" s="18"/>
      <c r="G20" s="18"/>
      <c r="H20" s="136"/>
      <c r="I20" s="139"/>
    </row>
    <row r="21" spans="1:9" x14ac:dyDescent="0.25">
      <c r="A21" s="18" t="s">
        <v>46</v>
      </c>
      <c r="B21" s="221" t="s">
        <v>158</v>
      </c>
      <c r="C21" s="221"/>
      <c r="D21" s="221"/>
      <c r="E21" s="221"/>
      <c r="F21" s="18" t="s">
        <v>216</v>
      </c>
      <c r="G21" s="18">
        <v>1</v>
      </c>
      <c r="H21" s="136">
        <v>65000</v>
      </c>
      <c r="I21" s="139">
        <f>G21*H21</f>
        <v>65000</v>
      </c>
    </row>
    <row r="22" spans="1:9" x14ac:dyDescent="0.25">
      <c r="A22" s="18"/>
      <c r="B22" s="221" t="s">
        <v>159</v>
      </c>
      <c r="C22" s="221"/>
      <c r="D22" s="221"/>
      <c r="E22" s="221"/>
      <c r="F22" s="18"/>
      <c r="G22" s="18"/>
      <c r="H22" s="136"/>
      <c r="I22" s="139"/>
    </row>
    <row r="23" spans="1:9" x14ac:dyDescent="0.25">
      <c r="A23" s="18"/>
      <c r="B23" s="221" t="s">
        <v>366</v>
      </c>
      <c r="C23" s="221"/>
      <c r="D23" s="221"/>
      <c r="E23" s="221"/>
      <c r="F23" s="18"/>
      <c r="G23" s="18"/>
      <c r="H23" s="136"/>
      <c r="I23" s="139"/>
    </row>
    <row r="24" spans="1:9" x14ac:dyDescent="0.25">
      <c r="A24" s="18"/>
      <c r="B24" s="221"/>
      <c r="C24" s="221"/>
      <c r="D24" s="221"/>
      <c r="E24" s="221"/>
      <c r="F24" s="18"/>
      <c r="G24" s="18"/>
      <c r="H24" s="136"/>
      <c r="I24" s="139"/>
    </row>
    <row r="25" spans="1:9" x14ac:dyDescent="0.25">
      <c r="A25" s="18" t="s">
        <v>49</v>
      </c>
      <c r="B25" s="221" t="s">
        <v>160</v>
      </c>
      <c r="C25" s="221"/>
      <c r="D25" s="221"/>
      <c r="E25" s="221"/>
      <c r="F25" s="18" t="s">
        <v>447</v>
      </c>
      <c r="G25" s="18">
        <v>215</v>
      </c>
      <c r="H25" s="136">
        <v>8500</v>
      </c>
      <c r="I25" s="139">
        <f>G25*H25</f>
        <v>1827500</v>
      </c>
    </row>
    <row r="26" spans="1:9" x14ac:dyDescent="0.25">
      <c r="A26" s="18"/>
      <c r="B26" s="221" t="s">
        <v>367</v>
      </c>
      <c r="C26" s="221"/>
      <c r="D26" s="221"/>
      <c r="E26" s="221"/>
      <c r="F26" s="18"/>
      <c r="G26" s="18"/>
      <c r="H26" s="136"/>
      <c r="I26" s="139"/>
    </row>
    <row r="27" spans="1:9" x14ac:dyDescent="0.25">
      <c r="A27" s="18"/>
      <c r="B27" s="221"/>
      <c r="C27" s="221"/>
      <c r="D27" s="221"/>
      <c r="E27" s="221"/>
      <c r="F27" s="18"/>
      <c r="G27" s="18"/>
      <c r="H27" s="136"/>
      <c r="I27" s="139"/>
    </row>
    <row r="28" spans="1:9" x14ac:dyDescent="0.25">
      <c r="A28" s="18" t="s">
        <v>53</v>
      </c>
      <c r="B28" s="221" t="s">
        <v>368</v>
      </c>
      <c r="C28" s="221"/>
      <c r="D28" s="221"/>
      <c r="E28" s="221"/>
      <c r="F28" s="18" t="s">
        <v>214</v>
      </c>
      <c r="G28" s="18">
        <v>270</v>
      </c>
      <c r="H28" s="136">
        <v>5000</v>
      </c>
      <c r="I28" s="139">
        <f>G28*H28</f>
        <v>1350000</v>
      </c>
    </row>
    <row r="29" spans="1:9" x14ac:dyDescent="0.25">
      <c r="A29" s="18"/>
      <c r="B29" s="221"/>
      <c r="C29" s="221"/>
      <c r="D29" s="221"/>
      <c r="E29" s="221"/>
      <c r="F29" s="18"/>
      <c r="G29" s="18"/>
      <c r="H29" s="136"/>
      <c r="I29" s="139"/>
    </row>
    <row r="30" spans="1:9" x14ac:dyDescent="0.25">
      <c r="A30" s="18" t="s">
        <v>57</v>
      </c>
      <c r="B30" s="221" t="s">
        <v>498</v>
      </c>
      <c r="C30" s="221"/>
      <c r="D30" s="221"/>
      <c r="E30" s="221"/>
      <c r="F30" s="18" t="s">
        <v>447</v>
      </c>
      <c r="G30" s="18">
        <v>190</v>
      </c>
      <c r="H30" s="136">
        <v>11000</v>
      </c>
      <c r="I30" s="139">
        <f>G30*H30</f>
        <v>2090000</v>
      </c>
    </row>
    <row r="31" spans="1:9" ht="15.75" thickBot="1" x14ac:dyDescent="0.3">
      <c r="A31" s="18"/>
      <c r="B31" s="221"/>
      <c r="C31" s="221"/>
      <c r="D31" s="221"/>
      <c r="E31" s="221"/>
      <c r="F31" s="18"/>
      <c r="G31" s="18"/>
      <c r="H31" s="136"/>
      <c r="I31" s="139"/>
    </row>
    <row r="32" spans="1:9" x14ac:dyDescent="0.25">
      <c r="A32" s="19"/>
      <c r="B32" s="222"/>
      <c r="C32" s="222"/>
      <c r="D32" s="222"/>
      <c r="E32" s="222"/>
      <c r="F32" s="222"/>
      <c r="G32" s="222"/>
      <c r="H32" s="222"/>
      <c r="I32" s="177"/>
    </row>
    <row r="33" spans="1:9" x14ac:dyDescent="0.25">
      <c r="A33" s="16"/>
      <c r="B33" s="277" t="s">
        <v>458</v>
      </c>
      <c r="C33" s="226"/>
      <c r="D33" s="226"/>
      <c r="E33" s="226"/>
      <c r="F33" s="226"/>
      <c r="G33" s="226"/>
      <c r="H33" s="226"/>
      <c r="I33" s="147">
        <f>SUM(I4:I30)</f>
        <v>15405500</v>
      </c>
    </row>
    <row r="34" spans="1:9" ht="15.75" thickBot="1" x14ac:dyDescent="0.3">
      <c r="A34" s="17"/>
      <c r="B34" s="263"/>
      <c r="C34" s="263"/>
      <c r="D34" s="263"/>
      <c r="E34" s="263"/>
      <c r="F34" s="263"/>
      <c r="G34" s="263"/>
      <c r="H34" s="263"/>
      <c r="I34" s="140"/>
    </row>
    <row r="35" spans="1:9" x14ac:dyDescent="0.25">
      <c r="A35" s="16"/>
      <c r="B35" s="226"/>
      <c r="C35" s="226"/>
      <c r="D35" s="226"/>
      <c r="E35" s="226"/>
      <c r="F35" s="226"/>
      <c r="G35" s="226"/>
      <c r="H35" s="226"/>
      <c r="I35" s="178"/>
    </row>
    <row r="36" spans="1:9" x14ac:dyDescent="0.25">
      <c r="A36" s="7"/>
      <c r="B36" s="226"/>
      <c r="C36" s="226"/>
      <c r="D36" s="226"/>
      <c r="E36" s="226"/>
      <c r="F36" s="226"/>
      <c r="G36" s="226"/>
      <c r="H36" s="226"/>
      <c r="I36" s="178"/>
    </row>
    <row r="37" spans="1:9" x14ac:dyDescent="0.25">
      <c r="A37" s="7"/>
      <c r="B37" s="226"/>
      <c r="C37" s="226"/>
      <c r="D37" s="226"/>
      <c r="E37" s="226"/>
      <c r="F37" s="226"/>
      <c r="G37" s="226"/>
      <c r="H37" s="226"/>
      <c r="I37" s="178"/>
    </row>
  </sheetData>
  <mergeCells count="37">
    <mergeCell ref="B33:H33"/>
    <mergeCell ref="B34:H34"/>
    <mergeCell ref="B35:H35"/>
    <mergeCell ref="B36:H36"/>
    <mergeCell ref="B37:H37"/>
    <mergeCell ref="B30:E30"/>
    <mergeCell ref="B31:E31"/>
    <mergeCell ref="B32:H32"/>
    <mergeCell ref="B26:E26"/>
    <mergeCell ref="B27:E27"/>
    <mergeCell ref="B28:E28"/>
    <mergeCell ref="B29:E29"/>
    <mergeCell ref="B21:E21"/>
    <mergeCell ref="B22:E22"/>
    <mergeCell ref="B23:E23"/>
    <mergeCell ref="B24:E24"/>
    <mergeCell ref="B25:E25"/>
    <mergeCell ref="B16:E16"/>
    <mergeCell ref="B17:E17"/>
    <mergeCell ref="B18:E18"/>
    <mergeCell ref="B19:E19"/>
    <mergeCell ref="B20:E20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I6" sqref="I6"/>
    </sheetView>
  </sheetViews>
  <sheetFormatPr defaultRowHeight="15" x14ac:dyDescent="0.25"/>
  <cols>
    <col min="1" max="1" width="5.42578125" customWidth="1"/>
    <col min="5" max="5" width="19.28515625" customWidth="1"/>
    <col min="6" max="6" width="9.85546875" customWidth="1"/>
    <col min="7" max="7" width="8.42578125" customWidth="1"/>
    <col min="8" max="8" width="13" customWidth="1"/>
    <col min="9" max="9" width="21.140625" style="143" customWidth="1"/>
  </cols>
  <sheetData>
    <row r="1" spans="1:9" ht="15.75" thickBot="1" x14ac:dyDescent="0.3">
      <c r="A1" s="36" t="s">
        <v>0</v>
      </c>
      <c r="B1" s="280" t="s">
        <v>1</v>
      </c>
      <c r="C1" s="280"/>
      <c r="D1" s="280"/>
      <c r="E1" s="280"/>
      <c r="F1" s="36" t="s">
        <v>24</v>
      </c>
      <c r="G1" s="36" t="s">
        <v>2</v>
      </c>
      <c r="H1" s="36" t="s">
        <v>3</v>
      </c>
      <c r="I1" s="138" t="s">
        <v>465</v>
      </c>
    </row>
    <row r="2" spans="1:9" x14ac:dyDescent="0.25">
      <c r="A2" s="8"/>
      <c r="B2" s="287" t="s">
        <v>501</v>
      </c>
      <c r="C2" s="230"/>
      <c r="D2" s="230"/>
      <c r="E2" s="230"/>
      <c r="F2" s="8"/>
      <c r="G2" s="8"/>
      <c r="H2" s="8"/>
      <c r="I2" s="177"/>
    </row>
    <row r="3" spans="1:9" x14ac:dyDescent="0.25">
      <c r="A3" s="18"/>
      <c r="B3" s="224"/>
      <c r="C3" s="224"/>
      <c r="D3" s="224"/>
      <c r="E3" s="224"/>
      <c r="F3" s="18"/>
      <c r="G3" s="18"/>
      <c r="H3" s="18"/>
      <c r="I3" s="139"/>
    </row>
    <row r="4" spans="1:9" x14ac:dyDescent="0.25">
      <c r="A4" s="18" t="s">
        <v>30</v>
      </c>
      <c r="B4" s="343" t="s">
        <v>505</v>
      </c>
      <c r="C4" s="344"/>
      <c r="D4" s="344"/>
      <c r="E4" s="345"/>
      <c r="F4" s="18" t="s">
        <v>502</v>
      </c>
      <c r="G4" s="18"/>
      <c r="H4" s="156">
        <v>3200000</v>
      </c>
      <c r="I4" s="139">
        <f>H4</f>
        <v>3200000</v>
      </c>
    </row>
    <row r="5" spans="1:9" x14ac:dyDescent="0.25">
      <c r="A5" s="18"/>
      <c r="B5" s="293"/>
      <c r="C5" s="300"/>
      <c r="D5" s="300"/>
      <c r="E5" s="295"/>
      <c r="F5" s="18"/>
      <c r="G5" s="18"/>
      <c r="H5" s="18"/>
      <c r="I5" s="139"/>
    </row>
    <row r="6" spans="1:9" x14ac:dyDescent="0.25">
      <c r="A6" s="18"/>
      <c r="B6" s="288"/>
      <c r="C6" s="288"/>
      <c r="D6" s="288"/>
      <c r="E6" s="288"/>
      <c r="F6" s="18"/>
      <c r="G6" s="18"/>
      <c r="H6" s="18"/>
      <c r="I6" s="139"/>
    </row>
    <row r="7" spans="1:9" x14ac:dyDescent="0.25">
      <c r="A7" s="18"/>
      <c r="B7" s="288"/>
      <c r="C7" s="288"/>
      <c r="D7" s="288"/>
      <c r="E7" s="288"/>
      <c r="F7" s="18"/>
      <c r="G7" s="18"/>
      <c r="H7" s="18"/>
      <c r="I7" s="139"/>
    </row>
    <row r="8" spans="1:9" x14ac:dyDescent="0.25">
      <c r="A8" s="18"/>
      <c r="B8" s="293"/>
      <c r="C8" s="294"/>
      <c r="D8" s="294"/>
      <c r="E8" s="295"/>
      <c r="F8" s="18"/>
      <c r="G8" s="18"/>
      <c r="H8" s="18"/>
      <c r="I8" s="139"/>
    </row>
    <row r="9" spans="1:9" x14ac:dyDescent="0.25">
      <c r="A9" s="18"/>
      <c r="B9" s="288"/>
      <c r="C9" s="288"/>
      <c r="D9" s="288"/>
      <c r="E9" s="288"/>
      <c r="F9" s="18"/>
      <c r="G9" s="18"/>
      <c r="H9" s="18"/>
      <c r="I9" s="139"/>
    </row>
    <row r="10" spans="1:9" x14ac:dyDescent="0.25">
      <c r="A10" s="18"/>
      <c r="B10" s="288"/>
      <c r="C10" s="288"/>
      <c r="D10" s="288"/>
      <c r="E10" s="288"/>
      <c r="F10" s="18"/>
      <c r="G10" s="18"/>
      <c r="H10" s="18"/>
      <c r="I10" s="136"/>
    </row>
    <row r="11" spans="1:9" ht="15.75" thickBot="1" x14ac:dyDescent="0.3">
      <c r="A11" s="18"/>
      <c r="B11" s="289"/>
      <c r="C11" s="289"/>
      <c r="D11" s="289"/>
      <c r="E11" s="289"/>
      <c r="F11" s="18"/>
      <c r="G11" s="18"/>
      <c r="H11" s="18"/>
      <c r="I11" s="139"/>
    </row>
    <row r="12" spans="1:9" x14ac:dyDescent="0.25">
      <c r="A12" s="40"/>
      <c r="B12" s="307"/>
      <c r="C12" s="307"/>
      <c r="D12" s="307"/>
      <c r="E12" s="307"/>
      <c r="F12" s="307"/>
      <c r="G12" s="307"/>
      <c r="H12" s="308"/>
      <c r="I12" s="141"/>
    </row>
    <row r="13" spans="1:9" x14ac:dyDescent="0.25">
      <c r="A13" s="16"/>
      <c r="B13" s="277" t="s">
        <v>504</v>
      </c>
      <c r="C13" s="226"/>
      <c r="D13" s="226"/>
      <c r="E13" s="226"/>
      <c r="F13" s="226"/>
      <c r="G13" s="226"/>
      <c r="H13" s="227"/>
      <c r="I13" s="184">
        <f>SUM(I4)</f>
        <v>3200000</v>
      </c>
    </row>
    <row r="14" spans="1:9" ht="15.75" thickBot="1" x14ac:dyDescent="0.3">
      <c r="A14" s="17"/>
      <c r="B14" s="263"/>
      <c r="C14" s="263"/>
      <c r="D14" s="263"/>
      <c r="E14" s="263"/>
      <c r="F14" s="263"/>
      <c r="G14" s="263"/>
      <c r="H14" s="273"/>
      <c r="I14" s="142"/>
    </row>
  </sheetData>
  <mergeCells count="14">
    <mergeCell ref="B11:E11"/>
    <mergeCell ref="B12:H12"/>
    <mergeCell ref="B13:H13"/>
    <mergeCell ref="B14:H14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topLeftCell="A4" workbookViewId="0">
      <selection activeCell="I24" sqref="I24"/>
    </sheetView>
  </sheetViews>
  <sheetFormatPr defaultRowHeight="15" x14ac:dyDescent="0.25"/>
  <cols>
    <col min="1" max="1" width="5.28515625" customWidth="1"/>
    <col min="5" max="5" width="19.28515625" customWidth="1"/>
    <col min="6" max="6" width="8.28515625" customWidth="1"/>
    <col min="7" max="7" width="7.5703125" customWidth="1"/>
    <col min="8" max="8" width="14.85546875" customWidth="1"/>
    <col min="9" max="9" width="18.85546875" style="143" customWidth="1"/>
  </cols>
  <sheetData>
    <row r="1" spans="1:9" ht="15.75" thickBot="1" x14ac:dyDescent="0.3">
      <c r="A1" s="38" t="s">
        <v>0</v>
      </c>
      <c r="B1" s="234" t="s">
        <v>1</v>
      </c>
      <c r="C1" s="235"/>
      <c r="D1" s="235"/>
      <c r="E1" s="236"/>
      <c r="F1" s="38" t="s">
        <v>24</v>
      </c>
      <c r="G1" s="38" t="s">
        <v>2</v>
      </c>
      <c r="H1" s="38" t="s">
        <v>3</v>
      </c>
      <c r="I1" s="138" t="s">
        <v>503</v>
      </c>
    </row>
    <row r="2" spans="1:9" x14ac:dyDescent="0.25">
      <c r="A2" s="18"/>
      <c r="B2" s="225"/>
      <c r="C2" s="225"/>
      <c r="D2" s="225"/>
      <c r="E2" s="225"/>
      <c r="F2" s="18"/>
      <c r="G2" s="18"/>
      <c r="H2" s="18"/>
      <c r="I2" s="139"/>
    </row>
    <row r="3" spans="1:9" x14ac:dyDescent="0.25">
      <c r="A3" s="18"/>
      <c r="B3" s="346" t="s">
        <v>506</v>
      </c>
      <c r="C3" s="347"/>
      <c r="D3" s="347"/>
      <c r="E3" s="348"/>
      <c r="F3" s="18" t="s">
        <v>502</v>
      </c>
      <c r="G3" s="18"/>
      <c r="H3" s="156">
        <v>6000000</v>
      </c>
      <c r="I3" s="139">
        <f>H3</f>
        <v>6000000</v>
      </c>
    </row>
    <row r="4" spans="1:9" x14ac:dyDescent="0.25">
      <c r="A4" s="18"/>
      <c r="B4" s="224"/>
      <c r="C4" s="224"/>
      <c r="D4" s="224"/>
      <c r="E4" s="224"/>
      <c r="F4" s="18"/>
      <c r="G4" s="18"/>
      <c r="H4" s="18"/>
      <c r="I4" s="139"/>
    </row>
    <row r="5" spans="1:9" x14ac:dyDescent="0.25">
      <c r="A5" s="18"/>
      <c r="B5" s="225"/>
      <c r="C5" s="225"/>
      <c r="D5" s="225"/>
      <c r="E5" s="225"/>
      <c r="F5" s="18"/>
      <c r="G5" s="18"/>
      <c r="H5" s="18"/>
      <c r="I5" s="139"/>
    </row>
    <row r="6" spans="1:9" x14ac:dyDescent="0.25">
      <c r="A6" s="18"/>
      <c r="B6" s="231"/>
      <c r="C6" s="231"/>
      <c r="D6" s="231"/>
      <c r="E6" s="231"/>
      <c r="F6" s="18"/>
      <c r="G6" s="18"/>
      <c r="H6" s="18"/>
      <c r="I6" s="139"/>
    </row>
    <row r="7" spans="1:9" x14ac:dyDescent="0.25">
      <c r="A7" s="18"/>
      <c r="B7" s="231"/>
      <c r="C7" s="231"/>
      <c r="D7" s="231"/>
      <c r="E7" s="231"/>
      <c r="F7" s="18"/>
      <c r="G7" s="18"/>
      <c r="H7" s="18"/>
      <c r="I7" s="139"/>
    </row>
    <row r="8" spans="1:9" x14ac:dyDescent="0.25">
      <c r="A8" s="18"/>
      <c r="B8" s="231"/>
      <c r="C8" s="231"/>
      <c r="D8" s="231"/>
      <c r="E8" s="231"/>
      <c r="F8" s="18"/>
      <c r="G8" s="18"/>
      <c r="H8" s="18"/>
      <c r="I8" s="139"/>
    </row>
    <row r="9" spans="1:9" x14ac:dyDescent="0.25">
      <c r="A9" s="18"/>
      <c r="B9" s="231"/>
      <c r="C9" s="231"/>
      <c r="D9" s="231"/>
      <c r="E9" s="231"/>
      <c r="F9" s="18"/>
      <c r="G9" s="18"/>
      <c r="H9" s="18"/>
      <c r="I9" s="139"/>
    </row>
    <row r="10" spans="1:9" x14ac:dyDescent="0.25">
      <c r="A10" s="18"/>
      <c r="B10" s="231"/>
      <c r="C10" s="231"/>
      <c r="D10" s="231"/>
      <c r="E10" s="231"/>
      <c r="F10" s="18"/>
      <c r="G10" s="18"/>
      <c r="H10" s="18"/>
      <c r="I10" s="139"/>
    </row>
    <row r="11" spans="1:9" x14ac:dyDescent="0.25">
      <c r="A11" s="18"/>
      <c r="B11" s="231"/>
      <c r="C11" s="231"/>
      <c r="D11" s="231"/>
      <c r="E11" s="231"/>
      <c r="F11" s="18"/>
      <c r="G11" s="18"/>
      <c r="H11" s="18"/>
      <c r="I11" s="139"/>
    </row>
    <row r="12" spans="1:9" x14ac:dyDescent="0.25">
      <c r="A12" s="18"/>
      <c r="B12" s="231"/>
      <c r="C12" s="231"/>
      <c r="D12" s="231"/>
      <c r="E12" s="231"/>
      <c r="F12" s="18"/>
      <c r="G12" s="18"/>
      <c r="H12" s="18"/>
      <c r="I12" s="139"/>
    </row>
    <row r="13" spans="1:9" x14ac:dyDescent="0.25">
      <c r="A13" s="18"/>
      <c r="B13" s="231"/>
      <c r="C13" s="231"/>
      <c r="D13" s="231"/>
      <c r="E13" s="231"/>
      <c r="F13" s="18"/>
      <c r="G13" s="18"/>
      <c r="H13" s="18"/>
      <c r="I13" s="139"/>
    </row>
    <row r="14" spans="1:9" x14ac:dyDescent="0.25">
      <c r="A14" s="18"/>
      <c r="B14" s="221"/>
      <c r="C14" s="221"/>
      <c r="D14" s="221"/>
      <c r="E14" s="221"/>
      <c r="F14" s="18"/>
      <c r="G14" s="18"/>
      <c r="H14" s="18"/>
      <c r="I14" s="139"/>
    </row>
    <row r="15" spans="1:9" x14ac:dyDescent="0.25">
      <c r="A15" s="18"/>
      <c r="B15" s="228"/>
      <c r="C15" s="228"/>
      <c r="D15" s="228"/>
      <c r="E15" s="228"/>
      <c r="F15" s="18"/>
      <c r="G15" s="18"/>
      <c r="H15" s="16"/>
      <c r="I15" s="139"/>
    </row>
    <row r="16" spans="1:9" ht="15.75" thickBot="1" x14ac:dyDescent="0.3">
      <c r="A16" s="18"/>
      <c r="B16" s="228"/>
      <c r="C16" s="228"/>
      <c r="D16" s="228"/>
      <c r="E16" s="228"/>
      <c r="F16" s="18"/>
      <c r="G16" s="18"/>
      <c r="H16" s="16"/>
      <c r="I16" s="139"/>
    </row>
    <row r="17" spans="1:9" x14ac:dyDescent="0.25">
      <c r="A17" s="19"/>
      <c r="B17" s="307"/>
      <c r="C17" s="307"/>
      <c r="D17" s="307"/>
      <c r="E17" s="307"/>
      <c r="F17" s="307"/>
      <c r="G17" s="307"/>
      <c r="H17" s="308"/>
      <c r="I17" s="177"/>
    </row>
    <row r="18" spans="1:9" x14ac:dyDescent="0.25">
      <c r="A18" s="16"/>
      <c r="B18" s="277" t="s">
        <v>459</v>
      </c>
      <c r="C18" s="226"/>
      <c r="D18" s="226"/>
      <c r="E18" s="226"/>
      <c r="F18" s="226"/>
      <c r="G18" s="226"/>
      <c r="H18" s="227"/>
      <c r="I18" s="147">
        <v>3500000</v>
      </c>
    </row>
    <row r="19" spans="1:9" s="190" customFormat="1" x14ac:dyDescent="0.25">
      <c r="A19" s="188"/>
      <c r="B19" s="349"/>
      <c r="C19" s="349"/>
      <c r="D19" s="349"/>
      <c r="E19" s="349"/>
      <c r="F19" s="349"/>
      <c r="G19" s="349"/>
      <c r="H19" s="350"/>
      <c r="I19" s="189"/>
    </row>
    <row r="20" spans="1:9" x14ac:dyDescent="0.25">
      <c r="A20" s="7"/>
      <c r="B20" s="57"/>
      <c r="C20" s="57"/>
      <c r="D20" s="57"/>
      <c r="E20" s="57"/>
      <c r="F20" s="57"/>
      <c r="G20" s="57"/>
      <c r="H20" s="57"/>
      <c r="I20" s="178"/>
    </row>
    <row r="21" spans="1:9" x14ac:dyDescent="0.25">
      <c r="A21" s="7"/>
      <c r="B21" s="57"/>
      <c r="C21" s="57"/>
      <c r="D21" s="57"/>
      <c r="E21" s="57"/>
      <c r="F21" s="57"/>
      <c r="G21" s="57"/>
      <c r="H21" s="57"/>
      <c r="I21" s="178"/>
    </row>
    <row r="22" spans="1:9" x14ac:dyDescent="0.25">
      <c r="I22" s="179"/>
    </row>
    <row r="23" spans="1:9" x14ac:dyDescent="0.25">
      <c r="I23" s="179"/>
    </row>
    <row r="71" spans="1:9" ht="15.75" thickBot="1" x14ac:dyDescent="0.3">
      <c r="A71" s="7"/>
      <c r="B71" s="88"/>
      <c r="C71" s="88"/>
      <c r="D71" s="88"/>
      <c r="E71" s="88"/>
      <c r="F71" s="7"/>
      <c r="G71" s="7"/>
      <c r="H71" s="7"/>
      <c r="I71" s="185"/>
    </row>
    <row r="72" spans="1:9" ht="15.75" thickBot="1" x14ac:dyDescent="0.3">
      <c r="A72" s="38" t="s">
        <v>0</v>
      </c>
      <c r="B72" s="309" t="s">
        <v>1</v>
      </c>
      <c r="C72" s="309"/>
      <c r="D72" s="309"/>
      <c r="E72" s="309"/>
      <c r="F72" s="38" t="s">
        <v>24</v>
      </c>
      <c r="G72" s="38" t="s">
        <v>2</v>
      </c>
      <c r="H72" s="38" t="s">
        <v>3</v>
      </c>
      <c r="I72" s="186" t="s">
        <v>4</v>
      </c>
    </row>
    <row r="73" spans="1:9" x14ac:dyDescent="0.25">
      <c r="A73" s="18"/>
      <c r="B73" s="304"/>
      <c r="C73" s="249"/>
      <c r="D73" s="249"/>
      <c r="E73" s="305"/>
      <c r="F73" s="18"/>
      <c r="G73" s="18"/>
      <c r="H73" s="18"/>
      <c r="I73" s="187"/>
    </row>
    <row r="74" spans="1:9" x14ac:dyDescent="0.25">
      <c r="A74" s="18"/>
      <c r="B74" s="221"/>
      <c r="C74" s="221"/>
      <c r="D74" s="221"/>
      <c r="E74" s="221"/>
      <c r="F74" s="18"/>
      <c r="G74" s="18"/>
      <c r="H74" s="18"/>
      <c r="I74" s="187"/>
    </row>
    <row r="75" spans="1:9" x14ac:dyDescent="0.25">
      <c r="A75" s="18"/>
      <c r="B75" s="231" t="s">
        <v>420</v>
      </c>
      <c r="C75" s="231"/>
      <c r="D75" s="231"/>
      <c r="E75" s="231"/>
      <c r="F75" s="18"/>
      <c r="G75" s="18"/>
      <c r="H75" s="18"/>
      <c r="I75" s="187"/>
    </row>
    <row r="76" spans="1:9" x14ac:dyDescent="0.25">
      <c r="A76" s="18"/>
      <c r="B76" s="221"/>
      <c r="C76" s="221"/>
      <c r="D76" s="221"/>
      <c r="E76" s="221"/>
      <c r="F76" s="18"/>
      <c r="G76" s="18"/>
      <c r="H76" s="18"/>
      <c r="I76" s="187"/>
    </row>
    <row r="77" spans="1:9" x14ac:dyDescent="0.25">
      <c r="A77" s="18"/>
      <c r="B77" s="231" t="s">
        <v>421</v>
      </c>
      <c r="C77" s="231"/>
      <c r="D77" s="231"/>
      <c r="E77" s="231"/>
      <c r="F77" s="18"/>
      <c r="G77" s="18"/>
      <c r="H77" s="18"/>
      <c r="I77" s="187"/>
    </row>
    <row r="78" spans="1:9" x14ac:dyDescent="0.25">
      <c r="A78" s="18"/>
      <c r="B78" s="231" t="s">
        <v>422</v>
      </c>
      <c r="C78" s="231"/>
      <c r="D78" s="231"/>
      <c r="E78" s="231"/>
      <c r="F78" s="18"/>
      <c r="G78" s="18"/>
      <c r="H78" s="18"/>
      <c r="I78" s="187"/>
    </row>
    <row r="79" spans="1:9" x14ac:dyDescent="0.25">
      <c r="A79" s="18"/>
      <c r="B79" s="231" t="s">
        <v>423</v>
      </c>
      <c r="C79" s="231"/>
      <c r="D79" s="231"/>
      <c r="E79" s="231"/>
      <c r="F79" s="18"/>
      <c r="G79" s="18"/>
      <c r="H79" s="18"/>
      <c r="I79" s="187"/>
    </row>
    <row r="80" spans="1:9" x14ac:dyDescent="0.25">
      <c r="A80" s="18"/>
      <c r="B80" s="231"/>
      <c r="C80" s="231"/>
      <c r="D80" s="231"/>
      <c r="E80" s="231"/>
      <c r="F80" s="18"/>
      <c r="G80" s="18"/>
      <c r="H80" s="18"/>
      <c r="I80" s="187"/>
    </row>
    <row r="81" spans="1:9" ht="17.25" x14ac:dyDescent="0.25">
      <c r="A81" s="18" t="s">
        <v>85</v>
      </c>
      <c r="B81" s="221" t="s">
        <v>440</v>
      </c>
      <c r="C81" s="221"/>
      <c r="D81" s="221"/>
      <c r="E81" s="221"/>
      <c r="F81" s="18" t="s">
        <v>279</v>
      </c>
      <c r="G81" s="18">
        <v>82</v>
      </c>
      <c r="H81" s="18">
        <v>142</v>
      </c>
      <c r="I81" s="139">
        <v>11644</v>
      </c>
    </row>
    <row r="82" spans="1:9" x14ac:dyDescent="0.25">
      <c r="A82" s="18"/>
      <c r="B82" s="221"/>
      <c r="C82" s="221"/>
      <c r="D82" s="221"/>
      <c r="E82" s="221"/>
      <c r="F82" s="18"/>
      <c r="G82" s="18"/>
      <c r="H82" s="18"/>
      <c r="I82" s="187"/>
    </row>
    <row r="83" spans="1:9" x14ac:dyDescent="0.25">
      <c r="A83" s="18" t="s">
        <v>86</v>
      </c>
      <c r="B83" s="221" t="s">
        <v>441</v>
      </c>
      <c r="C83" s="221"/>
      <c r="D83" s="221"/>
      <c r="E83" s="221"/>
      <c r="F83" s="18" t="s">
        <v>214</v>
      </c>
      <c r="G83" s="18">
        <v>12</v>
      </c>
      <c r="H83" s="18">
        <v>35</v>
      </c>
      <c r="I83" s="139">
        <v>420</v>
      </c>
    </row>
    <row r="84" spans="1:9" x14ac:dyDescent="0.25">
      <c r="A84" s="18"/>
      <c r="B84" s="221"/>
      <c r="C84" s="221"/>
      <c r="D84" s="221"/>
      <c r="E84" s="221"/>
      <c r="F84" s="18"/>
      <c r="G84" s="18"/>
      <c r="H84" s="18"/>
      <c r="I84" s="187"/>
    </row>
    <row r="85" spans="1:9" ht="15.75" thickBot="1" x14ac:dyDescent="0.3">
      <c r="A85" s="18"/>
      <c r="B85" s="221"/>
      <c r="C85" s="221"/>
      <c r="D85" s="221"/>
      <c r="E85" s="221"/>
      <c r="F85" s="18"/>
      <c r="G85" s="18"/>
      <c r="H85" s="18"/>
      <c r="I85" s="187"/>
    </row>
    <row r="86" spans="1:9" x14ac:dyDescent="0.25">
      <c r="A86" s="19"/>
      <c r="B86" s="264"/>
      <c r="C86" s="264"/>
      <c r="D86" s="264"/>
      <c r="E86" s="264"/>
      <c r="F86" s="264"/>
      <c r="G86" s="264"/>
      <c r="H86" s="313"/>
      <c r="I86" s="158">
        <f>SUM(I25:L83)</f>
        <v>12064</v>
      </c>
    </row>
    <row r="87" spans="1:9" x14ac:dyDescent="0.25">
      <c r="A87" s="16"/>
      <c r="B87" s="226" t="s">
        <v>308</v>
      </c>
      <c r="C87" s="226"/>
      <c r="D87" s="226"/>
      <c r="E87" s="226"/>
      <c r="F87" s="226"/>
      <c r="G87" s="226"/>
      <c r="H87" s="227"/>
      <c r="I87" s="187"/>
    </row>
    <row r="88" spans="1:9" x14ac:dyDescent="0.25">
      <c r="A88" s="16"/>
      <c r="B88" s="226"/>
      <c r="C88" s="226"/>
      <c r="D88" s="226"/>
      <c r="E88" s="226"/>
      <c r="F88" s="226"/>
      <c r="G88" s="226"/>
      <c r="H88" s="227"/>
      <c r="I88" s="187"/>
    </row>
    <row r="89" spans="1:9" x14ac:dyDescent="0.25">
      <c r="A89" s="16"/>
      <c r="B89" s="226" t="s">
        <v>6</v>
      </c>
      <c r="C89" s="226"/>
      <c r="D89" s="226"/>
      <c r="E89" s="226"/>
      <c r="F89" s="226"/>
      <c r="G89" s="226"/>
      <c r="H89" s="227"/>
      <c r="I89" s="187"/>
    </row>
  </sheetData>
  <mergeCells count="37">
    <mergeCell ref="B89:H89"/>
    <mergeCell ref="B83:E83"/>
    <mergeCell ref="B84:E84"/>
    <mergeCell ref="B85:E85"/>
    <mergeCell ref="B86:H86"/>
    <mergeCell ref="B87:H87"/>
    <mergeCell ref="B88:H88"/>
    <mergeCell ref="B78:E78"/>
    <mergeCell ref="B79:E79"/>
    <mergeCell ref="B80:E80"/>
    <mergeCell ref="B81:E81"/>
    <mergeCell ref="B82:E82"/>
    <mergeCell ref="B73:E73"/>
    <mergeCell ref="B74:E74"/>
    <mergeCell ref="B75:E75"/>
    <mergeCell ref="B76:E76"/>
    <mergeCell ref="B77:E77"/>
    <mergeCell ref="B16:E16"/>
    <mergeCell ref="B17:H17"/>
    <mergeCell ref="B18:H18"/>
    <mergeCell ref="B19:H19"/>
    <mergeCell ref="B72:E72"/>
    <mergeCell ref="B11:E11"/>
    <mergeCell ref="B12:E12"/>
    <mergeCell ref="B13:E13"/>
    <mergeCell ref="B14:E14"/>
    <mergeCell ref="B15:E15"/>
    <mergeCell ref="B6:E6"/>
    <mergeCell ref="B7:E7"/>
    <mergeCell ref="B8:E8"/>
    <mergeCell ref="B9:E9"/>
    <mergeCell ref="B10:E10"/>
    <mergeCell ref="B1:E1"/>
    <mergeCell ref="B2:E2"/>
    <mergeCell ref="B3:E3"/>
    <mergeCell ref="B4:E4"/>
    <mergeCell ref="B5:E5"/>
  </mergeCell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selection activeCell="M8" sqref="M8"/>
    </sheetView>
  </sheetViews>
  <sheetFormatPr defaultRowHeight="15" x14ac:dyDescent="0.25"/>
  <sheetData>
    <row r="1" spans="1:9" ht="15.75" thickBot="1" x14ac:dyDescent="0.3">
      <c r="A1" s="38" t="s">
        <v>0</v>
      </c>
      <c r="B1" s="280" t="s">
        <v>1</v>
      </c>
      <c r="C1" s="280"/>
      <c r="D1" s="280"/>
      <c r="E1" s="280"/>
      <c r="F1" s="38" t="s">
        <v>24</v>
      </c>
      <c r="G1" s="38" t="s">
        <v>2</v>
      </c>
      <c r="H1" s="38" t="s">
        <v>3</v>
      </c>
      <c r="I1" s="74" t="s">
        <v>4</v>
      </c>
    </row>
    <row r="2" spans="1:9" x14ac:dyDescent="0.25">
      <c r="A2" s="18"/>
      <c r="B2" s="225"/>
      <c r="C2" s="225"/>
      <c r="D2" s="225"/>
      <c r="E2" s="225"/>
      <c r="F2" s="18"/>
      <c r="G2" s="18"/>
      <c r="H2" s="18"/>
      <c r="I2" s="59"/>
    </row>
    <row r="3" spans="1:9" ht="17.25" x14ac:dyDescent="0.25">
      <c r="A3" s="18" t="s">
        <v>30</v>
      </c>
      <c r="B3" s="221" t="s">
        <v>393</v>
      </c>
      <c r="C3" s="221"/>
      <c r="D3" s="221"/>
      <c r="E3" s="221"/>
      <c r="F3" s="18" t="s">
        <v>279</v>
      </c>
      <c r="G3" s="18">
        <v>235</v>
      </c>
      <c r="H3" s="18">
        <v>36</v>
      </c>
      <c r="I3" s="59">
        <v>8460</v>
      </c>
    </row>
    <row r="4" spans="1:9" x14ac:dyDescent="0.25">
      <c r="A4" s="18"/>
      <c r="B4" s="221" t="s">
        <v>394</v>
      </c>
      <c r="C4" s="221"/>
      <c r="D4" s="221"/>
      <c r="E4" s="221"/>
      <c r="F4" s="18"/>
      <c r="G4" s="18"/>
      <c r="H4" s="18"/>
      <c r="I4" s="59"/>
    </row>
    <row r="5" spans="1:9" x14ac:dyDescent="0.25">
      <c r="A5" s="18"/>
      <c r="B5" s="221" t="s">
        <v>395</v>
      </c>
      <c r="C5" s="221"/>
      <c r="D5" s="221"/>
      <c r="E5" s="221"/>
      <c r="F5" s="18"/>
      <c r="G5" s="18"/>
      <c r="H5" s="18"/>
      <c r="I5" s="59"/>
    </row>
    <row r="6" spans="1:9" x14ac:dyDescent="0.25">
      <c r="A6" s="18"/>
      <c r="B6" s="221" t="s">
        <v>396</v>
      </c>
      <c r="C6" s="221"/>
      <c r="D6" s="221"/>
      <c r="E6" s="221"/>
      <c r="F6" s="18"/>
      <c r="G6" s="18"/>
      <c r="H6" s="18"/>
      <c r="I6" s="59"/>
    </row>
    <row r="7" spans="1:9" x14ac:dyDescent="0.25">
      <c r="A7" s="18"/>
      <c r="B7" s="221" t="s">
        <v>397</v>
      </c>
      <c r="C7" s="221"/>
      <c r="D7" s="221"/>
      <c r="E7" s="221"/>
      <c r="F7" s="18"/>
      <c r="G7" s="18"/>
      <c r="H7" s="18"/>
      <c r="I7" s="59"/>
    </row>
    <row r="8" spans="1:9" x14ac:dyDescent="0.25">
      <c r="A8" s="18"/>
      <c r="B8" s="221" t="s">
        <v>401</v>
      </c>
      <c r="C8" s="221"/>
      <c r="D8" s="221"/>
      <c r="E8" s="221"/>
      <c r="F8" s="18"/>
      <c r="G8" s="18"/>
      <c r="H8" s="18"/>
      <c r="I8" s="59"/>
    </row>
    <row r="9" spans="1:9" x14ac:dyDescent="0.25">
      <c r="A9" s="18"/>
      <c r="B9" s="221"/>
      <c r="C9" s="221"/>
      <c r="D9" s="221"/>
      <c r="E9" s="221"/>
      <c r="F9" s="18"/>
      <c r="G9" s="18"/>
      <c r="H9" s="18"/>
      <c r="I9" s="59"/>
    </row>
    <row r="10" spans="1:9" ht="17.25" x14ac:dyDescent="0.25">
      <c r="A10" s="18" t="s">
        <v>36</v>
      </c>
      <c r="B10" s="221" t="s">
        <v>398</v>
      </c>
      <c r="C10" s="221"/>
      <c r="D10" s="221"/>
      <c r="E10" s="221"/>
      <c r="F10" s="18" t="s">
        <v>279</v>
      </c>
      <c r="G10" s="18">
        <v>300</v>
      </c>
      <c r="H10" s="18">
        <v>3</v>
      </c>
      <c r="I10" s="59">
        <v>900</v>
      </c>
    </row>
    <row r="11" spans="1:9" x14ac:dyDescent="0.25">
      <c r="A11" s="18"/>
      <c r="B11" s="221" t="s">
        <v>399</v>
      </c>
      <c r="C11" s="221"/>
      <c r="D11" s="221"/>
      <c r="E11" s="221"/>
      <c r="F11" s="18"/>
      <c r="G11" s="18"/>
      <c r="H11" s="18"/>
      <c r="I11" s="59"/>
    </row>
    <row r="12" spans="1:9" x14ac:dyDescent="0.25">
      <c r="A12" s="18"/>
      <c r="B12" s="221" t="s">
        <v>400</v>
      </c>
      <c r="C12" s="221"/>
      <c r="D12" s="221"/>
      <c r="E12" s="221"/>
      <c r="F12" s="18"/>
      <c r="G12" s="18"/>
      <c r="H12" s="18"/>
      <c r="I12" s="59"/>
    </row>
    <row r="13" spans="1:9" x14ac:dyDescent="0.25">
      <c r="A13" s="18"/>
      <c r="B13" s="221"/>
      <c r="C13" s="221"/>
      <c r="D13" s="221"/>
      <c r="E13" s="221"/>
      <c r="F13" s="18"/>
      <c r="G13" s="18"/>
      <c r="H13" s="18"/>
      <c r="I13" s="59"/>
    </row>
    <row r="14" spans="1:9" ht="17.25" x14ac:dyDescent="0.25">
      <c r="A14" s="18" t="s">
        <v>39</v>
      </c>
      <c r="B14" s="221" t="s">
        <v>406</v>
      </c>
      <c r="C14" s="221"/>
      <c r="D14" s="221"/>
      <c r="E14" s="221"/>
      <c r="F14" s="18" t="s">
        <v>279</v>
      </c>
      <c r="G14" s="18">
        <v>235</v>
      </c>
      <c r="H14" s="18">
        <v>13</v>
      </c>
      <c r="I14" s="59">
        <v>3055</v>
      </c>
    </row>
    <row r="15" spans="1:9" x14ac:dyDescent="0.25">
      <c r="A15" s="18"/>
      <c r="B15" s="221" t="s">
        <v>402</v>
      </c>
      <c r="C15" s="221"/>
      <c r="D15" s="221"/>
      <c r="E15" s="221"/>
      <c r="F15" s="18"/>
      <c r="G15" s="18"/>
      <c r="H15" s="18"/>
      <c r="I15" s="59"/>
    </row>
    <row r="16" spans="1:9" x14ac:dyDescent="0.25">
      <c r="A16" s="18"/>
      <c r="B16" s="221" t="s">
        <v>408</v>
      </c>
      <c r="C16" s="221"/>
      <c r="D16" s="221"/>
      <c r="E16" s="221"/>
      <c r="F16" s="18"/>
      <c r="G16" s="18"/>
      <c r="H16" s="18"/>
      <c r="I16" s="59"/>
    </row>
    <row r="17" spans="1:9" x14ac:dyDescent="0.25">
      <c r="A17" s="18"/>
      <c r="B17" s="221" t="s">
        <v>407</v>
      </c>
      <c r="C17" s="221"/>
      <c r="D17" s="221"/>
      <c r="E17" s="221"/>
      <c r="F17" s="18"/>
      <c r="G17" s="18"/>
      <c r="H17" s="18"/>
      <c r="I17" s="59"/>
    </row>
    <row r="18" spans="1:9" x14ac:dyDescent="0.25">
      <c r="A18" s="18"/>
      <c r="B18" s="254" t="s">
        <v>414</v>
      </c>
      <c r="C18" s="228"/>
      <c r="D18" s="228"/>
      <c r="E18" s="229"/>
      <c r="F18" s="18"/>
      <c r="G18" s="18"/>
      <c r="H18" s="18"/>
      <c r="I18" s="59"/>
    </row>
    <row r="19" spans="1:9" x14ac:dyDescent="0.25">
      <c r="A19" s="18"/>
      <c r="B19" s="304"/>
      <c r="C19" s="266"/>
      <c r="D19" s="266"/>
      <c r="E19" s="305"/>
      <c r="F19" s="18"/>
      <c r="G19" s="18"/>
      <c r="H19" s="18"/>
      <c r="I19" s="59"/>
    </row>
    <row r="20" spans="1:9" x14ac:dyDescent="0.25">
      <c r="A20" s="18"/>
      <c r="B20" s="231" t="s">
        <v>404</v>
      </c>
      <c r="C20" s="221"/>
      <c r="D20" s="221"/>
      <c r="E20" s="221"/>
      <c r="F20" s="18"/>
      <c r="G20" s="18"/>
      <c r="H20" s="18"/>
      <c r="I20" s="59"/>
    </row>
    <row r="21" spans="1:9" x14ac:dyDescent="0.25">
      <c r="A21" s="18"/>
      <c r="B21" s="242"/>
      <c r="C21" s="243"/>
      <c r="D21" s="243"/>
      <c r="E21" s="244"/>
      <c r="F21" s="18"/>
      <c r="G21" s="18"/>
      <c r="H21" s="18"/>
      <c r="I21" s="59"/>
    </row>
    <row r="22" spans="1:9" ht="17.25" x14ac:dyDescent="0.25">
      <c r="A22" s="18" t="s">
        <v>42</v>
      </c>
      <c r="B22" s="221" t="s">
        <v>403</v>
      </c>
      <c r="C22" s="221"/>
      <c r="D22" s="221"/>
      <c r="E22" s="221"/>
      <c r="F22" s="18" t="s">
        <v>281</v>
      </c>
      <c r="G22" s="18">
        <v>12</v>
      </c>
      <c r="H22" s="18">
        <v>930</v>
      </c>
      <c r="I22" s="59">
        <v>11160</v>
      </c>
    </row>
    <row r="23" spans="1:9" x14ac:dyDescent="0.25">
      <c r="A23" s="18"/>
      <c r="B23" s="221"/>
      <c r="C23" s="221"/>
      <c r="D23" s="221"/>
      <c r="E23" s="221"/>
      <c r="F23" s="18"/>
      <c r="G23" s="18"/>
      <c r="H23" s="18"/>
      <c r="I23" s="59"/>
    </row>
    <row r="24" spans="1:9" ht="17.25" x14ac:dyDescent="0.25">
      <c r="A24" s="18" t="s">
        <v>46</v>
      </c>
      <c r="B24" s="221" t="s">
        <v>405</v>
      </c>
      <c r="C24" s="221"/>
      <c r="D24" s="221"/>
      <c r="E24" s="221"/>
      <c r="F24" s="18" t="s">
        <v>279</v>
      </c>
      <c r="G24" s="18">
        <v>285</v>
      </c>
      <c r="H24" s="18">
        <v>93</v>
      </c>
      <c r="I24" s="59">
        <v>21885</v>
      </c>
    </row>
    <row r="25" spans="1:9" x14ac:dyDescent="0.25">
      <c r="A25" s="18"/>
      <c r="B25" s="221" t="s">
        <v>409</v>
      </c>
      <c r="C25" s="221"/>
      <c r="D25" s="221"/>
      <c r="E25" s="221"/>
      <c r="F25" s="18"/>
      <c r="G25" s="18"/>
      <c r="H25" s="18"/>
      <c r="I25" s="59"/>
    </row>
    <row r="26" spans="1:9" x14ac:dyDescent="0.25">
      <c r="A26" s="18"/>
      <c r="B26" s="221" t="s">
        <v>413</v>
      </c>
      <c r="C26" s="221"/>
      <c r="D26" s="221"/>
      <c r="E26" s="221"/>
      <c r="F26" s="18"/>
      <c r="G26" s="18"/>
      <c r="H26" s="18"/>
      <c r="I26" s="59"/>
    </row>
    <row r="27" spans="1:9" x14ac:dyDescent="0.25">
      <c r="A27" s="18"/>
      <c r="B27" s="221"/>
      <c r="C27" s="221"/>
      <c r="D27" s="221"/>
      <c r="E27" s="221"/>
      <c r="F27" s="18"/>
      <c r="G27" s="18"/>
      <c r="H27" s="18"/>
      <c r="I27" s="59"/>
    </row>
    <row r="28" spans="1:9" ht="17.25" x14ac:dyDescent="0.25">
      <c r="A28" s="18" t="s">
        <v>49</v>
      </c>
      <c r="B28" s="221" t="s">
        <v>410</v>
      </c>
      <c r="C28" s="221"/>
      <c r="D28" s="221"/>
      <c r="E28" s="221"/>
      <c r="F28" s="18" t="s">
        <v>279</v>
      </c>
      <c r="G28" s="18">
        <v>235</v>
      </c>
      <c r="H28" s="18">
        <v>73</v>
      </c>
      <c r="I28" s="59">
        <v>17236</v>
      </c>
    </row>
    <row r="29" spans="1:9" x14ac:dyDescent="0.25">
      <c r="A29" s="18"/>
      <c r="B29" s="221" t="s">
        <v>411</v>
      </c>
      <c r="C29" s="221"/>
      <c r="D29" s="221"/>
      <c r="E29" s="221"/>
      <c r="F29" s="18"/>
      <c r="G29" s="18"/>
      <c r="H29" s="18"/>
      <c r="I29" s="59"/>
    </row>
    <row r="30" spans="1:9" x14ac:dyDescent="0.25">
      <c r="A30" s="18"/>
      <c r="B30" s="221" t="s">
        <v>412</v>
      </c>
      <c r="C30" s="221"/>
      <c r="D30" s="221"/>
      <c r="E30" s="221"/>
      <c r="F30" s="18"/>
      <c r="G30" s="18"/>
      <c r="H30" s="18"/>
      <c r="I30" s="59"/>
    </row>
    <row r="31" spans="1:9" x14ac:dyDescent="0.25">
      <c r="A31" s="18"/>
      <c r="B31" s="221"/>
      <c r="C31" s="221"/>
      <c r="D31" s="221"/>
      <c r="E31" s="221"/>
      <c r="F31" s="18"/>
      <c r="G31" s="18"/>
      <c r="H31" s="18"/>
      <c r="I31" s="59"/>
    </row>
    <row r="32" spans="1:9" x14ac:dyDescent="0.25">
      <c r="A32" s="18"/>
      <c r="B32" s="231" t="s">
        <v>416</v>
      </c>
      <c r="C32" s="231"/>
      <c r="D32" s="231"/>
      <c r="E32" s="231"/>
      <c r="F32" s="18"/>
      <c r="G32" s="18"/>
      <c r="H32" s="18"/>
      <c r="I32" s="59"/>
    </row>
    <row r="33" spans="1:9" x14ac:dyDescent="0.25">
      <c r="A33" s="18"/>
      <c r="B33" s="221"/>
      <c r="C33" s="221"/>
      <c r="D33" s="221"/>
      <c r="E33" s="221"/>
      <c r="F33" s="18"/>
      <c r="G33" s="18"/>
      <c r="H33" s="18"/>
      <c r="I33" s="59"/>
    </row>
    <row r="34" spans="1:9" ht="17.25" x14ac:dyDescent="0.25">
      <c r="A34" s="18" t="s">
        <v>53</v>
      </c>
      <c r="B34" s="221" t="s">
        <v>415</v>
      </c>
      <c r="C34" s="221"/>
      <c r="D34" s="221"/>
      <c r="E34" s="221"/>
      <c r="F34" s="18" t="s">
        <v>279</v>
      </c>
      <c r="G34" s="18">
        <v>23</v>
      </c>
      <c r="H34" s="18">
        <v>85</v>
      </c>
      <c r="I34" s="59">
        <v>1955</v>
      </c>
    </row>
    <row r="35" spans="1:9" x14ac:dyDescent="0.25">
      <c r="A35" s="18"/>
      <c r="B35" s="221"/>
      <c r="C35" s="221"/>
      <c r="D35" s="221"/>
      <c r="E35" s="221"/>
      <c r="F35" s="18"/>
      <c r="G35" s="18"/>
      <c r="H35" s="18"/>
      <c r="I35" s="59"/>
    </row>
    <row r="36" spans="1:9" x14ac:dyDescent="0.25">
      <c r="A36" s="18" t="s">
        <v>55</v>
      </c>
      <c r="B36" s="221" t="s">
        <v>417</v>
      </c>
      <c r="C36" s="221"/>
      <c r="D36" s="221"/>
      <c r="E36" s="221"/>
      <c r="F36" s="18" t="s">
        <v>214</v>
      </c>
      <c r="G36" s="18">
        <v>62</v>
      </c>
      <c r="H36" s="18">
        <v>47</v>
      </c>
      <c r="I36" s="59">
        <v>2914</v>
      </c>
    </row>
    <row r="37" spans="1:9" x14ac:dyDescent="0.25">
      <c r="A37" s="18"/>
      <c r="B37" s="221"/>
      <c r="C37" s="221"/>
      <c r="D37" s="221"/>
      <c r="E37" s="221"/>
      <c r="F37" s="18"/>
      <c r="G37" s="18"/>
      <c r="H37" s="18"/>
      <c r="I37" s="59"/>
    </row>
    <row r="38" spans="1:9" x14ac:dyDescent="0.25">
      <c r="A38" s="18"/>
      <c r="B38" s="310" t="s">
        <v>418</v>
      </c>
      <c r="C38" s="221"/>
      <c r="D38" s="221"/>
      <c r="E38" s="221"/>
      <c r="F38" s="18"/>
      <c r="G38" s="18"/>
      <c r="H38" s="18"/>
      <c r="I38" s="59"/>
    </row>
    <row r="39" spans="1:9" x14ac:dyDescent="0.25">
      <c r="A39" s="18"/>
      <c r="B39" s="221"/>
      <c r="C39" s="221"/>
      <c r="D39" s="221"/>
      <c r="E39" s="221"/>
      <c r="F39" s="18"/>
      <c r="G39" s="18"/>
      <c r="H39" s="18"/>
      <c r="I39" s="59"/>
    </row>
    <row r="40" spans="1:9" ht="17.25" x14ac:dyDescent="0.25">
      <c r="A40" s="18" t="s">
        <v>57</v>
      </c>
      <c r="B40" s="221" t="s">
        <v>419</v>
      </c>
      <c r="C40" s="221"/>
      <c r="D40" s="221"/>
      <c r="E40" s="221"/>
      <c r="F40" s="18" t="s">
        <v>281</v>
      </c>
      <c r="G40" s="18">
        <v>5</v>
      </c>
      <c r="H40" s="18">
        <v>1085</v>
      </c>
      <c r="I40" s="59">
        <v>5425</v>
      </c>
    </row>
    <row r="41" spans="1:9" x14ac:dyDescent="0.25">
      <c r="A41" s="18"/>
      <c r="B41" s="221"/>
      <c r="C41" s="221"/>
      <c r="D41" s="221"/>
      <c r="E41" s="221"/>
      <c r="F41" s="18"/>
      <c r="G41" s="18"/>
      <c r="H41" s="18"/>
      <c r="I41" s="59"/>
    </row>
    <row r="42" spans="1:9" ht="15.75" thickBot="1" x14ac:dyDescent="0.3">
      <c r="A42" s="11"/>
      <c r="B42" s="312"/>
      <c r="C42" s="302"/>
      <c r="D42" s="302"/>
      <c r="E42" s="303"/>
      <c r="F42" s="11"/>
      <c r="G42" s="11"/>
      <c r="H42" s="11"/>
      <c r="I42" s="60"/>
    </row>
    <row r="43" spans="1:9" x14ac:dyDescent="0.25">
      <c r="A43" s="7"/>
      <c r="B43" s="86"/>
      <c r="C43" s="86"/>
      <c r="D43" s="86"/>
      <c r="E43" s="86"/>
      <c r="F43" s="7"/>
      <c r="G43" s="7"/>
      <c r="H43" s="7"/>
      <c r="I43" s="81"/>
    </row>
    <row r="44" spans="1:9" x14ac:dyDescent="0.25">
      <c r="A44" s="7"/>
      <c r="B44" s="86"/>
      <c r="C44" s="86"/>
      <c r="D44" s="86"/>
      <c r="E44" s="86"/>
      <c r="F44" s="7"/>
      <c r="G44" s="7"/>
      <c r="H44" s="7"/>
      <c r="I44" s="81"/>
    </row>
    <row r="45" spans="1:9" x14ac:dyDescent="0.25">
      <c r="A45" s="7"/>
      <c r="B45" s="86"/>
      <c r="C45" s="86"/>
      <c r="D45" s="86"/>
      <c r="E45" s="86"/>
      <c r="F45" s="7"/>
      <c r="G45" s="7"/>
      <c r="H45" s="7"/>
      <c r="I45" s="81"/>
    </row>
    <row r="46" spans="1:9" x14ac:dyDescent="0.25">
      <c r="A46" s="7"/>
      <c r="B46" s="7"/>
      <c r="C46" s="7"/>
      <c r="D46" s="7"/>
      <c r="E46" s="7"/>
      <c r="F46" s="7"/>
      <c r="G46" s="7"/>
      <c r="H46" s="7"/>
      <c r="I46" s="7"/>
    </row>
    <row r="47" spans="1:9" x14ac:dyDescent="0.25">
      <c r="A47" s="7"/>
      <c r="B47" s="88"/>
      <c r="C47" s="88"/>
      <c r="D47" s="88"/>
      <c r="E47" s="88"/>
      <c r="F47" s="7"/>
      <c r="G47" s="7"/>
      <c r="H47" s="7"/>
      <c r="I47" s="7"/>
    </row>
  </sheetData>
  <mergeCells count="42">
    <mergeCell ref="B6:E6"/>
    <mergeCell ref="B1:E1"/>
    <mergeCell ref="B2:E2"/>
    <mergeCell ref="B3:E3"/>
    <mergeCell ref="B4:E4"/>
    <mergeCell ref="B5:E5"/>
    <mergeCell ref="B18:E18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30:E30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42:E42"/>
    <mergeCell ref="B36:E36"/>
    <mergeCell ref="B37:E37"/>
    <mergeCell ref="B38:E38"/>
    <mergeCell ref="B39:E39"/>
    <mergeCell ref="B40:E40"/>
    <mergeCell ref="B41:E41"/>
    <mergeCell ref="B31:E31"/>
    <mergeCell ref="B32:E32"/>
    <mergeCell ref="B33:E33"/>
    <mergeCell ref="B34:E34"/>
    <mergeCell ref="B35:E3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7" sqref="F7"/>
    </sheetView>
  </sheetViews>
  <sheetFormatPr defaultRowHeight="15" x14ac:dyDescent="0.25"/>
  <cols>
    <col min="1" max="1" width="6" style="94" customWidth="1"/>
    <col min="2" max="2" width="27.85546875" style="94" customWidth="1"/>
    <col min="3" max="3" width="9.140625" style="94"/>
    <col min="4" max="4" width="12.5703125" style="94" customWidth="1"/>
    <col min="5" max="5" width="15.85546875" style="199" customWidth="1"/>
    <col min="6" max="6" width="13.85546875" style="199" customWidth="1"/>
    <col min="7" max="16384" width="9.140625" style="94"/>
  </cols>
  <sheetData>
    <row r="1" spans="1:6" ht="15.75" thickBot="1" x14ac:dyDescent="0.3">
      <c r="A1" s="93" t="s">
        <v>0</v>
      </c>
      <c r="B1" s="191" t="s">
        <v>1</v>
      </c>
      <c r="C1" s="93" t="s">
        <v>24</v>
      </c>
      <c r="D1" s="93" t="s">
        <v>2</v>
      </c>
      <c r="E1" s="351" t="s">
        <v>3</v>
      </c>
      <c r="F1" s="194" t="s">
        <v>465</v>
      </c>
    </row>
    <row r="2" spans="1:6" x14ac:dyDescent="0.25">
      <c r="A2" s="95"/>
      <c r="B2" s="95"/>
      <c r="C2" s="95"/>
      <c r="D2" s="95"/>
      <c r="E2" s="195"/>
      <c r="F2" s="195"/>
    </row>
    <row r="3" spans="1:6" x14ac:dyDescent="0.25">
      <c r="A3" s="95"/>
      <c r="B3" s="95"/>
      <c r="C3" s="95"/>
      <c r="D3" s="95"/>
      <c r="E3" s="195"/>
      <c r="F3" s="195"/>
    </row>
    <row r="4" spans="1:6" x14ac:dyDescent="0.25">
      <c r="A4" s="95"/>
      <c r="B4" s="95"/>
      <c r="C4" s="95"/>
      <c r="D4" s="95"/>
      <c r="E4" s="195"/>
      <c r="F4" s="195"/>
    </row>
    <row r="5" spans="1:6" x14ac:dyDescent="0.25">
      <c r="A5" s="95"/>
      <c r="B5" s="95"/>
      <c r="C5" s="95"/>
      <c r="D5" s="95"/>
      <c r="E5" s="195"/>
      <c r="F5" s="195"/>
    </row>
    <row r="6" spans="1:6" ht="75" x14ac:dyDescent="0.25">
      <c r="A6" s="95" t="s">
        <v>30</v>
      </c>
      <c r="B6" s="192" t="s">
        <v>509</v>
      </c>
      <c r="C6" s="193" t="s">
        <v>500</v>
      </c>
      <c r="D6" s="95"/>
      <c r="E6" s="195">
        <v>4500000</v>
      </c>
      <c r="F6" s="195">
        <f>E6</f>
        <v>4500000</v>
      </c>
    </row>
    <row r="7" spans="1:6" x14ac:dyDescent="0.25">
      <c r="A7" s="95"/>
      <c r="B7" s="95"/>
      <c r="C7" s="95"/>
      <c r="D7" s="95"/>
      <c r="E7" s="195"/>
      <c r="F7" s="195"/>
    </row>
    <row r="8" spans="1:6" ht="15.75" thickBot="1" x14ac:dyDescent="0.3">
      <c r="A8" s="95"/>
      <c r="B8" s="95"/>
      <c r="C8" s="95"/>
      <c r="D8" s="95"/>
      <c r="E8" s="195"/>
      <c r="F8" s="195"/>
    </row>
    <row r="9" spans="1:6" x14ac:dyDescent="0.25">
      <c r="A9" s="100"/>
      <c r="B9" s="101"/>
      <c r="C9" s="101"/>
      <c r="D9" s="101"/>
      <c r="E9" s="352"/>
      <c r="F9" s="196"/>
    </row>
    <row r="10" spans="1:6" x14ac:dyDescent="0.25">
      <c r="A10" s="96"/>
      <c r="B10" s="97"/>
      <c r="C10" s="226"/>
      <c r="D10" s="226"/>
      <c r="E10" s="226"/>
      <c r="F10" s="197">
        <f>F6</f>
        <v>4500000</v>
      </c>
    </row>
    <row r="11" spans="1:6" ht="15.75" thickBot="1" x14ac:dyDescent="0.3">
      <c r="A11" s="98"/>
      <c r="B11" s="99"/>
      <c r="C11" s="99"/>
      <c r="D11" s="99"/>
      <c r="E11" s="353"/>
      <c r="F11" s="198"/>
    </row>
  </sheetData>
  <mergeCells count="1">
    <mergeCell ref="C10:E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</vt:lpstr>
      <vt:lpstr>Summary</vt:lpstr>
      <vt:lpstr>sub-structure 1</vt:lpstr>
      <vt:lpstr>sub-structure ii</vt:lpstr>
      <vt:lpstr>Walling</vt:lpstr>
      <vt:lpstr>Roofing Sheets</vt:lpstr>
      <vt:lpstr>Windows</vt:lpstr>
      <vt:lpstr>Doors</vt:lpstr>
      <vt:lpstr>External Wall finishes</vt:lpstr>
      <vt:lpstr>Internal Wall finishes</vt:lpstr>
      <vt:lpstr>Floor finishes</vt:lpstr>
      <vt:lpstr>Ceiling Finishes</vt:lpstr>
      <vt:lpstr>Electrical</vt:lpstr>
      <vt:lpstr>Plumbing</vt:lpstr>
      <vt:lpstr>unwanted</vt:lpstr>
      <vt:lpstr>External works</vt:lpstr>
    </vt:vector>
  </TitlesOfParts>
  <Company>Admin 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cp:lastPrinted>2013-02-25T08:29:28Z</cp:lastPrinted>
  <dcterms:created xsi:type="dcterms:W3CDTF">2011-07-26T19:17:55Z</dcterms:created>
  <dcterms:modified xsi:type="dcterms:W3CDTF">2014-02-06T16:50:01Z</dcterms:modified>
</cp:coreProperties>
</file>