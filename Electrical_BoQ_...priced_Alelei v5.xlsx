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Projects 2020\Alelei MEP\Submission - Draft 1\"/>
    </mc:Choice>
  </mc:AlternateContent>
  <xr:revisionPtr revIDLastSave="0" documentId="13_ncr:1_{DFF43A12-AB80-43D6-8A1B-2B0E06E6596A}" xr6:coauthVersionLast="45" xr6:coauthVersionMax="45" xr10:uidLastSave="{00000000-0000-0000-0000-000000000000}"/>
  <bookViews>
    <workbookView xWindow="-120" yWindow="-120" windowWidth="20730" windowHeight="11160" xr2:uid="{00000000-000D-0000-FFFF-FFFF00000000}"/>
  </bookViews>
  <sheets>
    <sheet name="Sheet1" sheetId="1" r:id="rId1"/>
  </sheets>
  <definedNames>
    <definedName name="_xlnm.Print_Area" localSheetId="0">Sheet1!$A$1:$F$530</definedName>
    <definedName name="_xlnm.Print_Titles" localSheetId="0">Sheet1!$1:$7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311" i="1" l="1"/>
  <c r="F310" i="1"/>
  <c r="F309" i="1"/>
  <c r="F308" i="1"/>
  <c r="F305" i="1"/>
  <c r="F304" i="1"/>
  <c r="F303" i="1"/>
  <c r="F302" i="1"/>
  <c r="F301" i="1"/>
  <c r="F300" i="1"/>
  <c r="F267" i="1"/>
  <c r="F266" i="1"/>
  <c r="F265" i="1"/>
  <c r="F264" i="1"/>
  <c r="F261" i="1"/>
  <c r="F260" i="1"/>
  <c r="F259" i="1"/>
  <c r="F258" i="1"/>
  <c r="F257" i="1"/>
  <c r="F256" i="1"/>
  <c r="F225" i="1"/>
  <c r="F224" i="1"/>
  <c r="F223" i="1"/>
  <c r="F222" i="1"/>
  <c r="F219" i="1"/>
  <c r="F218" i="1"/>
  <c r="F217" i="1"/>
  <c r="F216" i="1"/>
  <c r="F215" i="1"/>
  <c r="F214" i="1"/>
  <c r="F182" i="1"/>
  <c r="F181" i="1"/>
  <c r="F180" i="1"/>
  <c r="F179" i="1"/>
  <c r="F176" i="1"/>
  <c r="F175" i="1"/>
  <c r="F174" i="1"/>
  <c r="F173" i="1"/>
  <c r="F172" i="1"/>
  <c r="F171" i="1"/>
  <c r="F96" i="1"/>
  <c r="F95" i="1"/>
  <c r="F94" i="1"/>
  <c r="F93" i="1"/>
  <c r="F90" i="1"/>
  <c r="F89" i="1"/>
  <c r="F88" i="1"/>
  <c r="F87" i="1"/>
  <c r="F86" i="1"/>
  <c r="F85" i="1"/>
  <c r="E297" i="1"/>
  <c r="F314" i="1"/>
  <c r="F270" i="1"/>
  <c r="F228" i="1"/>
  <c r="F185" i="1"/>
  <c r="F141" i="1"/>
  <c r="F132" i="1"/>
  <c r="F138" i="1"/>
  <c r="F137" i="1"/>
  <c r="F136" i="1"/>
  <c r="F135" i="1"/>
  <c r="F131" i="1"/>
  <c r="F130" i="1"/>
  <c r="F129" i="1"/>
  <c r="F128" i="1"/>
  <c r="F127" i="1"/>
  <c r="F99" i="1"/>
  <c r="F25" i="1"/>
  <c r="F24" i="1"/>
  <c r="F424" i="1" l="1"/>
  <c r="F423" i="1"/>
  <c r="F14" i="1" l="1"/>
  <c r="F70" i="1"/>
  <c r="F112" i="1"/>
  <c r="F156" i="1"/>
  <c r="F199" i="1"/>
  <c r="F198" i="1"/>
  <c r="F20" i="1"/>
  <c r="F241" i="1"/>
  <c r="F253" i="1" l="1"/>
  <c r="F252" i="1"/>
  <c r="F251" i="1"/>
  <c r="F250" i="1"/>
  <c r="F249" i="1"/>
  <c r="F248" i="1"/>
  <c r="F247" i="1"/>
  <c r="F246" i="1"/>
  <c r="F245" i="1"/>
  <c r="F244" i="1"/>
  <c r="F240" i="1"/>
  <c r="F239" i="1"/>
  <c r="F238" i="1"/>
  <c r="F237" i="1"/>
  <c r="F211" i="1"/>
  <c r="F210" i="1"/>
  <c r="F209" i="1"/>
  <c r="F208" i="1"/>
  <c r="F207" i="1"/>
  <c r="F206" i="1"/>
  <c r="F205" i="1"/>
  <c r="F204" i="1"/>
  <c r="F203" i="1"/>
  <c r="F202" i="1"/>
  <c r="F197" i="1"/>
  <c r="F196" i="1"/>
  <c r="F195" i="1"/>
  <c r="F296" i="1"/>
  <c r="F295" i="1"/>
  <c r="F294" i="1"/>
  <c r="F293" i="1"/>
  <c r="F292" i="1"/>
  <c r="F291" i="1"/>
  <c r="F290" i="1"/>
  <c r="F289" i="1"/>
  <c r="F288" i="1"/>
  <c r="F287" i="1"/>
  <c r="F284" i="1"/>
  <c r="F283" i="1"/>
  <c r="F282" i="1"/>
  <c r="F281" i="1"/>
  <c r="F280" i="1"/>
  <c r="F168" i="1"/>
  <c r="F167" i="1"/>
  <c r="F166" i="1"/>
  <c r="F165" i="1"/>
  <c r="F164" i="1"/>
  <c r="F163" i="1"/>
  <c r="F162" i="1"/>
  <c r="F161" i="1"/>
  <c r="F160" i="1"/>
  <c r="F159" i="1"/>
  <c r="F155" i="1"/>
  <c r="F154" i="1"/>
  <c r="F153" i="1"/>
  <c r="F152" i="1"/>
  <c r="F124" i="1"/>
  <c r="F123" i="1"/>
  <c r="F122" i="1"/>
  <c r="F121" i="1"/>
  <c r="F120" i="1"/>
  <c r="F119" i="1"/>
  <c r="F118" i="1"/>
  <c r="F117" i="1"/>
  <c r="F116" i="1"/>
  <c r="F115" i="1"/>
  <c r="F111" i="1"/>
  <c r="F110" i="1"/>
  <c r="F109" i="1"/>
  <c r="F108" i="1"/>
  <c r="F82" i="1"/>
  <c r="F233" i="1" l="1"/>
  <c r="F474" i="1" s="1"/>
  <c r="F317" i="1"/>
  <c r="F478" i="1" s="1"/>
  <c r="F275" i="1"/>
  <c r="F476" i="1" s="1"/>
  <c r="F147" i="1"/>
  <c r="F470" i="1" s="1"/>
  <c r="F190" i="1"/>
  <c r="F472" i="1" l="1"/>
  <c r="F427" i="1"/>
  <c r="F431" i="1" l="1"/>
  <c r="F399" i="1"/>
  <c r="F398" i="1"/>
  <c r="F397" i="1"/>
  <c r="F380" i="1"/>
  <c r="F417" i="1" l="1"/>
  <c r="F482" i="1" s="1"/>
  <c r="F23" i="1" l="1"/>
  <c r="F422" i="1"/>
  <c r="F73" i="1"/>
  <c r="F12" i="1" l="1"/>
  <c r="F13" i="1"/>
  <c r="F421" i="1"/>
  <c r="F428" i="1"/>
  <c r="F17" i="1"/>
  <c r="F18" i="1"/>
  <c r="F19" i="1"/>
  <c r="F329" i="1"/>
  <c r="F328" i="1"/>
  <c r="F327" i="1"/>
  <c r="F326" i="1"/>
  <c r="F325" i="1"/>
  <c r="F324" i="1"/>
  <c r="F323" i="1"/>
  <c r="F322" i="1"/>
  <c r="F81" i="1"/>
  <c r="F80" i="1"/>
  <c r="F79" i="1"/>
  <c r="F78" i="1"/>
  <c r="F77" i="1"/>
  <c r="F76" i="1"/>
  <c r="F75" i="1"/>
  <c r="F74" i="1"/>
  <c r="F69" i="1"/>
  <c r="F68" i="1"/>
  <c r="F67" i="1"/>
  <c r="F66" i="1"/>
  <c r="F28" i="1"/>
  <c r="F104" i="1" l="1"/>
  <c r="F468" i="1" s="1"/>
  <c r="F462" i="1"/>
  <c r="F484" i="1" s="1"/>
  <c r="F367" i="1"/>
  <c r="F480" i="1" s="1"/>
  <c r="F62" i="1"/>
  <c r="F466" i="1" s="1"/>
  <c r="F530" i="1" l="1"/>
</calcChain>
</file>

<file path=xl/sharedStrings.xml><?xml version="1.0" encoding="utf-8"?>
<sst xmlns="http://schemas.openxmlformats.org/spreadsheetml/2006/main" count="693" uniqueCount="166">
  <si>
    <t>ELECTRICAL BILLS OF QUANTITIES</t>
  </si>
  <si>
    <t>Description</t>
  </si>
  <si>
    <t>Item</t>
  </si>
  <si>
    <t xml:space="preserve">General </t>
  </si>
  <si>
    <t>Unit</t>
  </si>
  <si>
    <t>Qty</t>
  </si>
  <si>
    <t xml:space="preserve"> Rate</t>
  </si>
  <si>
    <t xml:space="preserve"> Amount</t>
  </si>
  <si>
    <t>US$</t>
  </si>
  <si>
    <t>1</t>
  </si>
  <si>
    <t>A</t>
  </si>
  <si>
    <r>
      <t>Lighting points wired by 3x1.5mm</t>
    </r>
    <r>
      <rPr>
        <vertAlign val="superscript"/>
        <sz val="10"/>
        <rFont val="Arial"/>
        <family val="2"/>
      </rPr>
      <t>2</t>
    </r>
    <r>
      <rPr>
        <sz val="10"/>
        <rFont val="Arial"/>
        <family val="2"/>
      </rPr>
      <t xml:space="preserve"> SC PVC copper cables in 25mm heavy gauge PVC conduit  surface/concealed conduit with drops concealed in walls to switch positions complete with MK steel boxes and all accessories.</t>
    </r>
  </si>
  <si>
    <t>No</t>
  </si>
  <si>
    <t>B</t>
  </si>
  <si>
    <r>
      <t>Socket outlet points wired by 3 x 2.5mm</t>
    </r>
    <r>
      <rPr>
        <vertAlign val="superscript"/>
        <sz val="10"/>
        <rFont val="Arial"/>
        <family val="2"/>
      </rPr>
      <t>2</t>
    </r>
    <r>
      <rPr>
        <sz val="10"/>
        <rFont val="Arial"/>
        <family val="2"/>
      </rPr>
      <t xml:space="preserve"> SC PVC copper cables in 25mm heavy gauge PVC surface/concealed conduit/trunking complete with boxes for sockets on trunking and all accessories</t>
    </r>
  </si>
  <si>
    <t>C</t>
  </si>
  <si>
    <t>D</t>
  </si>
  <si>
    <t>m</t>
  </si>
  <si>
    <t>F</t>
  </si>
  <si>
    <t>G</t>
  </si>
  <si>
    <t>H</t>
  </si>
  <si>
    <t>I</t>
  </si>
  <si>
    <t>J</t>
  </si>
  <si>
    <t>Floor ducts 3x50mm heavy gauge PVC conduits embedded in the floor slab complete with all accessories.</t>
  </si>
  <si>
    <t>K</t>
  </si>
  <si>
    <t>L</t>
  </si>
  <si>
    <t>No.</t>
  </si>
  <si>
    <t>M</t>
  </si>
  <si>
    <t>N</t>
  </si>
  <si>
    <t>E1</t>
  </si>
  <si>
    <t>Total to collection page</t>
  </si>
  <si>
    <t>Light Switches</t>
  </si>
  <si>
    <t>10A/240V SP 1-Gang 1-Way white moulded plate switches c/w flush mounting box, as to CRABTREE Cat. No. 4070.</t>
  </si>
  <si>
    <t>10A/240V SP 1-Gang 2-Way white moulded plate switches c/w flush mounting box, as to CRABTREE Cat. No.4170.</t>
  </si>
  <si>
    <t>SOCKETS</t>
  </si>
  <si>
    <t>E</t>
  </si>
  <si>
    <t>13A SP 1-Gang  switched socket outlet for flush mounting and 1-Gang accessory box, as to CRABTREE</t>
  </si>
  <si>
    <t>13A 2-Gang switched surface socket outlet with 2A USB  charging outlets for flush mounting as to MK ELECTRIC Logic Plus Part No. K2743WHI.</t>
  </si>
  <si>
    <t>2</t>
  </si>
  <si>
    <t>First Floor</t>
  </si>
  <si>
    <t>Luminaire (as to luminaire schedule)</t>
  </si>
  <si>
    <t>E4</t>
  </si>
  <si>
    <t>10A/240V SP 2-Gang 1-Way white moulded plate switches c/w flush mounting box, as to CRABTREE .</t>
  </si>
  <si>
    <t>10A/240V SP 3-Gang 1-Way white moulded plate switches c/w flush mounting box, as to CRABTREE .</t>
  </si>
  <si>
    <t>13A SP 2-Gang  switched socket outlet for flush mounting and 1-Gang accessory box, as to CRABTREE Cat  No. 4304.</t>
  </si>
  <si>
    <t>3</t>
  </si>
  <si>
    <t>Earthing and Lightning Protection</t>
  </si>
  <si>
    <t>Copper tape of hard drawn high conductivity copper 3mm x 25mm cross section for horizontal and down conductors complete with fixing clips and all accessories as by FURSE or equal.</t>
  </si>
  <si>
    <t>Air terminals 20x1200mm complete with tape adapters, spikes and all accessories by FURSE or equal.</t>
  </si>
  <si>
    <t>Test clamp complete as by FURSE or equal.</t>
  </si>
  <si>
    <r>
      <t xml:space="preserve">General Earthing by </t>
    </r>
    <r>
      <rPr>
        <sz val="10"/>
        <rFont val="Arial"/>
        <family val="2"/>
      </rPr>
      <t>stranded bare copper cable laid in the ground round the building foundations and bonded with bimetallic clamps to a selected bar in selected columns complete with all accessories.</t>
    </r>
  </si>
  <si>
    <t xml:space="preserve">Earth Electrodes 20x1200mm made from hard drawn copper complete with cap, earth clamp and all accessories as made by FURSE or equal. </t>
  </si>
  <si>
    <t xml:space="preserve">Earth inspection pit (manhole) 300x300x300mm complete with cover marked with EARTH symbol complete with all accessories as made by FURSE or equal approved. </t>
  </si>
  <si>
    <t xml:space="preserve">Allow a provisional sum for making improvement on earth electrode resistance as per IEE wiring regulations and code of practice, so as to obtain a final earth resistance value NOT exceeding 10 Ohms. </t>
  </si>
  <si>
    <t>Earth the main distribution panel board/low voltage system as per regulations and code of practice, so as to achieve a final earth resistance value NOT exceeding 1.00 Ohm.</t>
  </si>
  <si>
    <t>4</t>
  </si>
  <si>
    <t>SUMMARY</t>
  </si>
  <si>
    <t>Total for Ground Floor</t>
  </si>
  <si>
    <t>Total for Earthing and Lightning Protection</t>
  </si>
  <si>
    <t>E9</t>
  </si>
  <si>
    <t>Total Electrical Works</t>
  </si>
  <si>
    <r>
      <t>Cabling from the Main Distribution Board to DB1, by 3x25mm</t>
    </r>
    <r>
      <rPr>
        <vertAlign val="superscript"/>
        <sz val="10"/>
        <rFont val="Arial"/>
        <family val="2"/>
      </rPr>
      <t>2</t>
    </r>
    <r>
      <rPr>
        <sz val="10"/>
        <rFont val="Arial"/>
        <family val="2"/>
      </rPr>
      <t xml:space="preserve"> SC PVC-I Copper cables in PVC duct/Cable trays/surface complete with terminations, glanding, clipping and all accessories.</t>
    </r>
  </si>
  <si>
    <t>100A 6-way SPN MCB with the following outgoings: 3x32A SPN RCCB, 1x20A SP MCBs, 1x45A DP MCB and all accessories as made by ABB or equal approved.</t>
  </si>
  <si>
    <t>10A/240V SP 1-Gang 3-Way white moulded plate switches c/w flush mounting box, as to CRABTREE .</t>
  </si>
  <si>
    <t>F2</t>
  </si>
  <si>
    <t>C1</t>
  </si>
  <si>
    <t>Luminaire (As per luminaire schedule)</t>
  </si>
  <si>
    <t>Provide all materials, install, connect and set to work the following all as described in the Specifications and Drawings.</t>
  </si>
  <si>
    <t xml:space="preserve">The Contractor will inspect site, study drawings, and supply, install, test and commission to the satisfaction of the Engineer, lifts with the following specific details:- </t>
  </si>
  <si>
    <t xml:space="preserve">Discrepencies between drawings and specifications must be brought to the attention of the Engineer before supplying the equipment. </t>
  </si>
  <si>
    <t xml:space="preserve">The Contractor shall be responsible for the supply and installation of  fully operational lifts with a certificate from the Government Lift Inspector and a warranty from the manufacturers of at least 1 year for each lift. </t>
  </si>
  <si>
    <t>The lift control for each lift shall include an automatic rescue device which shall in case of power failure move the lift car to the next landing and automatically opens the doors.</t>
  </si>
  <si>
    <t xml:space="preserve"> </t>
  </si>
  <si>
    <t>Drive:      On the side of shaft (Machine Roomless)</t>
  </si>
  <si>
    <t xml:space="preserve">MOD-BUS interface and controls </t>
  </si>
  <si>
    <t>Openings:     Double leaf centre telescoping opening, 900mm wide.</t>
  </si>
  <si>
    <t xml:space="preserve">Cabin:           To be stainless steel </t>
  </si>
  <si>
    <t>All doors:      To be stainless steel</t>
  </si>
  <si>
    <t>Landing door at Ground floor: In mirror finish S. Steel</t>
  </si>
  <si>
    <t>Door architraves:   To be in stainless steel</t>
  </si>
  <si>
    <t>Position indicator:  At main landing</t>
  </si>
  <si>
    <t>Direction indicator: At all floors</t>
  </si>
  <si>
    <t>Power Supply: 415V, 3 phase 50Hz</t>
  </si>
  <si>
    <t>Voltage stabilizer for the lift</t>
  </si>
  <si>
    <t>Builder's works</t>
  </si>
  <si>
    <t>Fireman's Switch</t>
  </si>
  <si>
    <t>Total Carried to Collection</t>
  </si>
  <si>
    <t>Capacity:   544kg (8 persons).</t>
  </si>
  <si>
    <t>Number of Stops  (Max) 16</t>
  </si>
  <si>
    <t>Number of Opennings 16</t>
  </si>
  <si>
    <t>Travel:  45 metres (Max.)</t>
  </si>
  <si>
    <t>Drive: 	Gearless/ frequency-controlled</t>
  </si>
  <si>
    <t>Energy Meters</t>
  </si>
  <si>
    <t>Three phase Electronic Energy Check Meters complete with  a MOD-BUS interface, and all accessories and to UMEME Standards and approval.</t>
  </si>
  <si>
    <t>POWER SUPPLY AND CABLING</t>
  </si>
  <si>
    <t xml:space="preserve">PASSENGER LIFT </t>
  </si>
  <si>
    <t>Ordinary passenger lift as to Schindler 3100 or approved equivalent</t>
  </si>
  <si>
    <t>Speed:            1m/s</t>
  </si>
  <si>
    <t>Shaft:   1550mm wide by 1650mm deep (inside dimensions)</t>
  </si>
  <si>
    <t>Cabling from MDB to Lift 1 and Lift 2 by 4corex25mm2 XLPE/ PVC Copper cables in PVC duct/Cable trays/surface complete with terminations, glanding, clipping and all accessories.</t>
  </si>
  <si>
    <t>Cable ducts</t>
  </si>
  <si>
    <t>Total for Second Floor</t>
  </si>
  <si>
    <t>Total for Third Floor</t>
  </si>
  <si>
    <t>Total for Fourth Floor</t>
  </si>
  <si>
    <t>Total for Fifth Floor</t>
  </si>
  <si>
    <t>Total for Sixth Floor</t>
  </si>
  <si>
    <t>5</t>
  </si>
  <si>
    <t>6</t>
  </si>
  <si>
    <t>7</t>
  </si>
  <si>
    <t>8</t>
  </si>
  <si>
    <t xml:space="preserve"> Total for Power Supply and Cabling</t>
  </si>
  <si>
    <t>D1</t>
  </si>
  <si>
    <t>D2</t>
  </si>
  <si>
    <t>C2</t>
  </si>
  <si>
    <t>P1</t>
  </si>
  <si>
    <t>P2</t>
  </si>
  <si>
    <t>CH1</t>
  </si>
  <si>
    <t>CH2</t>
  </si>
  <si>
    <t>CH3</t>
  </si>
  <si>
    <t>F4</t>
  </si>
  <si>
    <t>O</t>
  </si>
  <si>
    <t>P</t>
  </si>
  <si>
    <t>Q</t>
  </si>
  <si>
    <t>R</t>
  </si>
  <si>
    <t>S</t>
  </si>
  <si>
    <t>T</t>
  </si>
  <si>
    <t>U</t>
  </si>
  <si>
    <t>V</t>
  </si>
  <si>
    <t>W</t>
  </si>
  <si>
    <t>Second Floor</t>
  </si>
  <si>
    <t>Third Floor</t>
  </si>
  <si>
    <t>Fourth Floor</t>
  </si>
  <si>
    <t>Fifth Floor</t>
  </si>
  <si>
    <t>Sixth Floor</t>
  </si>
  <si>
    <t>9</t>
  </si>
  <si>
    <t>10</t>
  </si>
  <si>
    <t>Total for passenger lift</t>
  </si>
  <si>
    <t>Total for First Floor</t>
  </si>
  <si>
    <t>E2</t>
  </si>
  <si>
    <t>E3</t>
  </si>
  <si>
    <t>E5</t>
  </si>
  <si>
    <t>E6</t>
  </si>
  <si>
    <t>E7</t>
  </si>
  <si>
    <t>E8</t>
  </si>
  <si>
    <t>E10</t>
  </si>
  <si>
    <t>11</t>
  </si>
  <si>
    <t>E11</t>
  </si>
  <si>
    <t>The lift shall be under group programmable control using an open source Management system which will operate under the Building Operating System. The supplier must ensure compatibility of the two systems.</t>
  </si>
  <si>
    <t>Place 100mm diameter PVC pipe sleeves in beams for passing conduits to the Structural Engineer's approval.</t>
  </si>
  <si>
    <t xml:space="preserve">Provide all materials, install, connect and set to work the following all as described in the Specifications and Drawings. All light fitiings (luminaire) are listed are accrording to luminaire schedule </t>
  </si>
  <si>
    <t>B1</t>
  </si>
  <si>
    <t>3-Phase metering unit with programmable digital meter to measure Voltage ( line to line and line to neutral), Current, frequency, Watts, KVA, KVAr, Watt-hours as to UMEME Standards</t>
  </si>
  <si>
    <t>400A 24 way TPN MCB wall mounted surface  Distribution Board with full length key-lockable door and instrumentation and complete with integral 400A TPN MCCB incomer, and the following outgoings: 2x100A TPN MCB, 48x100A SPN MCB, 3X32A SPN RCCB, 2x20 MCB with Digital Universal meter,  Over-voltage/under-voltage and phase failure protection and surge protection, MOD-BUS interface, and all accessories as Blockset made by Schneider or equal approved.</t>
  </si>
  <si>
    <t>PROPOSED APARTMENT BLOCK</t>
  </si>
  <si>
    <t>10A/240V SP 1-Gang 3-Way white moulded plate switches c/w flush mounting box, as to CRABTREE</t>
  </si>
  <si>
    <t>Ground floor and site</t>
  </si>
  <si>
    <t>Photocell with 6A switching capacity, up to 1500 lux
switch-on level as to Legrand Cat. No. 069517.</t>
  </si>
  <si>
    <t>X</t>
  </si>
  <si>
    <t>Y</t>
  </si>
  <si>
    <t xml:space="preserve">Undersink water heater as Heatrae Sadia UTC 10Litres, with 3kW
heating element and a thermostat complete with all accessories </t>
  </si>
  <si>
    <t>EQUIPMENT</t>
  </si>
  <si>
    <t>Z</t>
  </si>
  <si>
    <r>
      <t xml:space="preserve">Main power supply cable: 4corex185mm2XLPE/SWA/ PVC Copper cables in PVC duct/Cable trays/surface complete with terminations, glanding, clipping and all accessories. (The measurement is Route Length; </t>
    </r>
    <r>
      <rPr>
        <i/>
        <sz val="10"/>
        <color rgb="FF002060"/>
        <rFont val="Arial"/>
        <family val="2"/>
      </rPr>
      <t>to be confirmed on site</t>
    </r>
    <r>
      <rPr>
        <sz val="10"/>
        <color theme="1"/>
        <rFont val="Arial"/>
        <family val="2"/>
      </rPr>
      <t>)</t>
    </r>
  </si>
  <si>
    <r>
      <t>Floor ducts 100x50mm heavy vertical gauge cable tray for carry cabling from Main Distribution board MDB to individual Distribution Boards (</t>
    </r>
    <r>
      <rPr>
        <b/>
        <sz val="10"/>
        <rFont val="Arial"/>
        <family val="2"/>
      </rPr>
      <t>DB1-DB48</t>
    </r>
    <r>
      <rPr>
        <sz val="10"/>
        <rFont val="Arial"/>
        <family val="2"/>
      </rPr>
      <t xml:space="preserve">) </t>
    </r>
  </si>
  <si>
    <t>45A DP main switch and 13A switch socket  
outlet. Faceplate marked ‘cooker’ for flush mounting as to CRATREE Cat No. 4521/1</t>
  </si>
  <si>
    <t>20A DP Control Switch fitted with neon indicator  and marked ’water heater‘ as to CRABTREE Cat No.  4015/31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</si>
</sst>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_);_(@_)"/>
    <numFmt numFmtId="165" formatCode="_(* #,##0_);_(* \(#,##0\);_(* &quot;-&quot;??_);_(@_)"/>
    <numFmt numFmtId="172" formatCode="_(* #,##0_);_(* \(#,##0\);_(* \-??_);_(@_)"/>
  </numFmts>
  <fonts count="13" x14ac:knownFonts="1">
    <font>
      <sz val="11"/>
      <color theme="1"/>
      <name val="Calibri"/>
      <family val="2"/>
      <scheme val="minor"/>
    </font>
    <font>
      <sz val="10"/>
      <name val="Arial"/>
      <family val="2"/>
    </font>
    <font>
      <b/>
      <sz val="10"/>
      <name val="Arial"/>
      <family val="2"/>
    </font>
    <font>
      <b/>
      <u/>
      <sz val="10"/>
      <name val="Arial"/>
      <family val="2"/>
    </font>
    <font>
      <vertAlign val="superscript"/>
      <sz val="10"/>
      <name val="Arial"/>
      <family val="2"/>
    </font>
    <font>
      <sz val="10"/>
      <color rgb="FFFF0000"/>
      <name val="Arial"/>
      <family val="2"/>
    </font>
    <font>
      <sz val="8"/>
      <name val="Arial"/>
      <family val="2"/>
    </font>
    <font>
      <sz val="11"/>
      <name val="돋움"/>
      <family val="3"/>
      <charset val="129"/>
    </font>
    <font>
      <sz val="10"/>
      <color theme="1"/>
      <name val="Arial"/>
      <family val="2"/>
    </font>
    <font>
      <b/>
      <sz val="10"/>
      <color theme="1"/>
      <name val="Arial"/>
      <family val="2"/>
    </font>
    <font>
      <sz val="11"/>
      <name val="Calibri"/>
      <family val="2"/>
      <scheme val="minor"/>
    </font>
    <font>
      <sz val="8"/>
      <color theme="1"/>
      <name val="Arial"/>
      <family val="2"/>
    </font>
    <font>
      <i/>
      <sz val="10"/>
      <color rgb="FF00206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13"/>
        <bgColor indexed="3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double">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double">
        <color indexed="64"/>
      </right>
      <top style="thin">
        <color indexed="64"/>
      </top>
      <bottom style="double">
        <color indexed="64"/>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double">
        <color indexed="64"/>
      </left>
      <right style="double">
        <color indexed="64"/>
      </right>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double">
        <color indexed="64"/>
      </right>
      <top style="double">
        <color indexed="64"/>
      </top>
      <bottom/>
      <diagonal/>
    </border>
    <border>
      <left/>
      <right style="double">
        <color indexed="64"/>
      </right>
      <top style="thin">
        <color indexed="64"/>
      </top>
      <bottom style="double">
        <color indexed="64"/>
      </bottom>
      <diagonal/>
    </border>
    <border>
      <left/>
      <right style="double">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bottom/>
      <diagonal/>
    </border>
    <border>
      <left style="thin">
        <color indexed="64"/>
      </left>
      <right style="thin">
        <color indexed="64"/>
      </right>
      <top style="thin">
        <color indexed="64"/>
      </top>
      <bottom/>
      <diagonal/>
    </border>
  </borders>
  <cellStyleXfs count="3">
    <xf numFmtId="0" fontId="0" fillId="0" borderId="0"/>
    <xf numFmtId="164" fontId="1" fillId="0" borderId="0" applyFill="0" applyBorder="0" applyAlignment="0" applyProtection="0"/>
    <xf numFmtId="0" fontId="7" fillId="0" borderId="0"/>
  </cellStyleXfs>
  <cellXfs count="173">
    <xf numFmtId="0" fontId="0" fillId="0" borderId="0" xfId="0"/>
    <xf numFmtId="0" fontId="1" fillId="0" borderId="0" xfId="0" applyFont="1" applyAlignment="1">
      <alignment vertical="top"/>
    </xf>
    <xf numFmtId="0" fontId="2" fillId="0" borderId="0" xfId="0" applyFont="1" applyBorder="1" applyAlignment="1">
      <alignment vertical="top" wrapText="1"/>
    </xf>
    <xf numFmtId="0" fontId="2" fillId="0" borderId="0" xfId="0" applyFont="1" applyBorder="1" applyAlignment="1">
      <alignment horizontal="left" vertical="top" wrapText="1"/>
    </xf>
    <xf numFmtId="0" fontId="2" fillId="0" borderId="0" xfId="0" applyFont="1" applyBorder="1" applyAlignment="1">
      <alignment horizontal="center" vertical="top" wrapText="1"/>
    </xf>
    <xf numFmtId="0" fontId="1" fillId="0" borderId="0" xfId="0" applyFont="1" applyBorder="1" applyAlignment="1">
      <alignment vertical="top"/>
    </xf>
    <xf numFmtId="0" fontId="1" fillId="0" borderId="0" xfId="0" applyFont="1" applyAlignment="1">
      <alignment horizontal="center" vertical="top"/>
    </xf>
    <xf numFmtId="0" fontId="2" fillId="0" borderId="2" xfId="0" applyFont="1" applyBorder="1" applyAlignment="1">
      <alignment horizontal="center" vertical="top" wrapText="1"/>
    </xf>
    <xf numFmtId="0" fontId="2" fillId="0" borderId="2" xfId="0" applyFont="1" applyBorder="1" applyAlignment="1">
      <alignment horizontal="left" vertical="top" wrapText="1"/>
    </xf>
    <xf numFmtId="0" fontId="2" fillId="0" borderId="2" xfId="0" applyFont="1" applyBorder="1" applyAlignment="1">
      <alignment vertical="top" wrapText="1"/>
    </xf>
    <xf numFmtId="0" fontId="2" fillId="0" borderId="4" xfId="0" applyFont="1" applyBorder="1" applyAlignment="1">
      <alignment horizontal="left" vertical="top" wrapText="1"/>
    </xf>
    <xf numFmtId="0" fontId="2" fillId="0" borderId="4" xfId="0" applyFont="1" applyBorder="1" applyAlignment="1">
      <alignment horizontal="center" vertical="top" wrapText="1"/>
    </xf>
    <xf numFmtId="0" fontId="2" fillId="0" borderId="4" xfId="0" applyFont="1" applyBorder="1" applyAlignment="1">
      <alignment vertical="top" wrapText="1"/>
    </xf>
    <xf numFmtId="0" fontId="2" fillId="0" borderId="3" xfId="0" applyFont="1" applyBorder="1" applyAlignment="1">
      <alignment horizontal="center" vertical="top" wrapText="1"/>
    </xf>
    <xf numFmtId="0" fontId="2" fillId="0" borderId="3" xfId="0" applyFont="1" applyBorder="1" applyAlignment="1">
      <alignment vertical="top" wrapText="1"/>
    </xf>
    <xf numFmtId="0" fontId="2" fillId="0" borderId="6" xfId="0" applyFont="1" applyBorder="1" applyAlignment="1">
      <alignment vertical="top" wrapText="1"/>
    </xf>
    <xf numFmtId="0" fontId="2" fillId="0" borderId="1" xfId="0" applyFont="1" applyBorder="1" applyAlignment="1">
      <alignment horizontal="center" vertical="top"/>
    </xf>
    <xf numFmtId="165" fontId="2" fillId="0" borderId="5" xfId="1" applyNumberFormat="1" applyFont="1" applyBorder="1" applyAlignment="1">
      <alignment horizontal="center" vertical="top"/>
    </xf>
    <xf numFmtId="165" fontId="2" fillId="0" borderId="7" xfId="1" applyNumberFormat="1" applyFont="1" applyBorder="1" applyAlignment="1">
      <alignment vertical="top" wrapText="1"/>
    </xf>
    <xf numFmtId="0" fontId="1" fillId="0" borderId="8" xfId="0" applyFont="1" applyFill="1" applyBorder="1" applyAlignment="1">
      <alignment horizontal="left" vertical="top"/>
    </xf>
    <xf numFmtId="165" fontId="1" fillId="0" borderId="5" xfId="1" applyNumberFormat="1" applyFont="1" applyBorder="1" applyAlignment="1">
      <alignment horizontal="center" vertical="top"/>
    </xf>
    <xf numFmtId="0" fontId="1" fillId="0" borderId="1" xfId="0" applyFont="1" applyBorder="1" applyAlignment="1">
      <alignment horizontal="center" vertical="top"/>
    </xf>
    <xf numFmtId="165" fontId="2" fillId="0" borderId="7" xfId="1" applyNumberFormat="1" applyFont="1" applyBorder="1" applyAlignment="1">
      <alignment vertical="top"/>
    </xf>
    <xf numFmtId="0" fontId="3" fillId="0" borderId="6" xfId="0" applyFont="1" applyFill="1" applyBorder="1" applyAlignment="1">
      <alignment vertical="center" wrapText="1"/>
    </xf>
    <xf numFmtId="165" fontId="2" fillId="0" borderId="9" xfId="1" applyNumberFormat="1" applyFont="1" applyBorder="1" applyAlignment="1">
      <alignment horizontal="center" vertical="top"/>
    </xf>
    <xf numFmtId="165" fontId="2" fillId="0" borderId="10" xfId="1" applyNumberFormat="1" applyFont="1" applyBorder="1" applyAlignment="1">
      <alignment horizontal="center" vertical="top"/>
    </xf>
    <xf numFmtId="165" fontId="2" fillId="0" borderId="11" xfId="1" applyNumberFormat="1" applyFont="1" applyBorder="1" applyAlignment="1">
      <alignment vertical="top"/>
    </xf>
    <xf numFmtId="165" fontId="2" fillId="0" borderId="11" xfId="1" applyNumberFormat="1" applyFont="1" applyBorder="1" applyAlignment="1">
      <alignment horizontal="right" vertical="top"/>
    </xf>
    <xf numFmtId="165" fontId="2" fillId="0" borderId="12" xfId="1" applyNumberFormat="1" applyFont="1" applyBorder="1" applyAlignment="1">
      <alignment vertical="top"/>
    </xf>
    <xf numFmtId="165" fontId="1" fillId="0" borderId="9" xfId="1" applyNumberFormat="1" applyFont="1" applyBorder="1" applyAlignment="1">
      <alignment horizontal="center" vertical="top"/>
    </xf>
    <xf numFmtId="0" fontId="1" fillId="0" borderId="13" xfId="0" applyFont="1" applyBorder="1" applyAlignment="1">
      <alignment horizontal="center" vertical="top"/>
    </xf>
    <xf numFmtId="165" fontId="1" fillId="0" borderId="11" xfId="1" applyNumberFormat="1" applyFont="1" applyBorder="1" applyAlignment="1">
      <alignment vertical="top"/>
    </xf>
    <xf numFmtId="165" fontId="1" fillId="0" borderId="11" xfId="1" applyNumberFormat="1" applyFont="1" applyBorder="1" applyAlignment="1">
      <alignment horizontal="right" vertical="top"/>
    </xf>
    <xf numFmtId="0" fontId="1" fillId="0" borderId="6" xfId="0" applyFont="1" applyBorder="1" applyAlignment="1">
      <alignment vertical="top" wrapText="1"/>
    </xf>
    <xf numFmtId="0" fontId="1" fillId="0" borderId="6" xfId="0" applyFont="1" applyFill="1" applyBorder="1" applyAlignment="1">
      <alignment vertical="top" wrapText="1"/>
    </xf>
    <xf numFmtId="165" fontId="1" fillId="0" borderId="9" xfId="1" applyNumberFormat="1" applyFont="1" applyFill="1" applyBorder="1" applyAlignment="1">
      <alignment horizontal="center" vertical="top"/>
    </xf>
    <xf numFmtId="0" fontId="1" fillId="0" borderId="13" xfId="0" applyFont="1" applyFill="1" applyBorder="1" applyAlignment="1">
      <alignment horizontal="center" vertical="top"/>
    </xf>
    <xf numFmtId="165" fontId="1" fillId="0" borderId="11" xfId="1" applyNumberFormat="1" applyFont="1" applyFill="1" applyBorder="1" applyAlignment="1">
      <alignment vertical="top"/>
    </xf>
    <xf numFmtId="0" fontId="1" fillId="0" borderId="0" xfId="0" applyFont="1" applyFill="1" applyAlignment="1">
      <alignment vertical="top"/>
    </xf>
    <xf numFmtId="165" fontId="1" fillId="0" borderId="11" xfId="0" applyNumberFormat="1" applyFont="1" applyFill="1" applyBorder="1" applyAlignment="1">
      <alignment vertical="top"/>
    </xf>
    <xf numFmtId="0" fontId="1" fillId="3" borderId="0" xfId="0" applyFont="1" applyFill="1" applyAlignment="1">
      <alignment vertical="top"/>
    </xf>
    <xf numFmtId="0" fontId="1" fillId="0" borderId="9" xfId="0" applyFont="1" applyBorder="1" applyAlignment="1">
      <alignment horizontal="center" vertical="top"/>
    </xf>
    <xf numFmtId="0" fontId="5" fillId="0" borderId="0" xfId="0" applyFont="1" applyAlignment="1">
      <alignment vertical="top"/>
    </xf>
    <xf numFmtId="165" fontId="2" fillId="0" borderId="15" xfId="1" applyNumberFormat="1" applyFont="1" applyBorder="1" applyAlignment="1">
      <alignment horizontal="left" vertical="top" wrapText="1"/>
    </xf>
    <xf numFmtId="165" fontId="2" fillId="0" borderId="14" xfId="1" applyNumberFormat="1" applyFont="1" applyBorder="1" applyAlignment="1">
      <alignment horizontal="center" vertical="top"/>
    </xf>
    <xf numFmtId="165" fontId="2" fillId="0" borderId="16" xfId="1" applyNumberFormat="1" applyFont="1" applyBorder="1" applyAlignment="1">
      <alignment horizontal="center" vertical="top"/>
    </xf>
    <xf numFmtId="165" fontId="2" fillId="0" borderId="12" xfId="1" applyNumberFormat="1" applyFont="1" applyBorder="1" applyAlignment="1">
      <alignment horizontal="right" vertical="top"/>
    </xf>
    <xf numFmtId="165" fontId="2" fillId="0" borderId="13" xfId="1" applyNumberFormat="1" applyFont="1" applyBorder="1" applyAlignment="1">
      <alignment horizontal="center" vertical="top"/>
    </xf>
    <xf numFmtId="37" fontId="1" fillId="0" borderId="6" xfId="0" applyNumberFormat="1" applyFont="1" applyBorder="1" applyAlignment="1">
      <alignment vertical="top" wrapText="1"/>
    </xf>
    <xf numFmtId="37" fontId="1" fillId="0" borderId="6" xfId="0" applyNumberFormat="1" applyFont="1" applyFill="1" applyBorder="1" applyAlignment="1">
      <alignment wrapText="1"/>
    </xf>
    <xf numFmtId="165" fontId="1" fillId="0" borderId="17" xfId="1" applyNumberFormat="1" applyFont="1" applyBorder="1" applyAlignment="1">
      <alignment horizontal="right" vertical="top"/>
    </xf>
    <xf numFmtId="165" fontId="2" fillId="0" borderId="6" xfId="1" applyNumberFormat="1" applyFont="1" applyBorder="1" applyAlignment="1">
      <alignment horizontal="left" vertical="top" wrapText="1"/>
    </xf>
    <xf numFmtId="165" fontId="1" fillId="0" borderId="12" xfId="1" applyNumberFormat="1" applyFont="1" applyBorder="1" applyAlignment="1">
      <alignment horizontal="right" vertical="top"/>
    </xf>
    <xf numFmtId="0" fontId="1" fillId="0" borderId="9" xfId="0" applyFont="1" applyBorder="1" applyAlignment="1">
      <alignment vertical="top"/>
    </xf>
    <xf numFmtId="0" fontId="1" fillId="0" borderId="6" xfId="0" applyFont="1" applyBorder="1" applyAlignment="1">
      <alignment vertical="top"/>
    </xf>
    <xf numFmtId="0" fontId="5" fillId="0" borderId="6" xfId="0" applyFont="1" applyBorder="1" applyAlignment="1">
      <alignment vertical="top" wrapText="1"/>
    </xf>
    <xf numFmtId="165" fontId="2" fillId="0" borderId="18" xfId="1" applyNumberFormat="1" applyFont="1" applyBorder="1" applyAlignment="1">
      <alignment horizontal="center" vertical="top"/>
    </xf>
    <xf numFmtId="0" fontId="6" fillId="0" borderId="0" xfId="0" applyFont="1" applyBorder="1" applyAlignment="1">
      <alignment vertical="top"/>
    </xf>
    <xf numFmtId="4" fontId="6" fillId="0" borderId="0" xfId="1" applyNumberFormat="1" applyFont="1" applyFill="1" applyBorder="1" applyAlignment="1">
      <alignment vertical="top" wrapText="1"/>
    </xf>
    <xf numFmtId="0" fontId="8" fillId="0" borderId="6" xfId="2" applyFont="1" applyBorder="1" applyAlignment="1">
      <alignment vertical="top" wrapText="1"/>
    </xf>
    <xf numFmtId="0" fontId="1" fillId="0" borderId="10" xfId="0" applyFont="1" applyBorder="1" applyAlignment="1">
      <alignment horizontal="center" vertical="top"/>
    </xf>
    <xf numFmtId="0" fontId="1" fillId="0" borderId="11" xfId="0" applyFont="1" applyBorder="1" applyAlignment="1">
      <alignment vertical="top"/>
    </xf>
    <xf numFmtId="165" fontId="2" fillId="0" borderId="15" xfId="1" applyNumberFormat="1" applyFont="1" applyBorder="1" applyAlignment="1">
      <alignment horizontal="left" vertical="top"/>
    </xf>
    <xf numFmtId="165" fontId="5" fillId="0" borderId="9" xfId="1" applyNumberFormat="1" applyFont="1" applyBorder="1" applyAlignment="1">
      <alignment horizontal="center" vertical="top"/>
    </xf>
    <xf numFmtId="0" fontId="5" fillId="0" borderId="13" xfId="0" applyFont="1" applyBorder="1" applyAlignment="1">
      <alignment horizontal="center" vertical="top"/>
    </xf>
    <xf numFmtId="165" fontId="5" fillId="0" borderId="11" xfId="1" applyNumberFormat="1" applyFont="1" applyBorder="1" applyAlignment="1">
      <alignment vertical="top"/>
    </xf>
    <xf numFmtId="165" fontId="5" fillId="0" borderId="11" xfId="1" applyNumberFormat="1" applyFont="1" applyBorder="1" applyAlignment="1">
      <alignment horizontal="right" vertical="top"/>
    </xf>
    <xf numFmtId="37" fontId="5" fillId="0" borderId="6" xfId="0" applyNumberFormat="1" applyFont="1" applyBorder="1" applyAlignment="1">
      <alignment vertical="top" wrapText="1"/>
    </xf>
    <xf numFmtId="0" fontId="9" fillId="0" borderId="6" xfId="0" applyFont="1" applyBorder="1" applyAlignment="1">
      <alignment vertical="top" wrapText="1"/>
    </xf>
    <xf numFmtId="165" fontId="8" fillId="0" borderId="9" xfId="1" applyNumberFormat="1" applyFont="1" applyBorder="1" applyAlignment="1">
      <alignment horizontal="center" vertical="top"/>
    </xf>
    <xf numFmtId="0" fontId="8" fillId="0" borderId="13" xfId="0" applyFont="1" applyBorder="1" applyAlignment="1">
      <alignment horizontal="center" vertical="top"/>
    </xf>
    <xf numFmtId="165" fontId="8" fillId="0" borderId="11" xfId="1" applyNumberFormat="1" applyFont="1" applyBorder="1" applyAlignment="1">
      <alignment vertical="top"/>
    </xf>
    <xf numFmtId="165" fontId="8" fillId="0" borderId="11" xfId="1" applyNumberFormat="1" applyFont="1" applyBorder="1" applyAlignment="1">
      <alignment horizontal="right" vertical="top"/>
    </xf>
    <xf numFmtId="0" fontId="8" fillId="0" borderId="6" xfId="0" applyFont="1" applyBorder="1" applyAlignment="1">
      <alignment vertical="top" wrapText="1"/>
    </xf>
    <xf numFmtId="0" fontId="8" fillId="0" borderId="6" xfId="0" applyFont="1" applyFill="1" applyBorder="1" applyAlignment="1">
      <alignment vertical="top" wrapText="1"/>
    </xf>
    <xf numFmtId="165" fontId="8" fillId="0" borderId="9" xfId="1" applyNumberFormat="1" applyFont="1" applyFill="1" applyBorder="1" applyAlignment="1">
      <alignment horizontal="center" vertical="top"/>
    </xf>
    <xf numFmtId="0" fontId="8" fillId="0" borderId="13" xfId="0" applyFont="1" applyFill="1" applyBorder="1" applyAlignment="1">
      <alignment horizontal="center" vertical="top"/>
    </xf>
    <xf numFmtId="165" fontId="8" fillId="0" borderId="11" xfId="1" applyNumberFormat="1" applyFont="1" applyFill="1" applyBorder="1" applyAlignment="1">
      <alignment vertical="top"/>
    </xf>
    <xf numFmtId="0" fontId="2" fillId="0" borderId="9" xfId="0" applyFont="1" applyBorder="1" applyAlignment="1">
      <alignment vertical="top" wrapText="1"/>
    </xf>
    <xf numFmtId="165" fontId="1" fillId="0" borderId="13" xfId="1" applyNumberFormat="1" applyBorder="1" applyAlignment="1">
      <alignment horizontal="center" vertical="top"/>
    </xf>
    <xf numFmtId="165" fontId="1" fillId="0" borderId="11" xfId="1" applyNumberFormat="1" applyBorder="1" applyAlignment="1">
      <alignment horizontal="right" vertical="top"/>
    </xf>
    <xf numFmtId="0" fontId="1" fillId="0" borderId="9" xfId="0" applyFont="1" applyBorder="1" applyAlignment="1">
      <alignment vertical="top" wrapText="1"/>
    </xf>
    <xf numFmtId="165" fontId="2" fillId="0" borderId="20" xfId="1" applyNumberFormat="1" applyFont="1" applyBorder="1" applyAlignment="1">
      <alignment horizontal="right" vertical="top"/>
    </xf>
    <xf numFmtId="165" fontId="1" fillId="0" borderId="12" xfId="1" applyNumberFormat="1" applyBorder="1" applyAlignment="1">
      <alignment horizontal="right" vertical="top"/>
    </xf>
    <xf numFmtId="165" fontId="1" fillId="0" borderId="9" xfId="1" applyNumberFormat="1" applyBorder="1" applyAlignment="1">
      <alignment horizontal="center" vertical="top"/>
    </xf>
    <xf numFmtId="165" fontId="2" fillId="0" borderId="0" xfId="1" applyNumberFormat="1" applyFont="1" applyBorder="1" applyAlignment="1">
      <alignment horizontal="right" vertical="top"/>
    </xf>
    <xf numFmtId="165" fontId="8" fillId="0" borderId="9" xfId="1" applyNumberFormat="1" applyFont="1" applyFill="1" applyBorder="1" applyAlignment="1">
      <alignment horizontal="center" vertical="top" wrapText="1"/>
    </xf>
    <xf numFmtId="0" fontId="8" fillId="0" borderId="13" xfId="0" applyFont="1" applyFill="1" applyBorder="1" applyAlignment="1">
      <alignment horizontal="center" vertical="top" wrapText="1"/>
    </xf>
    <xf numFmtId="165" fontId="8" fillId="0" borderId="11" xfId="1" applyNumberFormat="1" applyFont="1" applyBorder="1" applyAlignment="1">
      <alignment horizontal="right" vertical="top" wrapText="1"/>
    </xf>
    <xf numFmtId="0" fontId="1" fillId="0" borderId="0" xfId="0" applyFont="1" applyAlignment="1">
      <alignment vertical="top" wrapText="1"/>
    </xf>
    <xf numFmtId="165" fontId="1" fillId="0" borderId="9" xfId="1" applyNumberFormat="1" applyBorder="1" applyAlignment="1">
      <alignment horizontal="center" vertical="top" wrapText="1"/>
    </xf>
    <xf numFmtId="165" fontId="1" fillId="0" borderId="11" xfId="1" applyNumberFormat="1" applyBorder="1" applyAlignment="1">
      <alignment horizontal="right" vertical="top" wrapText="1"/>
    </xf>
    <xf numFmtId="0" fontId="0" fillId="0" borderId="0" xfId="0" applyAlignment="1">
      <alignment vertical="top" wrapText="1"/>
    </xf>
    <xf numFmtId="0" fontId="1" fillId="4" borderId="0" xfId="0" applyFont="1" applyFill="1" applyAlignment="1">
      <alignment vertical="top" wrapText="1"/>
    </xf>
    <xf numFmtId="0" fontId="2" fillId="0" borderId="9" xfId="0" applyFont="1" applyFill="1" applyBorder="1" applyAlignment="1">
      <alignment vertical="top" wrapText="1"/>
    </xf>
    <xf numFmtId="37" fontId="5" fillId="0" borderId="0" xfId="0" applyNumberFormat="1" applyFont="1" applyBorder="1" applyAlignment="1">
      <alignment vertical="top" wrapText="1"/>
    </xf>
    <xf numFmtId="0" fontId="8" fillId="0" borderId="0" xfId="0" applyFont="1" applyAlignment="1">
      <alignment vertical="top"/>
    </xf>
    <xf numFmtId="165" fontId="2" fillId="0" borderId="0" xfId="1" applyNumberFormat="1" applyFont="1" applyBorder="1" applyAlignment="1">
      <alignment horizontal="left" vertical="top" wrapText="1"/>
    </xf>
    <xf numFmtId="165" fontId="1" fillId="0" borderId="9" xfId="1" applyNumberFormat="1" applyFont="1" applyFill="1" applyBorder="1" applyAlignment="1">
      <alignment horizontal="center" vertical="top" wrapText="1"/>
    </xf>
    <xf numFmtId="0" fontId="1" fillId="0" borderId="13" xfId="0" applyFont="1" applyFill="1" applyBorder="1" applyAlignment="1">
      <alignment horizontal="center" vertical="top" wrapText="1"/>
    </xf>
    <xf numFmtId="165" fontId="1" fillId="0" borderId="11" xfId="1" applyNumberFormat="1" applyFont="1" applyFill="1" applyBorder="1" applyAlignment="1">
      <alignment vertical="top" wrapText="1"/>
    </xf>
    <xf numFmtId="165" fontId="1" fillId="0" borderId="11" xfId="1" applyNumberFormat="1" applyFont="1" applyBorder="1" applyAlignment="1">
      <alignment horizontal="right" vertical="top" wrapText="1"/>
    </xf>
    <xf numFmtId="0" fontId="6" fillId="0" borderId="0" xfId="0" applyFont="1" applyBorder="1" applyAlignment="1">
      <alignment vertical="top" wrapText="1"/>
    </xf>
    <xf numFmtId="164" fontId="1" fillId="0" borderId="11" xfId="1" applyFont="1" applyFill="1" applyBorder="1" applyAlignment="1">
      <alignment vertical="top" wrapText="1"/>
    </xf>
    <xf numFmtId="165" fontId="1" fillId="0" borderId="0" xfId="1" applyNumberFormat="1" applyBorder="1" applyAlignment="1">
      <alignment horizontal="center" vertical="top"/>
    </xf>
    <xf numFmtId="0" fontId="1" fillId="0" borderId="0" xfId="0" applyFont="1" applyBorder="1" applyAlignment="1">
      <alignment horizontal="center" vertical="top"/>
    </xf>
    <xf numFmtId="0" fontId="1" fillId="0" borderId="9" xfId="0" applyFont="1" applyFill="1" applyBorder="1" applyAlignment="1">
      <alignment vertical="top" wrapText="1"/>
    </xf>
    <xf numFmtId="165" fontId="1" fillId="0" borderId="21" xfId="1" applyNumberFormat="1" applyBorder="1" applyAlignment="1">
      <alignment horizontal="right" vertical="top"/>
    </xf>
    <xf numFmtId="0" fontId="1" fillId="0" borderId="11" xfId="0" applyFont="1" applyFill="1" applyBorder="1" applyAlignment="1">
      <alignment vertical="top" wrapText="1"/>
    </xf>
    <xf numFmtId="165" fontId="1" fillId="0" borderId="21" xfId="1" applyNumberFormat="1" applyFont="1" applyBorder="1" applyAlignment="1">
      <alignment vertical="top"/>
    </xf>
    <xf numFmtId="0" fontId="1" fillId="0" borderId="21" xfId="0" applyFont="1" applyBorder="1" applyAlignment="1">
      <alignment vertical="top"/>
    </xf>
    <xf numFmtId="0" fontId="1" fillId="0" borderId="21" xfId="0" applyFont="1" applyBorder="1" applyAlignment="1">
      <alignment horizontal="center" vertical="top"/>
    </xf>
    <xf numFmtId="165" fontId="1" fillId="0" borderId="21" xfId="1" applyNumberFormat="1" applyFont="1" applyBorder="1" applyAlignment="1">
      <alignment horizontal="right" vertical="top"/>
    </xf>
    <xf numFmtId="165" fontId="2" fillId="0" borderId="14" xfId="1" applyNumberFormat="1" applyFont="1" applyBorder="1" applyAlignment="1">
      <alignment horizontal="left" vertical="top"/>
    </xf>
    <xf numFmtId="165" fontId="2" fillId="0" borderId="9" xfId="1" applyNumberFormat="1" applyFont="1" applyBorder="1" applyAlignment="1">
      <alignment horizontal="left" vertical="top"/>
    </xf>
    <xf numFmtId="165" fontId="1" fillId="0" borderId="19" xfId="1" applyNumberFormat="1" applyBorder="1" applyAlignment="1">
      <alignment horizontal="right" vertical="top"/>
    </xf>
    <xf numFmtId="165" fontId="8" fillId="0" borderId="21" xfId="1" applyNumberFormat="1" applyFont="1" applyFill="1" applyBorder="1" applyAlignment="1">
      <alignment vertical="top" wrapText="1"/>
    </xf>
    <xf numFmtId="0" fontId="1" fillId="0" borderId="21" xfId="0" applyFont="1" applyFill="1" applyBorder="1" applyAlignment="1">
      <alignment vertical="top" wrapText="1"/>
    </xf>
    <xf numFmtId="0" fontId="1" fillId="0" borderId="21" xfId="0" applyFont="1" applyBorder="1" applyAlignment="1">
      <alignment horizontal="center" vertical="top" wrapText="1"/>
    </xf>
    <xf numFmtId="165" fontId="1" fillId="0" borderId="11" xfId="0" applyNumberFormat="1" applyFont="1" applyBorder="1" applyAlignment="1">
      <alignment vertical="top"/>
    </xf>
    <xf numFmtId="165" fontId="1" fillId="0" borderId="0" xfId="0" applyNumberFormat="1" applyFont="1" applyAlignment="1">
      <alignment vertical="top"/>
    </xf>
    <xf numFmtId="0" fontId="1" fillId="0" borderId="22" xfId="0" applyFont="1" applyBorder="1" applyAlignment="1">
      <alignment vertical="top"/>
    </xf>
    <xf numFmtId="0" fontId="1" fillId="0" borderId="23" xfId="0" applyFont="1" applyBorder="1" applyAlignment="1">
      <alignment vertical="top"/>
    </xf>
    <xf numFmtId="0" fontId="8" fillId="0" borderId="21" xfId="0" applyFont="1" applyFill="1" applyBorder="1" applyAlignment="1">
      <alignment horizontal="center" vertical="top" wrapText="1"/>
    </xf>
    <xf numFmtId="0" fontId="8" fillId="0" borderId="9" xfId="0" applyFont="1" applyFill="1" applyBorder="1" applyAlignment="1">
      <alignment vertical="top" wrapText="1"/>
    </xf>
    <xf numFmtId="0" fontId="8" fillId="0" borderId="0" xfId="0" applyFont="1" applyFill="1" applyBorder="1" applyAlignment="1">
      <alignment horizontal="center" vertical="top"/>
    </xf>
    <xf numFmtId="0" fontId="10" fillId="0" borderId="0" xfId="0" applyFont="1" applyAlignment="1">
      <alignment vertical="top" wrapText="1"/>
    </xf>
    <xf numFmtId="49" fontId="1" fillId="0" borderId="9" xfId="0" applyNumberFormat="1" applyFont="1" applyBorder="1" applyAlignment="1">
      <alignment horizontal="center" vertical="top"/>
    </xf>
    <xf numFmtId="49" fontId="5" fillId="0" borderId="9" xfId="0" applyNumberFormat="1" applyFont="1" applyBorder="1" applyAlignment="1">
      <alignment horizontal="center" vertical="top"/>
    </xf>
    <xf numFmtId="49" fontId="1" fillId="2" borderId="9" xfId="0" applyNumberFormat="1" applyFont="1" applyFill="1" applyBorder="1" applyAlignment="1">
      <alignment horizontal="center" vertical="top"/>
    </xf>
    <xf numFmtId="0" fontId="1" fillId="2" borderId="6" xfId="0" applyFont="1" applyFill="1" applyBorder="1" applyAlignment="1">
      <alignment vertical="top" wrapText="1"/>
    </xf>
    <xf numFmtId="165" fontId="1" fillId="2" borderId="9" xfId="1" applyNumberFormat="1" applyFont="1" applyFill="1" applyBorder="1" applyAlignment="1">
      <alignment horizontal="center" vertical="top"/>
    </xf>
    <xf numFmtId="0" fontId="1" fillId="2" borderId="13" xfId="0" applyFont="1" applyFill="1" applyBorder="1" applyAlignment="1">
      <alignment horizontal="center" vertical="top"/>
    </xf>
    <xf numFmtId="165" fontId="1" fillId="2" borderId="11" xfId="1" applyNumberFormat="1" applyFont="1" applyFill="1" applyBorder="1" applyAlignment="1">
      <alignment vertical="top"/>
    </xf>
    <xf numFmtId="49" fontId="1" fillId="0" borderId="9" xfId="0" applyNumberFormat="1" applyFont="1" applyBorder="1" applyAlignment="1">
      <alignment horizontal="center" vertical="top" wrapText="1"/>
    </xf>
    <xf numFmtId="0" fontId="1" fillId="0" borderId="13" xfId="0" applyFont="1" applyBorder="1" applyAlignment="1">
      <alignment horizontal="center" vertical="top" wrapText="1"/>
    </xf>
    <xf numFmtId="0" fontId="2" fillId="0" borderId="24" xfId="0" applyFont="1" applyBorder="1" applyAlignment="1">
      <alignment horizontal="left" vertical="top" wrapText="1"/>
    </xf>
    <xf numFmtId="0" fontId="2" fillId="0" borderId="25" xfId="0" applyFont="1" applyBorder="1" applyAlignment="1">
      <alignment horizontal="left" vertical="top" wrapText="1"/>
    </xf>
    <xf numFmtId="0" fontId="2" fillId="0" borderId="24" xfId="0" applyFont="1" applyBorder="1" applyAlignment="1">
      <alignment horizontal="center" vertical="top" wrapText="1"/>
    </xf>
    <xf numFmtId="0" fontId="1" fillId="0" borderId="24" xfId="0" applyFont="1" applyBorder="1" applyAlignment="1">
      <alignment vertical="top"/>
    </xf>
    <xf numFmtId="165" fontId="2" fillId="0" borderId="26" xfId="1" applyNumberFormat="1" applyFont="1" applyBorder="1" applyAlignment="1">
      <alignment horizontal="center" vertical="top" wrapText="1"/>
    </xf>
    <xf numFmtId="165" fontId="2" fillId="0" borderId="26" xfId="1" applyNumberFormat="1" applyFont="1" applyBorder="1" applyAlignment="1">
      <alignment horizontal="center" vertical="top"/>
    </xf>
    <xf numFmtId="165" fontId="2" fillId="0" borderId="27" xfId="1" applyNumberFormat="1" applyFont="1" applyBorder="1" applyAlignment="1">
      <alignment horizontal="right" vertical="top"/>
    </xf>
    <xf numFmtId="165" fontId="1" fillId="0" borderId="27" xfId="1" applyNumberFormat="1" applyFont="1" applyBorder="1" applyAlignment="1">
      <alignment horizontal="right" vertical="top"/>
    </xf>
    <xf numFmtId="165" fontId="8" fillId="0" borderId="27" xfId="1" applyNumberFormat="1" applyFont="1" applyBorder="1" applyAlignment="1">
      <alignment horizontal="right" vertical="top"/>
    </xf>
    <xf numFmtId="165" fontId="1" fillId="0" borderId="27" xfId="1" applyNumberFormat="1" applyFont="1" applyBorder="1" applyAlignment="1">
      <alignment horizontal="right" vertical="top" wrapText="1"/>
    </xf>
    <xf numFmtId="0" fontId="8" fillId="0" borderId="9" xfId="0" applyFont="1" applyBorder="1" applyAlignment="1">
      <alignment horizontal="center" vertical="top"/>
    </xf>
    <xf numFmtId="49" fontId="8" fillId="0" borderId="9" xfId="0" applyNumberFormat="1" applyFont="1" applyBorder="1" applyAlignment="1">
      <alignment horizontal="center" vertical="top"/>
    </xf>
    <xf numFmtId="4" fontId="11" fillId="0" borderId="0" xfId="1" applyNumberFormat="1" applyFont="1" applyFill="1" applyBorder="1" applyAlignment="1">
      <alignment vertical="top" wrapText="1"/>
    </xf>
    <xf numFmtId="0" fontId="11" fillId="0" borderId="0" xfId="0" applyFont="1" applyBorder="1" applyAlignment="1">
      <alignment vertical="top"/>
    </xf>
    <xf numFmtId="165" fontId="1" fillId="0" borderId="9" xfId="1" applyNumberFormat="1" applyFont="1" applyBorder="1" applyAlignment="1">
      <alignment horizontal="center" vertical="top" wrapText="1"/>
    </xf>
    <xf numFmtId="165" fontId="1" fillId="0" borderId="11" xfId="1" applyNumberFormat="1" applyFont="1" applyBorder="1" applyAlignment="1">
      <alignment vertical="top" wrapText="1"/>
    </xf>
    <xf numFmtId="37" fontId="2" fillId="0" borderId="6" xfId="0" applyNumberFormat="1" applyFont="1" applyFill="1" applyBorder="1" applyAlignment="1">
      <alignment wrapText="1"/>
    </xf>
    <xf numFmtId="165" fontId="1" fillId="0" borderId="13" xfId="1" applyNumberFormat="1" applyFont="1" applyBorder="1" applyAlignment="1">
      <alignment horizontal="center" vertical="top"/>
    </xf>
    <xf numFmtId="0" fontId="8" fillId="0" borderId="9" xfId="0" applyFont="1" applyBorder="1" applyAlignment="1">
      <alignment vertical="top" wrapText="1"/>
    </xf>
    <xf numFmtId="172" fontId="1" fillId="0" borderId="11" xfId="1" applyNumberFormat="1" applyFont="1" applyFill="1" applyBorder="1" applyAlignment="1">
      <alignment vertical="top" wrapText="1"/>
    </xf>
    <xf numFmtId="0" fontId="1" fillId="0" borderId="9" xfId="0" applyFont="1" applyBorder="1" applyAlignment="1">
      <alignment horizontal="center" vertical="top" wrapText="1"/>
    </xf>
    <xf numFmtId="0" fontId="2" fillId="0" borderId="5" xfId="0" applyFont="1" applyBorder="1" applyAlignment="1">
      <alignment horizontal="center" vertical="top" wrapText="1"/>
    </xf>
    <xf numFmtId="0" fontId="1" fillId="0" borderId="5" xfId="0" applyFont="1" applyBorder="1" applyAlignment="1">
      <alignment vertical="top"/>
    </xf>
    <xf numFmtId="0" fontId="2" fillId="0" borderId="5" xfId="0" applyFont="1" applyBorder="1" applyAlignment="1">
      <alignment horizontal="center" vertical="top"/>
    </xf>
    <xf numFmtId="0" fontId="1" fillId="0" borderId="28" xfId="0" applyFont="1" applyBorder="1" applyAlignment="1">
      <alignment horizontal="center" vertical="top"/>
    </xf>
    <xf numFmtId="165" fontId="2" fillId="0" borderId="9" xfId="1" applyNumberFormat="1" applyFont="1" applyBorder="1" applyAlignment="1">
      <alignment horizontal="right" vertical="top"/>
    </xf>
    <xf numFmtId="49" fontId="1" fillId="0" borderId="9" xfId="0" applyNumberFormat="1" applyFont="1" applyFill="1" applyBorder="1" applyAlignment="1">
      <alignment horizontal="center" vertical="top" wrapText="1"/>
    </xf>
    <xf numFmtId="0" fontId="5" fillId="0" borderId="9" xfId="0" applyFont="1" applyBorder="1" applyAlignment="1">
      <alignment horizontal="center" vertical="top"/>
    </xf>
    <xf numFmtId="165" fontId="2" fillId="0" borderId="14" xfId="1" applyNumberFormat="1" applyFont="1" applyBorder="1" applyAlignment="1">
      <alignment horizontal="right" vertical="top"/>
    </xf>
    <xf numFmtId="49" fontId="2" fillId="0" borderId="9" xfId="0" applyNumberFormat="1" applyFont="1" applyBorder="1" applyAlignment="1">
      <alignment horizontal="center" vertical="top"/>
    </xf>
    <xf numFmtId="49" fontId="1" fillId="0" borderId="9" xfId="0" applyNumberFormat="1" applyFont="1" applyFill="1" applyBorder="1" applyAlignment="1">
      <alignment horizontal="center" vertical="top"/>
    </xf>
    <xf numFmtId="0" fontId="1" fillId="0" borderId="9" xfId="0" applyFont="1" applyFill="1" applyBorder="1" applyAlignment="1">
      <alignment horizontal="center" vertical="top"/>
    </xf>
    <xf numFmtId="0" fontId="1" fillId="0" borderId="13" xfId="0" applyFont="1" applyBorder="1" applyAlignment="1">
      <alignment vertical="top"/>
    </xf>
    <xf numFmtId="49" fontId="8" fillId="0" borderId="9" xfId="0" applyNumberFormat="1" applyFont="1" applyFill="1" applyBorder="1" applyAlignment="1">
      <alignment horizontal="center" vertical="top"/>
    </xf>
    <xf numFmtId="49" fontId="8" fillId="0" borderId="9" xfId="0" applyNumberFormat="1" applyFont="1" applyFill="1" applyBorder="1" applyAlignment="1">
      <alignment horizontal="center" vertical="top" wrapText="1"/>
    </xf>
    <xf numFmtId="49" fontId="1" fillId="0" borderId="13" xfId="0" applyNumberFormat="1" applyFont="1" applyBorder="1" applyAlignment="1">
      <alignment horizontal="center" vertical="top"/>
    </xf>
    <xf numFmtId="0" fontId="1" fillId="0" borderId="9" xfId="0" applyFont="1" applyFill="1" applyBorder="1" applyAlignment="1">
      <alignment horizontal="center" vertical="top" wrapText="1"/>
    </xf>
  </cellXfs>
  <cellStyles count="3">
    <cellStyle name="Comma 2" xfId="1" xr:uid="{00000000-0005-0000-0000-000000000000}"/>
    <cellStyle name="Normal" xfId="0" builtinId="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31"/>
  <sheetViews>
    <sheetView tabSelected="1" view="pageBreakPreview" topLeftCell="A22" zoomScaleNormal="100" zoomScaleSheetLayoutView="100" workbookViewId="0">
      <selection activeCell="B32" sqref="B32"/>
    </sheetView>
  </sheetViews>
  <sheetFormatPr defaultRowHeight="12.75" x14ac:dyDescent="0.25"/>
  <cols>
    <col min="1" max="1" width="4.85546875" style="1" customWidth="1"/>
    <col min="2" max="2" width="67.28515625" style="1" customWidth="1"/>
    <col min="3" max="3" width="8.7109375" style="1" customWidth="1"/>
    <col min="4" max="4" width="7.140625" style="6" customWidth="1"/>
    <col min="5" max="5" width="8.28515625" style="1" customWidth="1"/>
    <col min="6" max="6" width="14.28515625" style="1" customWidth="1"/>
    <col min="7" max="7" width="14" style="1" bestFit="1" customWidth="1"/>
    <col min="8" max="16384" width="9.140625" style="1"/>
  </cols>
  <sheetData>
    <row r="1" spans="1:9" ht="15" customHeight="1" x14ac:dyDescent="0.25">
      <c r="B1" s="2" t="s">
        <v>153</v>
      </c>
      <c r="C1" s="3"/>
      <c r="D1" s="4"/>
      <c r="E1" s="5"/>
      <c r="F1" s="2"/>
    </row>
    <row r="2" spans="1:9" ht="15" customHeight="1" x14ac:dyDescent="0.25">
      <c r="B2" s="3"/>
      <c r="C2" s="3"/>
    </row>
    <row r="3" spans="1:9" ht="15" customHeight="1" x14ac:dyDescent="0.25">
      <c r="A3" s="121"/>
      <c r="B3" s="7" t="s">
        <v>0</v>
      </c>
      <c r="C3" s="8"/>
      <c r="D3" s="7"/>
      <c r="E3" s="9"/>
      <c r="F3" s="136"/>
    </row>
    <row r="4" spans="1:9" x14ac:dyDescent="0.25">
      <c r="A4" s="122"/>
      <c r="C4" s="10"/>
      <c r="D4" s="11"/>
      <c r="E4" s="12"/>
      <c r="F4" s="137"/>
    </row>
    <row r="5" spans="1:9" s="6" customFormat="1" ht="12.75" customHeight="1" x14ac:dyDescent="0.25">
      <c r="A5" s="157" t="s">
        <v>0</v>
      </c>
      <c r="B5" s="13" t="s">
        <v>1</v>
      </c>
      <c r="C5" s="7"/>
      <c r="D5" s="7"/>
      <c r="E5" s="7"/>
      <c r="F5" s="138"/>
    </row>
    <row r="6" spans="1:9" ht="15" customHeight="1" x14ac:dyDescent="0.25">
      <c r="A6" s="158"/>
      <c r="B6" s="14"/>
      <c r="F6" s="139"/>
    </row>
    <row r="7" spans="1:9" ht="14.25" customHeight="1" x14ac:dyDescent="0.25">
      <c r="A7" s="159" t="s">
        <v>2</v>
      </c>
      <c r="B7" s="15" t="s">
        <v>3</v>
      </c>
      <c r="C7" s="16" t="s">
        <v>4</v>
      </c>
      <c r="D7" s="17" t="s">
        <v>5</v>
      </c>
      <c r="E7" s="18" t="s">
        <v>6</v>
      </c>
      <c r="F7" s="140" t="s">
        <v>7</v>
      </c>
    </row>
    <row r="8" spans="1:9" ht="14.25" customHeight="1" x14ac:dyDescent="0.25">
      <c r="A8" s="160"/>
      <c r="B8" s="19"/>
      <c r="C8" s="20"/>
      <c r="D8" s="21"/>
      <c r="E8" s="22" t="s">
        <v>8</v>
      </c>
      <c r="F8" s="141" t="s">
        <v>8</v>
      </c>
    </row>
    <row r="9" spans="1:9" ht="38.25" x14ac:dyDescent="0.25">
      <c r="A9" s="161"/>
      <c r="B9" s="23" t="s">
        <v>149</v>
      </c>
      <c r="C9" s="24"/>
      <c r="D9" s="25"/>
      <c r="E9" s="26"/>
      <c r="F9" s="142"/>
    </row>
    <row r="10" spans="1:9" x14ac:dyDescent="0.25">
      <c r="A10" s="127"/>
      <c r="B10" s="23"/>
      <c r="C10" s="29"/>
      <c r="D10" s="30"/>
      <c r="E10" s="31"/>
      <c r="F10" s="143"/>
    </row>
    <row r="11" spans="1:9" ht="14.25" customHeight="1" x14ac:dyDescent="0.25">
      <c r="A11" s="147" t="s">
        <v>9</v>
      </c>
      <c r="B11" s="68" t="s">
        <v>155</v>
      </c>
      <c r="C11" s="69"/>
      <c r="D11" s="70"/>
      <c r="E11" s="71"/>
      <c r="F11" s="144"/>
    </row>
    <row r="12" spans="1:9" ht="39.75" x14ac:dyDescent="0.25">
      <c r="A12" s="127" t="s">
        <v>10</v>
      </c>
      <c r="B12" s="33" t="s">
        <v>11</v>
      </c>
      <c r="C12" s="29" t="s">
        <v>12</v>
      </c>
      <c r="D12" s="30">
        <v>33</v>
      </c>
      <c r="E12" s="31">
        <v>50</v>
      </c>
      <c r="F12" s="143">
        <f>D12*E12</f>
        <v>1650</v>
      </c>
    </row>
    <row r="13" spans="1:9" ht="45" customHeight="1" x14ac:dyDescent="0.25">
      <c r="A13" s="129" t="s">
        <v>13</v>
      </c>
      <c r="B13" s="130" t="s">
        <v>14</v>
      </c>
      <c r="C13" s="131" t="s">
        <v>12</v>
      </c>
      <c r="D13" s="132">
        <v>2</v>
      </c>
      <c r="E13" s="133">
        <v>55</v>
      </c>
      <c r="F13" s="143">
        <f t="shared" ref="F13:F20" si="0">D13*E13</f>
        <v>110</v>
      </c>
    </row>
    <row r="14" spans="1:9" s="102" customFormat="1" ht="25.5" x14ac:dyDescent="0.25">
      <c r="A14" s="162" t="s">
        <v>15</v>
      </c>
      <c r="B14" s="34" t="s">
        <v>23</v>
      </c>
      <c r="C14" s="98" t="s">
        <v>17</v>
      </c>
      <c r="D14" s="99">
        <v>20</v>
      </c>
      <c r="E14" s="155">
        <v>5</v>
      </c>
      <c r="F14" s="145">
        <f t="shared" si="0"/>
        <v>100</v>
      </c>
      <c r="G14" s="58"/>
      <c r="I14" s="58"/>
    </row>
    <row r="15" spans="1:9" s="102" customFormat="1" x14ac:dyDescent="0.25">
      <c r="A15" s="162"/>
      <c r="B15" s="34"/>
      <c r="C15" s="98"/>
      <c r="D15" s="99"/>
      <c r="E15" s="103"/>
      <c r="F15" s="101"/>
      <c r="G15" s="58"/>
      <c r="I15" s="58"/>
    </row>
    <row r="16" spans="1:9" ht="13.5" customHeight="1" x14ac:dyDescent="0.25">
      <c r="A16" s="127"/>
      <c r="B16" s="15" t="s">
        <v>66</v>
      </c>
      <c r="C16" s="29"/>
      <c r="D16" s="30"/>
      <c r="E16" s="31"/>
      <c r="F16" s="32"/>
    </row>
    <row r="17" spans="1:6" ht="15" customHeight="1" x14ac:dyDescent="0.25">
      <c r="A17" s="127" t="s">
        <v>16</v>
      </c>
      <c r="B17" s="33" t="s">
        <v>64</v>
      </c>
      <c r="C17" s="29" t="s">
        <v>26</v>
      </c>
      <c r="D17" s="30">
        <v>7</v>
      </c>
      <c r="E17" s="31">
        <v>90</v>
      </c>
      <c r="F17" s="32">
        <f t="shared" si="0"/>
        <v>630</v>
      </c>
    </row>
    <row r="18" spans="1:6" s="40" customFormat="1" ht="15" customHeight="1" x14ac:dyDescent="0.25">
      <c r="A18" s="127" t="s">
        <v>35</v>
      </c>
      <c r="B18" s="33" t="s">
        <v>112</v>
      </c>
      <c r="C18" s="29" t="s">
        <v>26</v>
      </c>
      <c r="D18" s="30">
        <v>4</v>
      </c>
      <c r="E18" s="31">
        <v>80</v>
      </c>
      <c r="F18" s="32">
        <f t="shared" si="0"/>
        <v>320</v>
      </c>
    </row>
    <row r="19" spans="1:6" ht="15" customHeight="1" x14ac:dyDescent="0.25">
      <c r="A19" s="127" t="s">
        <v>18</v>
      </c>
      <c r="B19" s="33" t="s">
        <v>65</v>
      </c>
      <c r="C19" s="29" t="s">
        <v>26</v>
      </c>
      <c r="D19" s="30">
        <v>2</v>
      </c>
      <c r="E19" s="31">
        <v>45</v>
      </c>
      <c r="F19" s="32">
        <f t="shared" si="0"/>
        <v>90</v>
      </c>
    </row>
    <row r="20" spans="1:6" ht="15" customHeight="1" x14ac:dyDescent="0.25">
      <c r="A20" s="146" t="s">
        <v>19</v>
      </c>
      <c r="B20" s="33" t="s">
        <v>150</v>
      </c>
      <c r="C20" s="29" t="s">
        <v>26</v>
      </c>
      <c r="D20" s="30">
        <v>8</v>
      </c>
      <c r="E20" s="31">
        <v>55</v>
      </c>
      <c r="F20" s="32">
        <f t="shared" si="0"/>
        <v>440</v>
      </c>
    </row>
    <row r="21" spans="1:6" x14ac:dyDescent="0.25">
      <c r="A21" s="147"/>
      <c r="B21" s="55"/>
      <c r="C21" s="63"/>
      <c r="D21" s="64"/>
      <c r="E21" s="65"/>
      <c r="F21" s="66"/>
    </row>
    <row r="22" spans="1:6" x14ac:dyDescent="0.25">
      <c r="A22" s="147"/>
      <c r="B22" s="15" t="s">
        <v>31</v>
      </c>
      <c r="C22" s="29"/>
      <c r="D22" s="30"/>
      <c r="E22" s="31"/>
      <c r="F22" s="32"/>
    </row>
    <row r="23" spans="1:6" ht="25.5" x14ac:dyDescent="0.25">
      <c r="A23" s="147" t="s">
        <v>20</v>
      </c>
      <c r="B23" s="48" t="s">
        <v>32</v>
      </c>
      <c r="C23" s="29" t="s">
        <v>12</v>
      </c>
      <c r="D23" s="30">
        <v>5</v>
      </c>
      <c r="E23" s="31">
        <v>4</v>
      </c>
      <c r="F23" s="32">
        <f>D23*E23</f>
        <v>20</v>
      </c>
    </row>
    <row r="24" spans="1:6" ht="25.5" x14ac:dyDescent="0.25">
      <c r="A24" s="147" t="s">
        <v>21</v>
      </c>
      <c r="B24" s="48" t="s">
        <v>154</v>
      </c>
      <c r="C24" s="29" t="s">
        <v>12</v>
      </c>
      <c r="D24" s="70">
        <v>2</v>
      </c>
      <c r="E24" s="71">
        <v>13</v>
      </c>
      <c r="F24" s="32">
        <f>D24*E24</f>
        <v>26</v>
      </c>
    </row>
    <row r="25" spans="1:6" ht="25.5" x14ac:dyDescent="0.25">
      <c r="A25" s="147" t="s">
        <v>22</v>
      </c>
      <c r="B25" s="48" t="s">
        <v>156</v>
      </c>
      <c r="C25" s="29" t="s">
        <v>12</v>
      </c>
      <c r="D25" s="70">
        <v>1</v>
      </c>
      <c r="E25" s="71">
        <v>120</v>
      </c>
      <c r="F25" s="32">
        <f>D25*E25</f>
        <v>120</v>
      </c>
    </row>
    <row r="26" spans="1:6" x14ac:dyDescent="0.25">
      <c r="A26" s="147"/>
      <c r="B26" s="67"/>
      <c r="C26" s="63"/>
      <c r="D26" s="64"/>
      <c r="E26" s="65"/>
      <c r="F26" s="66"/>
    </row>
    <row r="27" spans="1:6" x14ac:dyDescent="0.25">
      <c r="A27" s="147"/>
      <c r="B27" s="15" t="s">
        <v>34</v>
      </c>
      <c r="C27" s="29"/>
      <c r="D27" s="30"/>
      <c r="E27" s="31"/>
      <c r="F27" s="32"/>
    </row>
    <row r="28" spans="1:6" ht="25.5" x14ac:dyDescent="0.25">
      <c r="A28" s="147" t="s">
        <v>24</v>
      </c>
      <c r="B28" s="48" t="s">
        <v>32</v>
      </c>
      <c r="C28" s="29" t="s">
        <v>12</v>
      </c>
      <c r="D28" s="30">
        <v>2</v>
      </c>
      <c r="E28" s="31">
        <v>10</v>
      </c>
      <c r="F28" s="32">
        <f>D28*E28</f>
        <v>20</v>
      </c>
    </row>
    <row r="29" spans="1:6" x14ac:dyDescent="0.25">
      <c r="A29" s="128"/>
      <c r="B29" s="95"/>
      <c r="C29" s="63"/>
      <c r="D29" s="64"/>
      <c r="E29" s="65"/>
      <c r="F29" s="66"/>
    </row>
    <row r="30" spans="1:6" x14ac:dyDescent="0.25">
      <c r="A30" s="128"/>
      <c r="B30" s="95"/>
      <c r="C30" s="63"/>
      <c r="D30" s="64"/>
      <c r="E30" s="65"/>
      <c r="F30" s="66"/>
    </row>
    <row r="31" spans="1:6" x14ac:dyDescent="0.25">
      <c r="A31" s="128"/>
      <c r="B31" s="95"/>
      <c r="C31" s="63"/>
      <c r="D31" s="64"/>
      <c r="E31" s="65"/>
      <c r="F31" s="66"/>
    </row>
    <row r="32" spans="1:6" x14ac:dyDescent="0.25">
      <c r="A32" s="128"/>
      <c r="B32" s="95"/>
      <c r="C32" s="63"/>
      <c r="D32" s="64"/>
      <c r="E32" s="65"/>
      <c r="F32" s="66"/>
    </row>
    <row r="33" spans="1:6" x14ac:dyDescent="0.25">
      <c r="A33" s="128"/>
      <c r="B33" s="95"/>
      <c r="C33" s="63"/>
      <c r="D33" s="64"/>
      <c r="E33" s="65"/>
      <c r="F33" s="66"/>
    </row>
    <row r="34" spans="1:6" x14ac:dyDescent="0.25">
      <c r="A34" s="128"/>
      <c r="B34" s="95"/>
      <c r="C34" s="63"/>
      <c r="D34" s="64"/>
      <c r="E34" s="65"/>
      <c r="F34" s="66"/>
    </row>
    <row r="35" spans="1:6" x14ac:dyDescent="0.25">
      <c r="A35" s="128"/>
      <c r="B35" s="95"/>
      <c r="C35" s="63"/>
      <c r="D35" s="64"/>
      <c r="E35" s="65"/>
      <c r="F35" s="66"/>
    </row>
    <row r="36" spans="1:6" x14ac:dyDescent="0.25">
      <c r="A36" s="128"/>
      <c r="B36" s="95"/>
      <c r="C36" s="63"/>
      <c r="D36" s="64"/>
      <c r="E36" s="65"/>
      <c r="F36" s="66"/>
    </row>
    <row r="37" spans="1:6" x14ac:dyDescent="0.25">
      <c r="A37" s="128"/>
      <c r="B37" s="95"/>
      <c r="C37" s="63"/>
      <c r="D37" s="64"/>
      <c r="E37" s="65"/>
      <c r="F37" s="66"/>
    </row>
    <row r="38" spans="1:6" x14ac:dyDescent="0.25">
      <c r="A38" s="128"/>
      <c r="B38" s="95"/>
      <c r="C38" s="63"/>
      <c r="D38" s="64"/>
      <c r="E38" s="65"/>
      <c r="F38" s="66"/>
    </row>
    <row r="39" spans="1:6" x14ac:dyDescent="0.25">
      <c r="A39" s="128"/>
      <c r="B39" s="95"/>
      <c r="C39" s="63"/>
      <c r="D39" s="64"/>
      <c r="E39" s="65"/>
      <c r="F39" s="66"/>
    </row>
    <row r="40" spans="1:6" x14ac:dyDescent="0.25">
      <c r="A40" s="128"/>
      <c r="B40" s="95"/>
      <c r="C40" s="63"/>
      <c r="D40" s="64"/>
      <c r="E40" s="65"/>
      <c r="F40" s="66"/>
    </row>
    <row r="41" spans="1:6" x14ac:dyDescent="0.25">
      <c r="A41" s="128"/>
      <c r="B41" s="95"/>
      <c r="C41" s="63"/>
      <c r="D41" s="64"/>
      <c r="E41" s="65"/>
      <c r="F41" s="66"/>
    </row>
    <row r="42" spans="1:6" x14ac:dyDescent="0.25">
      <c r="A42" s="128"/>
      <c r="B42" s="95"/>
      <c r="C42" s="63"/>
      <c r="D42" s="64"/>
      <c r="E42" s="65"/>
      <c r="F42" s="66"/>
    </row>
    <row r="43" spans="1:6" x14ac:dyDescent="0.25">
      <c r="A43" s="128"/>
      <c r="B43" s="95"/>
      <c r="C43" s="63"/>
      <c r="D43" s="64"/>
      <c r="E43" s="65"/>
      <c r="F43" s="66"/>
    </row>
    <row r="44" spans="1:6" x14ac:dyDescent="0.25">
      <c r="A44" s="128"/>
      <c r="B44" s="95"/>
      <c r="C44" s="63"/>
      <c r="D44" s="64"/>
      <c r="E44" s="65"/>
      <c r="F44" s="66"/>
    </row>
    <row r="45" spans="1:6" x14ac:dyDescent="0.25">
      <c r="A45" s="128"/>
      <c r="B45" s="95"/>
      <c r="C45" s="63"/>
      <c r="D45" s="64"/>
      <c r="E45" s="65"/>
      <c r="F45" s="66"/>
    </row>
    <row r="46" spans="1:6" x14ac:dyDescent="0.25">
      <c r="A46" s="128"/>
      <c r="B46" s="95"/>
      <c r="C46" s="63"/>
      <c r="D46" s="64"/>
      <c r="E46" s="65"/>
      <c r="F46" s="66"/>
    </row>
    <row r="47" spans="1:6" x14ac:dyDescent="0.25">
      <c r="A47" s="128"/>
      <c r="B47" s="95"/>
      <c r="C47" s="63"/>
      <c r="D47" s="64"/>
      <c r="E47" s="65"/>
      <c r="F47" s="66"/>
    </row>
    <row r="48" spans="1:6" x14ac:dyDescent="0.25">
      <c r="A48" s="128"/>
      <c r="B48" s="95"/>
      <c r="C48" s="63"/>
      <c r="D48" s="64"/>
      <c r="E48" s="65"/>
      <c r="F48" s="66"/>
    </row>
    <row r="49" spans="1:6" x14ac:dyDescent="0.25">
      <c r="A49" s="128"/>
      <c r="B49" s="95"/>
      <c r="C49" s="63"/>
      <c r="D49" s="64"/>
      <c r="E49" s="65"/>
      <c r="F49" s="66"/>
    </row>
    <row r="50" spans="1:6" x14ac:dyDescent="0.25">
      <c r="A50" s="163"/>
      <c r="B50" s="42"/>
      <c r="C50" s="63"/>
      <c r="D50" s="64"/>
      <c r="E50" s="65"/>
      <c r="F50" s="66"/>
    </row>
    <row r="51" spans="1:6" x14ac:dyDescent="0.25">
      <c r="A51" s="163"/>
      <c r="B51" s="42"/>
      <c r="C51" s="63"/>
      <c r="D51" s="64"/>
      <c r="E51" s="65"/>
      <c r="F51" s="66"/>
    </row>
    <row r="52" spans="1:6" x14ac:dyDescent="0.25">
      <c r="A52" s="163"/>
      <c r="B52" s="42"/>
      <c r="C52" s="63"/>
      <c r="D52" s="64"/>
      <c r="E52" s="65"/>
      <c r="F52" s="66"/>
    </row>
    <row r="53" spans="1:6" x14ac:dyDescent="0.25">
      <c r="A53" s="163"/>
      <c r="B53" s="42"/>
      <c r="C53" s="63"/>
      <c r="D53" s="64"/>
      <c r="E53" s="65"/>
      <c r="F53" s="66"/>
    </row>
    <row r="54" spans="1:6" x14ac:dyDescent="0.25">
      <c r="A54" s="163"/>
      <c r="B54" s="42"/>
      <c r="C54" s="63"/>
      <c r="D54" s="64"/>
      <c r="E54" s="65"/>
      <c r="F54" s="66"/>
    </row>
    <row r="55" spans="1:6" x14ac:dyDescent="0.25">
      <c r="A55" s="163"/>
      <c r="B55" s="42"/>
      <c r="C55" s="63"/>
      <c r="D55" s="64"/>
      <c r="E55" s="65"/>
      <c r="F55" s="66"/>
    </row>
    <row r="56" spans="1:6" x14ac:dyDescent="0.25">
      <c r="A56" s="163"/>
      <c r="B56" s="42"/>
      <c r="C56" s="63"/>
      <c r="D56" s="64"/>
      <c r="E56" s="65"/>
      <c r="F56" s="66"/>
    </row>
    <row r="57" spans="1:6" x14ac:dyDescent="0.25">
      <c r="A57" s="163"/>
      <c r="B57" s="42"/>
      <c r="C57" s="63"/>
      <c r="D57" s="64"/>
      <c r="E57" s="65"/>
      <c r="F57" s="66"/>
    </row>
    <row r="58" spans="1:6" x14ac:dyDescent="0.25">
      <c r="A58" s="163"/>
      <c r="B58" s="42"/>
      <c r="C58" s="63"/>
      <c r="D58" s="64"/>
      <c r="E58" s="65"/>
      <c r="F58" s="66"/>
    </row>
    <row r="59" spans="1:6" x14ac:dyDescent="0.25">
      <c r="A59" s="163"/>
      <c r="B59" s="42"/>
      <c r="C59" s="63"/>
      <c r="D59" s="64"/>
      <c r="E59" s="65"/>
      <c r="F59" s="66"/>
    </row>
    <row r="60" spans="1:6" x14ac:dyDescent="0.25">
      <c r="A60" s="163"/>
      <c r="B60" s="42"/>
      <c r="C60" s="63"/>
      <c r="D60" s="64"/>
      <c r="E60" s="65"/>
      <c r="F60" s="66"/>
    </row>
    <row r="61" spans="1:6" x14ac:dyDescent="0.25">
      <c r="A61" s="128"/>
      <c r="B61" s="42"/>
      <c r="C61" s="63"/>
      <c r="D61" s="64"/>
      <c r="E61" s="65"/>
      <c r="F61" s="66"/>
    </row>
    <row r="62" spans="1:6" ht="15" customHeight="1" thickBot="1" x14ac:dyDescent="0.3">
      <c r="A62" s="164" t="s">
        <v>29</v>
      </c>
      <c r="B62" s="43" t="s">
        <v>30</v>
      </c>
      <c r="C62" s="44"/>
      <c r="D62" s="45"/>
      <c r="E62" s="28"/>
      <c r="F62" s="46">
        <f>SUM(F10:F60)</f>
        <v>3526</v>
      </c>
    </row>
    <row r="63" spans="1:6" ht="15" customHeight="1" thickTop="1" x14ac:dyDescent="0.25">
      <c r="A63" s="161"/>
      <c r="B63" s="51"/>
      <c r="C63" s="24"/>
      <c r="D63" s="47"/>
      <c r="E63" s="26"/>
      <c r="F63" s="32"/>
    </row>
    <row r="64" spans="1:6" ht="15" customHeight="1" x14ac:dyDescent="0.25">
      <c r="A64" s="165" t="s">
        <v>38</v>
      </c>
      <c r="B64" s="15" t="s">
        <v>39</v>
      </c>
      <c r="C64" s="29"/>
      <c r="D64" s="30"/>
      <c r="E64" s="31"/>
      <c r="F64" s="32"/>
    </row>
    <row r="65" spans="1:9" ht="15" customHeight="1" x14ac:dyDescent="0.25">
      <c r="A65" s="53"/>
      <c r="B65" s="54"/>
      <c r="C65" s="29"/>
      <c r="D65" s="30"/>
      <c r="E65" s="31"/>
      <c r="F65" s="32"/>
    </row>
    <row r="66" spans="1:9" s="38" customFormat="1" ht="55.5" customHeight="1" x14ac:dyDescent="0.25">
      <c r="A66" s="166" t="s">
        <v>10</v>
      </c>
      <c r="B66" s="34" t="s">
        <v>11</v>
      </c>
      <c r="C66" s="35" t="s">
        <v>12</v>
      </c>
      <c r="D66" s="36">
        <v>134</v>
      </c>
      <c r="E66" s="37">
        <v>50</v>
      </c>
      <c r="F66" s="32">
        <f t="shared" ref="F66:F70" si="1">D66*E66</f>
        <v>6700</v>
      </c>
    </row>
    <row r="67" spans="1:9" s="38" customFormat="1" ht="45.75" customHeight="1" x14ac:dyDescent="0.25">
      <c r="A67" s="166" t="s">
        <v>13</v>
      </c>
      <c r="B67" s="34" t="s">
        <v>14</v>
      </c>
      <c r="C67" s="35" t="s">
        <v>12</v>
      </c>
      <c r="D67" s="36">
        <v>88</v>
      </c>
      <c r="E67" s="37">
        <v>55</v>
      </c>
      <c r="F67" s="32">
        <f t="shared" si="1"/>
        <v>4840</v>
      </c>
    </row>
    <row r="68" spans="1:9" s="38" customFormat="1" ht="48" customHeight="1" x14ac:dyDescent="0.25">
      <c r="A68" s="166" t="s">
        <v>15</v>
      </c>
      <c r="B68" s="34" t="s">
        <v>61</v>
      </c>
      <c r="C68" s="35" t="s">
        <v>17</v>
      </c>
      <c r="D68" s="76">
        <v>25</v>
      </c>
      <c r="E68" s="37">
        <v>35</v>
      </c>
      <c r="F68" s="32">
        <f t="shared" si="1"/>
        <v>875</v>
      </c>
    </row>
    <row r="69" spans="1:9" s="38" customFormat="1" ht="45" customHeight="1" x14ac:dyDescent="0.25">
      <c r="A69" s="166" t="s">
        <v>16</v>
      </c>
      <c r="B69" s="34" t="s">
        <v>62</v>
      </c>
      <c r="C69" s="35" t="s">
        <v>12</v>
      </c>
      <c r="D69" s="36">
        <v>8</v>
      </c>
      <c r="E69" s="37">
        <v>1700</v>
      </c>
      <c r="F69" s="32">
        <f t="shared" si="1"/>
        <v>13600</v>
      </c>
    </row>
    <row r="70" spans="1:9" s="102" customFormat="1" ht="25.5" x14ac:dyDescent="0.25">
      <c r="A70" s="162" t="s">
        <v>35</v>
      </c>
      <c r="B70" s="34" t="s">
        <v>23</v>
      </c>
      <c r="C70" s="98" t="s">
        <v>17</v>
      </c>
      <c r="D70" s="99">
        <v>20</v>
      </c>
      <c r="E70" s="103">
        <v>5</v>
      </c>
      <c r="F70" s="101">
        <f t="shared" si="1"/>
        <v>100</v>
      </c>
      <c r="G70" s="58"/>
      <c r="I70" s="58"/>
    </row>
    <row r="71" spans="1:9" s="38" customFormat="1" x14ac:dyDescent="0.25">
      <c r="A71" s="166"/>
      <c r="B71" s="34"/>
      <c r="C71" s="35"/>
      <c r="D71" s="36"/>
      <c r="E71" s="39"/>
      <c r="F71" s="32"/>
    </row>
    <row r="72" spans="1:9" ht="13.5" customHeight="1" x14ac:dyDescent="0.25">
      <c r="A72" s="166"/>
      <c r="B72" s="15" t="s">
        <v>40</v>
      </c>
      <c r="C72" s="29"/>
      <c r="D72" s="30"/>
      <c r="E72" s="31"/>
      <c r="F72" s="32"/>
    </row>
    <row r="73" spans="1:9" s="40" customFormat="1" ht="15" customHeight="1" x14ac:dyDescent="0.25">
      <c r="A73" s="167" t="s">
        <v>18</v>
      </c>
      <c r="B73" s="73" t="s">
        <v>111</v>
      </c>
      <c r="C73" s="29" t="s">
        <v>26</v>
      </c>
      <c r="D73" s="30">
        <v>16</v>
      </c>
      <c r="E73" s="31">
        <v>45</v>
      </c>
      <c r="F73" s="32">
        <f t="shared" ref="F73:F82" si="2">D73*E73</f>
        <v>720</v>
      </c>
    </row>
    <row r="74" spans="1:9" ht="15" customHeight="1" x14ac:dyDescent="0.25">
      <c r="A74" s="167" t="s">
        <v>19</v>
      </c>
      <c r="B74" s="73" t="s">
        <v>112</v>
      </c>
      <c r="C74" s="29" t="s">
        <v>26</v>
      </c>
      <c r="D74" s="30">
        <v>16</v>
      </c>
      <c r="E74" s="31">
        <v>45</v>
      </c>
      <c r="F74" s="32">
        <f t="shared" si="2"/>
        <v>720</v>
      </c>
    </row>
    <row r="75" spans="1:9" ht="15" customHeight="1" x14ac:dyDescent="0.25">
      <c r="A75" s="166" t="s">
        <v>20</v>
      </c>
      <c r="B75" s="73" t="s">
        <v>65</v>
      </c>
      <c r="C75" s="29" t="s">
        <v>26</v>
      </c>
      <c r="D75" s="30">
        <v>16</v>
      </c>
      <c r="E75" s="31">
        <v>40</v>
      </c>
      <c r="F75" s="32">
        <f t="shared" si="2"/>
        <v>640</v>
      </c>
    </row>
    <row r="76" spans="1:9" ht="15" customHeight="1" x14ac:dyDescent="0.25">
      <c r="A76" s="166" t="s">
        <v>21</v>
      </c>
      <c r="B76" s="33" t="s">
        <v>113</v>
      </c>
      <c r="C76" s="29" t="s">
        <v>26</v>
      </c>
      <c r="D76" s="30">
        <v>14</v>
      </c>
      <c r="E76" s="31">
        <v>40</v>
      </c>
      <c r="F76" s="32">
        <f t="shared" si="2"/>
        <v>560</v>
      </c>
    </row>
    <row r="77" spans="1:9" x14ac:dyDescent="0.25">
      <c r="A77" s="127" t="s">
        <v>22</v>
      </c>
      <c r="B77" s="73" t="s">
        <v>114</v>
      </c>
      <c r="C77" s="29" t="s">
        <v>26</v>
      </c>
      <c r="D77" s="30">
        <v>16</v>
      </c>
      <c r="E77" s="31">
        <v>35</v>
      </c>
      <c r="F77" s="32">
        <f t="shared" si="2"/>
        <v>560</v>
      </c>
    </row>
    <row r="78" spans="1:9" x14ac:dyDescent="0.25">
      <c r="A78" s="127" t="s">
        <v>24</v>
      </c>
      <c r="B78" s="73" t="s">
        <v>115</v>
      </c>
      <c r="C78" s="29" t="s">
        <v>26</v>
      </c>
      <c r="D78" s="30">
        <v>16</v>
      </c>
      <c r="E78" s="31">
        <v>35</v>
      </c>
      <c r="F78" s="32">
        <f t="shared" si="2"/>
        <v>560</v>
      </c>
    </row>
    <row r="79" spans="1:9" x14ac:dyDescent="0.25">
      <c r="A79" s="127" t="s">
        <v>25</v>
      </c>
      <c r="B79" s="73" t="s">
        <v>116</v>
      </c>
      <c r="C79" s="29" t="s">
        <v>26</v>
      </c>
      <c r="D79" s="30">
        <v>8</v>
      </c>
      <c r="E79" s="31">
        <v>90</v>
      </c>
      <c r="F79" s="32">
        <f t="shared" si="2"/>
        <v>720</v>
      </c>
    </row>
    <row r="80" spans="1:9" x14ac:dyDescent="0.25">
      <c r="A80" s="127" t="s">
        <v>27</v>
      </c>
      <c r="B80" s="73" t="s">
        <v>117</v>
      </c>
      <c r="C80" s="29" t="s">
        <v>26</v>
      </c>
      <c r="D80" s="30">
        <v>8</v>
      </c>
      <c r="E80" s="31">
        <v>80</v>
      </c>
      <c r="F80" s="32">
        <f t="shared" si="2"/>
        <v>640</v>
      </c>
    </row>
    <row r="81" spans="1:6" x14ac:dyDescent="0.25">
      <c r="A81" s="127" t="s">
        <v>28</v>
      </c>
      <c r="B81" s="96" t="s">
        <v>118</v>
      </c>
      <c r="C81" s="29" t="s">
        <v>26</v>
      </c>
      <c r="D81" s="30">
        <v>16</v>
      </c>
      <c r="E81" s="31">
        <v>45</v>
      </c>
      <c r="F81" s="32">
        <f t="shared" si="2"/>
        <v>720</v>
      </c>
    </row>
    <row r="82" spans="1:6" x14ac:dyDescent="0.25">
      <c r="A82" s="127" t="s">
        <v>120</v>
      </c>
      <c r="B82" s="73" t="s">
        <v>119</v>
      </c>
      <c r="C82" s="29" t="s">
        <v>26</v>
      </c>
      <c r="D82" s="30">
        <v>8</v>
      </c>
      <c r="E82" s="31">
        <v>85</v>
      </c>
      <c r="F82" s="32">
        <f t="shared" si="2"/>
        <v>680</v>
      </c>
    </row>
    <row r="83" spans="1:6" x14ac:dyDescent="0.25">
      <c r="A83" s="168"/>
      <c r="B83" s="55"/>
      <c r="C83" s="29"/>
      <c r="D83" s="30"/>
      <c r="E83" s="31"/>
      <c r="F83" s="32"/>
    </row>
    <row r="84" spans="1:6" x14ac:dyDescent="0.25">
      <c r="A84" s="53"/>
      <c r="B84" s="15" t="s">
        <v>31</v>
      </c>
      <c r="C84" s="29"/>
      <c r="D84" s="30"/>
      <c r="E84" s="31"/>
      <c r="F84" s="32"/>
    </row>
    <row r="85" spans="1:6" ht="25.5" x14ac:dyDescent="0.25">
      <c r="A85" s="127" t="s">
        <v>121</v>
      </c>
      <c r="B85" s="48" t="s">
        <v>32</v>
      </c>
      <c r="C85" s="29" t="s">
        <v>12</v>
      </c>
      <c r="D85" s="30">
        <v>24</v>
      </c>
      <c r="E85" s="31">
        <v>4</v>
      </c>
      <c r="F85" s="32">
        <f>D85*E85</f>
        <v>96</v>
      </c>
    </row>
    <row r="86" spans="1:6" ht="25.5" x14ac:dyDescent="0.25">
      <c r="A86" s="127" t="s">
        <v>122</v>
      </c>
      <c r="B86" s="48" t="s">
        <v>33</v>
      </c>
      <c r="C86" s="29" t="s">
        <v>12</v>
      </c>
      <c r="D86" s="30">
        <v>16</v>
      </c>
      <c r="E86" s="31">
        <v>8</v>
      </c>
      <c r="F86" s="32">
        <f>D86*E86</f>
        <v>128</v>
      </c>
    </row>
    <row r="87" spans="1:6" ht="25.5" x14ac:dyDescent="0.25">
      <c r="A87" s="127" t="s">
        <v>123</v>
      </c>
      <c r="B87" s="48" t="s">
        <v>42</v>
      </c>
      <c r="C87" s="29" t="s">
        <v>12</v>
      </c>
      <c r="D87" s="30">
        <v>8</v>
      </c>
      <c r="E87" s="31">
        <v>12</v>
      </c>
      <c r="F87" s="32">
        <f>D87*E87</f>
        <v>96</v>
      </c>
    </row>
    <row r="88" spans="1:6" ht="25.5" x14ac:dyDescent="0.25">
      <c r="A88" s="127" t="s">
        <v>124</v>
      </c>
      <c r="B88" s="48" t="s">
        <v>43</v>
      </c>
      <c r="C88" s="29" t="s">
        <v>12</v>
      </c>
      <c r="D88" s="30">
        <v>16</v>
      </c>
      <c r="E88" s="31">
        <v>13</v>
      </c>
      <c r="F88" s="32">
        <f>D88*E88</f>
        <v>208</v>
      </c>
    </row>
    <row r="89" spans="1:6" ht="25.5" x14ac:dyDescent="0.25">
      <c r="A89" s="127" t="s">
        <v>125</v>
      </c>
      <c r="B89" s="48" t="s">
        <v>63</v>
      </c>
      <c r="C89" s="29" t="s">
        <v>12</v>
      </c>
      <c r="D89" s="30">
        <v>8</v>
      </c>
      <c r="E89" s="31">
        <v>13</v>
      </c>
      <c r="F89" s="32">
        <f>D89*E89</f>
        <v>104</v>
      </c>
    </row>
    <row r="90" spans="1:6" ht="25.5" x14ac:dyDescent="0.2">
      <c r="A90" s="127" t="s">
        <v>126</v>
      </c>
      <c r="B90" s="49" t="s">
        <v>165</v>
      </c>
      <c r="C90" s="29" t="s">
        <v>12</v>
      </c>
      <c r="D90" s="30">
        <v>8</v>
      </c>
      <c r="E90" s="31">
        <v>10</v>
      </c>
      <c r="F90" s="32">
        <f>D90*E90</f>
        <v>80</v>
      </c>
    </row>
    <row r="91" spans="1:6" x14ac:dyDescent="0.25">
      <c r="A91" s="53"/>
      <c r="B91" s="55"/>
      <c r="C91" s="29"/>
      <c r="D91" s="30"/>
      <c r="E91" s="31"/>
      <c r="F91" s="32"/>
    </row>
    <row r="92" spans="1:6" x14ac:dyDescent="0.25">
      <c r="A92" s="53"/>
      <c r="B92" s="15" t="s">
        <v>34</v>
      </c>
      <c r="C92" s="29"/>
      <c r="D92" s="30"/>
      <c r="E92" s="31"/>
      <c r="F92" s="32"/>
    </row>
    <row r="93" spans="1:6" ht="25.5" x14ac:dyDescent="0.25">
      <c r="A93" s="134" t="s">
        <v>127</v>
      </c>
      <c r="B93" s="48" t="s">
        <v>44</v>
      </c>
      <c r="C93" s="150" t="s">
        <v>12</v>
      </c>
      <c r="D93" s="135">
        <v>16</v>
      </c>
      <c r="E93" s="151">
        <v>10</v>
      </c>
      <c r="F93" s="101">
        <f>D93*E93</f>
        <v>160</v>
      </c>
    </row>
    <row r="94" spans="1:6" ht="25.5" x14ac:dyDescent="0.25">
      <c r="A94" s="134" t="s">
        <v>128</v>
      </c>
      <c r="B94" s="48" t="s">
        <v>36</v>
      </c>
      <c r="C94" s="150" t="s">
        <v>12</v>
      </c>
      <c r="D94" s="135">
        <v>40</v>
      </c>
      <c r="E94" s="151">
        <v>8</v>
      </c>
      <c r="F94" s="101">
        <f>D94*E94</f>
        <v>320</v>
      </c>
    </row>
    <row r="95" spans="1:6" ht="25.5" x14ac:dyDescent="0.2">
      <c r="A95" s="156" t="s">
        <v>157</v>
      </c>
      <c r="B95" s="49" t="s">
        <v>37</v>
      </c>
      <c r="C95" s="150" t="s">
        <v>12</v>
      </c>
      <c r="D95" s="135">
        <v>32</v>
      </c>
      <c r="E95" s="151">
        <v>12</v>
      </c>
      <c r="F95" s="101">
        <f>D95*E95</f>
        <v>384</v>
      </c>
    </row>
    <row r="96" spans="1:6" ht="38.25" x14ac:dyDescent="0.2">
      <c r="A96" s="156" t="s">
        <v>158</v>
      </c>
      <c r="B96" s="49" t="s">
        <v>164</v>
      </c>
      <c r="C96" s="150" t="s">
        <v>12</v>
      </c>
      <c r="D96" s="135">
        <v>8</v>
      </c>
      <c r="E96" s="151">
        <v>60</v>
      </c>
      <c r="F96" s="101">
        <f>D96*E96</f>
        <v>480</v>
      </c>
    </row>
    <row r="97" spans="1:9" x14ac:dyDescent="0.2">
      <c r="A97" s="41"/>
      <c r="B97" s="49"/>
      <c r="C97" s="29"/>
      <c r="D97" s="30"/>
      <c r="E97" s="31"/>
      <c r="F97" s="32"/>
    </row>
    <row r="98" spans="1:9" x14ac:dyDescent="0.2">
      <c r="A98" s="41"/>
      <c r="B98" s="152" t="s">
        <v>160</v>
      </c>
      <c r="C98" s="29"/>
      <c r="D98" s="30"/>
      <c r="E98" s="31"/>
      <c r="F98" s="32"/>
    </row>
    <row r="99" spans="1:9" ht="25.5" x14ac:dyDescent="0.2">
      <c r="A99" s="41" t="s">
        <v>161</v>
      </c>
      <c r="B99" s="49" t="s">
        <v>159</v>
      </c>
      <c r="C99" s="29" t="s">
        <v>12</v>
      </c>
      <c r="D99" s="30">
        <v>8</v>
      </c>
      <c r="E99" s="31">
        <v>2500</v>
      </c>
      <c r="F99" s="32">
        <f>D99*E99</f>
        <v>20000</v>
      </c>
    </row>
    <row r="100" spans="1:9" x14ac:dyDescent="0.2">
      <c r="A100" s="41"/>
      <c r="B100" s="49"/>
      <c r="C100" s="29"/>
      <c r="D100" s="30"/>
      <c r="E100" s="31"/>
      <c r="F100" s="32"/>
    </row>
    <row r="101" spans="1:9" x14ac:dyDescent="0.2">
      <c r="A101" s="41"/>
      <c r="B101" s="49"/>
      <c r="C101" s="29"/>
      <c r="D101" s="30"/>
      <c r="E101" s="31"/>
      <c r="F101" s="32"/>
    </row>
    <row r="102" spans="1:9" x14ac:dyDescent="0.2">
      <c r="A102" s="41"/>
      <c r="B102" s="49"/>
      <c r="C102" s="29"/>
      <c r="D102" s="30"/>
      <c r="E102" s="31"/>
      <c r="F102" s="32"/>
    </row>
    <row r="103" spans="1:9" x14ac:dyDescent="0.25">
      <c r="A103" s="127"/>
      <c r="B103" s="33"/>
      <c r="C103" s="29"/>
      <c r="D103" s="30"/>
      <c r="E103" s="31"/>
      <c r="F103" s="50"/>
    </row>
    <row r="104" spans="1:9" ht="15" customHeight="1" thickBot="1" x14ac:dyDescent="0.3">
      <c r="A104" s="164" t="s">
        <v>138</v>
      </c>
      <c r="B104" s="43" t="s">
        <v>30</v>
      </c>
      <c r="C104" s="44"/>
      <c r="D104" s="45"/>
      <c r="E104" s="28"/>
      <c r="F104" s="52">
        <f>SUM(F64:F101)</f>
        <v>54691</v>
      </c>
    </row>
    <row r="105" spans="1:9" s="57" customFormat="1" ht="15" customHeight="1" thickTop="1" x14ac:dyDescent="0.25">
      <c r="A105" s="161"/>
      <c r="C105" s="24"/>
      <c r="D105" s="47"/>
      <c r="E105" s="26"/>
      <c r="F105" s="27"/>
      <c r="G105" s="58"/>
      <c r="I105" s="58"/>
    </row>
    <row r="106" spans="1:9" s="57" customFormat="1" ht="15" customHeight="1" x14ac:dyDescent="0.25">
      <c r="A106" s="165" t="s">
        <v>45</v>
      </c>
      <c r="B106" s="15" t="s">
        <v>129</v>
      </c>
      <c r="C106" s="29"/>
      <c r="D106" s="30"/>
      <c r="E106" s="31"/>
      <c r="F106" s="32"/>
      <c r="G106" s="58"/>
      <c r="I106" s="58"/>
    </row>
    <row r="107" spans="1:9" s="57" customFormat="1" ht="15" customHeight="1" x14ac:dyDescent="0.25">
      <c r="A107" s="53"/>
      <c r="B107" s="54"/>
      <c r="C107" s="29"/>
      <c r="D107" s="30"/>
      <c r="E107" s="31"/>
      <c r="F107" s="32"/>
      <c r="G107" s="58"/>
      <c r="I107" s="58"/>
    </row>
    <row r="108" spans="1:9" s="57" customFormat="1" ht="39.75" x14ac:dyDescent="0.25">
      <c r="A108" s="166" t="s">
        <v>10</v>
      </c>
      <c r="B108" s="34" t="s">
        <v>11</v>
      </c>
      <c r="C108" s="35" t="s">
        <v>12</v>
      </c>
      <c r="D108" s="36">
        <v>156</v>
      </c>
      <c r="E108" s="37">
        <v>50</v>
      </c>
      <c r="F108" s="32">
        <f t="shared" ref="F108:F112" si="3">D108*E108</f>
        <v>7800</v>
      </c>
      <c r="G108" s="58"/>
      <c r="I108" s="58"/>
    </row>
    <row r="109" spans="1:9" s="57" customFormat="1" ht="39.75" x14ac:dyDescent="0.25">
      <c r="A109" s="166" t="s">
        <v>13</v>
      </c>
      <c r="B109" s="34" t="s">
        <v>14</v>
      </c>
      <c r="C109" s="35" t="s">
        <v>12</v>
      </c>
      <c r="D109" s="36">
        <v>88</v>
      </c>
      <c r="E109" s="37">
        <v>55</v>
      </c>
      <c r="F109" s="32">
        <f t="shared" si="3"/>
        <v>4840</v>
      </c>
      <c r="G109" s="58"/>
      <c r="I109" s="58"/>
    </row>
    <row r="110" spans="1:9" s="57" customFormat="1" ht="39.75" x14ac:dyDescent="0.25">
      <c r="A110" s="166" t="s">
        <v>15</v>
      </c>
      <c r="B110" s="34" t="s">
        <v>61</v>
      </c>
      <c r="C110" s="35" t="s">
        <v>17</v>
      </c>
      <c r="D110" s="76">
        <v>30</v>
      </c>
      <c r="E110" s="37">
        <v>35</v>
      </c>
      <c r="F110" s="32">
        <f t="shared" si="3"/>
        <v>1050</v>
      </c>
      <c r="G110" s="58"/>
      <c r="I110" s="58"/>
    </row>
    <row r="111" spans="1:9" s="57" customFormat="1" ht="38.25" x14ac:dyDescent="0.25">
      <c r="A111" s="166" t="s">
        <v>16</v>
      </c>
      <c r="B111" s="34" t="s">
        <v>62</v>
      </c>
      <c r="C111" s="35" t="s">
        <v>12</v>
      </c>
      <c r="D111" s="36">
        <v>8</v>
      </c>
      <c r="E111" s="37">
        <v>1700</v>
      </c>
      <c r="F111" s="32">
        <f t="shared" si="3"/>
        <v>13600</v>
      </c>
      <c r="G111" s="58"/>
      <c r="I111" s="58"/>
    </row>
    <row r="112" spans="1:9" s="102" customFormat="1" ht="25.5" x14ac:dyDescent="0.25">
      <c r="A112" s="162" t="s">
        <v>35</v>
      </c>
      <c r="B112" s="34" t="s">
        <v>23</v>
      </c>
      <c r="C112" s="98" t="s">
        <v>17</v>
      </c>
      <c r="D112" s="99">
        <v>20</v>
      </c>
      <c r="E112" s="103">
        <v>5</v>
      </c>
      <c r="F112" s="101">
        <f t="shared" si="3"/>
        <v>100</v>
      </c>
      <c r="G112" s="58"/>
      <c r="I112" s="58"/>
    </row>
    <row r="113" spans="1:9" s="57" customFormat="1" ht="15" customHeight="1" x14ac:dyDescent="0.25">
      <c r="A113" s="166"/>
      <c r="B113" s="34"/>
      <c r="C113" s="35"/>
      <c r="D113" s="36"/>
      <c r="E113" s="39"/>
      <c r="F113" s="32"/>
      <c r="G113" s="58"/>
      <c r="I113" s="58"/>
    </row>
    <row r="114" spans="1:9" s="57" customFormat="1" ht="15" customHeight="1" x14ac:dyDescent="0.25">
      <c r="A114" s="127"/>
      <c r="B114" s="15" t="s">
        <v>40</v>
      </c>
      <c r="C114" s="29"/>
      <c r="D114" s="30"/>
      <c r="E114" s="31"/>
      <c r="F114" s="32"/>
      <c r="G114" s="58"/>
      <c r="I114" s="58"/>
    </row>
    <row r="115" spans="1:9" s="57" customFormat="1" ht="15" customHeight="1" x14ac:dyDescent="0.25">
      <c r="A115" s="30" t="s">
        <v>18</v>
      </c>
      <c r="B115" s="73" t="s">
        <v>111</v>
      </c>
      <c r="C115" s="29" t="s">
        <v>26</v>
      </c>
      <c r="D115" s="30">
        <v>16</v>
      </c>
      <c r="E115" s="31">
        <v>45</v>
      </c>
      <c r="F115" s="32">
        <f t="shared" ref="F115:F124" si="4">D115*E115</f>
        <v>720</v>
      </c>
      <c r="G115" s="58"/>
      <c r="I115" s="58"/>
    </row>
    <row r="116" spans="1:9" s="57" customFormat="1" ht="15" customHeight="1" x14ac:dyDescent="0.25">
      <c r="A116" s="167" t="s">
        <v>19</v>
      </c>
      <c r="B116" s="73" t="s">
        <v>112</v>
      </c>
      <c r="C116" s="29" t="s">
        <v>26</v>
      </c>
      <c r="D116" s="30">
        <v>16</v>
      </c>
      <c r="E116" s="31">
        <v>45</v>
      </c>
      <c r="F116" s="32">
        <f t="shared" si="4"/>
        <v>720</v>
      </c>
      <c r="G116" s="58"/>
      <c r="I116" s="58"/>
    </row>
    <row r="117" spans="1:9" s="57" customFormat="1" ht="15" customHeight="1" x14ac:dyDescent="0.25">
      <c r="A117" s="127" t="s">
        <v>20</v>
      </c>
      <c r="B117" s="73" t="s">
        <v>65</v>
      </c>
      <c r="C117" s="29" t="s">
        <v>26</v>
      </c>
      <c r="D117" s="30">
        <v>16</v>
      </c>
      <c r="E117" s="31">
        <v>40</v>
      </c>
      <c r="F117" s="32">
        <f t="shared" si="4"/>
        <v>640</v>
      </c>
      <c r="G117" s="58"/>
      <c r="I117" s="58"/>
    </row>
    <row r="118" spans="1:9" s="57" customFormat="1" ht="15" customHeight="1" x14ac:dyDescent="0.25">
      <c r="A118" s="127" t="s">
        <v>21</v>
      </c>
      <c r="B118" s="33" t="s">
        <v>113</v>
      </c>
      <c r="C118" s="29" t="s">
        <v>26</v>
      </c>
      <c r="D118" s="30">
        <v>14</v>
      </c>
      <c r="E118" s="31">
        <v>40</v>
      </c>
      <c r="F118" s="32">
        <f t="shared" si="4"/>
        <v>560</v>
      </c>
      <c r="G118" s="58"/>
      <c r="I118" s="58"/>
    </row>
    <row r="119" spans="1:9" s="57" customFormat="1" ht="15" customHeight="1" x14ac:dyDescent="0.25">
      <c r="A119" s="127" t="s">
        <v>22</v>
      </c>
      <c r="B119" s="73" t="s">
        <v>114</v>
      </c>
      <c r="C119" s="29" t="s">
        <v>26</v>
      </c>
      <c r="D119" s="30">
        <v>16</v>
      </c>
      <c r="E119" s="31">
        <v>35</v>
      </c>
      <c r="F119" s="32">
        <f t="shared" si="4"/>
        <v>560</v>
      </c>
      <c r="G119" s="58"/>
      <c r="I119" s="58"/>
    </row>
    <row r="120" spans="1:9" s="57" customFormat="1" ht="15" customHeight="1" x14ac:dyDescent="0.25">
      <c r="A120" s="127" t="s">
        <v>24</v>
      </c>
      <c r="B120" s="73" t="s">
        <v>115</v>
      </c>
      <c r="C120" s="29" t="s">
        <v>26</v>
      </c>
      <c r="D120" s="30">
        <v>16</v>
      </c>
      <c r="E120" s="31">
        <v>35</v>
      </c>
      <c r="F120" s="32">
        <f t="shared" si="4"/>
        <v>560</v>
      </c>
      <c r="G120" s="58"/>
      <c r="I120" s="58"/>
    </row>
    <row r="121" spans="1:9" s="57" customFormat="1" ht="15" customHeight="1" x14ac:dyDescent="0.25">
      <c r="A121" s="127" t="s">
        <v>25</v>
      </c>
      <c r="B121" s="73" t="s">
        <v>116</v>
      </c>
      <c r="C121" s="29" t="s">
        <v>26</v>
      </c>
      <c r="D121" s="30">
        <v>8</v>
      </c>
      <c r="E121" s="31">
        <v>90</v>
      </c>
      <c r="F121" s="32">
        <f t="shared" si="4"/>
        <v>720</v>
      </c>
      <c r="G121" s="58"/>
      <c r="I121" s="58"/>
    </row>
    <row r="122" spans="1:9" s="57" customFormat="1" ht="15" customHeight="1" x14ac:dyDescent="0.25">
      <c r="A122" s="127" t="s">
        <v>27</v>
      </c>
      <c r="B122" s="73" t="s">
        <v>117</v>
      </c>
      <c r="C122" s="29" t="s">
        <v>26</v>
      </c>
      <c r="D122" s="30">
        <v>8</v>
      </c>
      <c r="E122" s="31">
        <v>80</v>
      </c>
      <c r="F122" s="32">
        <f t="shared" si="4"/>
        <v>640</v>
      </c>
      <c r="G122" s="58"/>
      <c r="I122" s="58"/>
    </row>
    <row r="123" spans="1:9" s="57" customFormat="1" ht="15" customHeight="1" x14ac:dyDescent="0.25">
      <c r="A123" s="127" t="s">
        <v>28</v>
      </c>
      <c r="B123" s="96" t="s">
        <v>118</v>
      </c>
      <c r="C123" s="29" t="s">
        <v>26</v>
      </c>
      <c r="D123" s="30">
        <v>16</v>
      </c>
      <c r="E123" s="31">
        <v>45</v>
      </c>
      <c r="F123" s="32">
        <f t="shared" si="4"/>
        <v>720</v>
      </c>
      <c r="G123" s="58"/>
      <c r="I123" s="58"/>
    </row>
    <row r="124" spans="1:9" s="57" customFormat="1" ht="15" customHeight="1" x14ac:dyDescent="0.25">
      <c r="A124" s="127" t="s">
        <v>120</v>
      </c>
      <c r="B124" s="73" t="s">
        <v>119</v>
      </c>
      <c r="C124" s="29" t="s">
        <v>26</v>
      </c>
      <c r="D124" s="30">
        <v>8</v>
      </c>
      <c r="E124" s="31">
        <v>85</v>
      </c>
      <c r="F124" s="32">
        <f t="shared" si="4"/>
        <v>680</v>
      </c>
      <c r="G124" s="58"/>
      <c r="I124" s="58"/>
    </row>
    <row r="125" spans="1:9" s="57" customFormat="1" ht="15" customHeight="1" x14ac:dyDescent="0.25">
      <c r="A125" s="127"/>
      <c r="B125" s="55"/>
      <c r="C125" s="29"/>
      <c r="D125" s="30"/>
      <c r="E125" s="31"/>
      <c r="F125" s="32"/>
      <c r="G125" s="58"/>
      <c r="I125" s="58"/>
    </row>
    <row r="126" spans="1:9" s="57" customFormat="1" ht="15" customHeight="1" x14ac:dyDescent="0.25">
      <c r="A126" s="53"/>
      <c r="B126" s="15" t="s">
        <v>31</v>
      </c>
      <c r="C126" s="29"/>
      <c r="D126" s="30"/>
      <c r="E126" s="31"/>
      <c r="F126" s="32"/>
      <c r="G126" s="58"/>
      <c r="I126" s="58"/>
    </row>
    <row r="127" spans="1:9" s="57" customFormat="1" ht="25.5" x14ac:dyDescent="0.25">
      <c r="A127" s="127" t="s">
        <v>121</v>
      </c>
      <c r="B127" s="48" t="s">
        <v>32</v>
      </c>
      <c r="C127" s="29" t="s">
        <v>12</v>
      </c>
      <c r="D127" s="30">
        <v>24</v>
      </c>
      <c r="E127" s="31">
        <v>4</v>
      </c>
      <c r="F127" s="32">
        <f>D127*E127</f>
        <v>96</v>
      </c>
      <c r="G127" s="58"/>
      <c r="I127" s="58"/>
    </row>
    <row r="128" spans="1:9" s="57" customFormat="1" ht="25.5" x14ac:dyDescent="0.25">
      <c r="A128" s="127" t="s">
        <v>122</v>
      </c>
      <c r="B128" s="48" t="s">
        <v>33</v>
      </c>
      <c r="C128" s="29" t="s">
        <v>12</v>
      </c>
      <c r="D128" s="30">
        <v>16</v>
      </c>
      <c r="E128" s="31">
        <v>8</v>
      </c>
      <c r="F128" s="32">
        <f>D128*E128</f>
        <v>128</v>
      </c>
      <c r="G128" s="58"/>
      <c r="I128" s="58"/>
    </row>
    <row r="129" spans="1:9" s="57" customFormat="1" ht="25.5" x14ac:dyDescent="0.25">
      <c r="A129" s="127" t="s">
        <v>123</v>
      </c>
      <c r="B129" s="48" t="s">
        <v>42</v>
      </c>
      <c r="C129" s="29" t="s">
        <v>12</v>
      </c>
      <c r="D129" s="30">
        <v>8</v>
      </c>
      <c r="E129" s="31">
        <v>12</v>
      </c>
      <c r="F129" s="32">
        <f>D129*E129</f>
        <v>96</v>
      </c>
      <c r="G129" s="58"/>
      <c r="I129" s="58"/>
    </row>
    <row r="130" spans="1:9" s="57" customFormat="1" ht="25.5" x14ac:dyDescent="0.25">
      <c r="A130" s="127" t="s">
        <v>124</v>
      </c>
      <c r="B130" s="48" t="s">
        <v>43</v>
      </c>
      <c r="C130" s="29" t="s">
        <v>12</v>
      </c>
      <c r="D130" s="30">
        <v>16</v>
      </c>
      <c r="E130" s="31">
        <v>13</v>
      </c>
      <c r="F130" s="32">
        <f>D130*E130</f>
        <v>208</v>
      </c>
      <c r="G130" s="58"/>
      <c r="I130" s="58"/>
    </row>
    <row r="131" spans="1:9" s="57" customFormat="1" ht="25.5" x14ac:dyDescent="0.25">
      <c r="A131" s="127" t="s">
        <v>125</v>
      </c>
      <c r="B131" s="48" t="s">
        <v>63</v>
      </c>
      <c r="C131" s="29" t="s">
        <v>12</v>
      </c>
      <c r="D131" s="30">
        <v>8</v>
      </c>
      <c r="E131" s="31">
        <v>13</v>
      </c>
      <c r="F131" s="32">
        <f>D131*E131</f>
        <v>104</v>
      </c>
      <c r="G131" s="58"/>
      <c r="I131" s="58"/>
    </row>
    <row r="132" spans="1:9" s="57" customFormat="1" ht="25.5" x14ac:dyDescent="0.2">
      <c r="A132" s="127" t="s">
        <v>126</v>
      </c>
      <c r="B132" s="49" t="s">
        <v>165</v>
      </c>
      <c r="C132" s="29" t="s">
        <v>12</v>
      </c>
      <c r="D132" s="30">
        <v>8</v>
      </c>
      <c r="E132" s="31">
        <v>10</v>
      </c>
      <c r="F132" s="32">
        <f>D132*E132</f>
        <v>80</v>
      </c>
      <c r="G132" s="58"/>
      <c r="I132" s="58"/>
    </row>
    <row r="133" spans="1:9" s="57" customFormat="1" x14ac:dyDescent="0.25">
      <c r="A133" s="53"/>
      <c r="B133" s="55"/>
      <c r="C133" s="29"/>
      <c r="D133" s="30"/>
      <c r="E133" s="31"/>
      <c r="F133" s="32"/>
      <c r="G133" s="58"/>
      <c r="I133" s="58"/>
    </row>
    <row r="134" spans="1:9" s="57" customFormat="1" ht="15" customHeight="1" x14ac:dyDescent="0.25">
      <c r="A134" s="53"/>
      <c r="B134" s="15" t="s">
        <v>34</v>
      </c>
      <c r="C134" s="29"/>
      <c r="D134" s="30"/>
      <c r="E134" s="31"/>
      <c r="F134" s="32"/>
      <c r="G134" s="58"/>
      <c r="I134" s="58"/>
    </row>
    <row r="135" spans="1:9" s="102" customFormat="1" ht="15" customHeight="1" x14ac:dyDescent="0.25">
      <c r="A135" s="134" t="s">
        <v>127</v>
      </c>
      <c r="B135" s="48" t="s">
        <v>44</v>
      </c>
      <c r="C135" s="150" t="s">
        <v>12</v>
      </c>
      <c r="D135" s="135">
        <v>16</v>
      </c>
      <c r="E135" s="151">
        <v>10</v>
      </c>
      <c r="F135" s="101">
        <f>D135*E135</f>
        <v>160</v>
      </c>
      <c r="G135" s="58"/>
      <c r="I135" s="58"/>
    </row>
    <row r="136" spans="1:9" s="102" customFormat="1" ht="15" customHeight="1" x14ac:dyDescent="0.25">
      <c r="A136" s="134" t="s">
        <v>128</v>
      </c>
      <c r="B136" s="48" t="s">
        <v>36</v>
      </c>
      <c r="C136" s="150" t="s">
        <v>12</v>
      </c>
      <c r="D136" s="135">
        <v>40</v>
      </c>
      <c r="E136" s="151">
        <v>8</v>
      </c>
      <c r="F136" s="101">
        <f>D136*E136</f>
        <v>320</v>
      </c>
      <c r="G136" s="58"/>
      <c r="I136" s="58"/>
    </row>
    <row r="137" spans="1:9" s="102" customFormat="1" ht="25.5" x14ac:dyDescent="0.2">
      <c r="A137" s="156" t="s">
        <v>157</v>
      </c>
      <c r="B137" s="49" t="s">
        <v>37</v>
      </c>
      <c r="C137" s="150" t="s">
        <v>12</v>
      </c>
      <c r="D137" s="135">
        <v>32</v>
      </c>
      <c r="E137" s="151">
        <v>12</v>
      </c>
      <c r="F137" s="101">
        <f>D137*E137</f>
        <v>384</v>
      </c>
      <c r="G137" s="58"/>
      <c r="I137" s="58"/>
    </row>
    <row r="138" spans="1:9" s="102" customFormat="1" ht="38.25" x14ac:dyDescent="0.2">
      <c r="A138" s="156" t="s">
        <v>158</v>
      </c>
      <c r="B138" s="49" t="s">
        <v>164</v>
      </c>
      <c r="C138" s="150" t="s">
        <v>12</v>
      </c>
      <c r="D138" s="135">
        <v>8</v>
      </c>
      <c r="E138" s="151">
        <v>60</v>
      </c>
      <c r="F138" s="101">
        <f>D138*E138</f>
        <v>480</v>
      </c>
      <c r="G138" s="58"/>
      <c r="I138" s="58"/>
    </row>
    <row r="139" spans="1:9" s="57" customFormat="1" ht="15" customHeight="1" x14ac:dyDescent="0.2">
      <c r="A139" s="41"/>
      <c r="B139" s="49"/>
      <c r="C139" s="29"/>
      <c r="D139" s="30"/>
      <c r="E139" s="31"/>
      <c r="F139" s="32"/>
      <c r="G139" s="58"/>
      <c r="I139" s="58"/>
    </row>
    <row r="140" spans="1:9" s="57" customFormat="1" ht="15" customHeight="1" x14ac:dyDescent="0.2">
      <c r="A140" s="41"/>
      <c r="B140" s="152" t="s">
        <v>160</v>
      </c>
      <c r="C140" s="29"/>
      <c r="D140" s="30"/>
      <c r="E140" s="31"/>
      <c r="F140" s="32"/>
      <c r="G140" s="58"/>
      <c r="I140" s="58"/>
    </row>
    <row r="141" spans="1:9" s="57" customFormat="1" ht="25.5" x14ac:dyDescent="0.2">
      <c r="A141" s="41" t="s">
        <v>161</v>
      </c>
      <c r="B141" s="49" t="s">
        <v>159</v>
      </c>
      <c r="C141" s="29" t="s">
        <v>12</v>
      </c>
      <c r="D141" s="30">
        <v>8</v>
      </c>
      <c r="E141" s="31">
        <v>2500</v>
      </c>
      <c r="F141" s="32">
        <f>D141*E141</f>
        <v>20000</v>
      </c>
      <c r="G141" s="58"/>
      <c r="I141" s="58"/>
    </row>
    <row r="142" spans="1:9" s="57" customFormat="1" ht="15" customHeight="1" x14ac:dyDescent="0.2">
      <c r="A142" s="41"/>
      <c r="B142" s="49"/>
      <c r="C142" s="29"/>
      <c r="D142" s="30"/>
      <c r="E142" s="31"/>
      <c r="F142" s="32"/>
      <c r="G142" s="58"/>
      <c r="I142" s="58"/>
    </row>
    <row r="143" spans="1:9" s="57" customFormat="1" ht="15" customHeight="1" x14ac:dyDescent="0.2">
      <c r="A143" s="41"/>
      <c r="B143" s="49"/>
      <c r="C143" s="29"/>
      <c r="D143" s="30"/>
      <c r="E143" s="31"/>
      <c r="F143" s="32"/>
      <c r="G143" s="58"/>
      <c r="I143" s="58"/>
    </row>
    <row r="144" spans="1:9" s="57" customFormat="1" ht="15" customHeight="1" x14ac:dyDescent="0.2">
      <c r="A144" s="41"/>
      <c r="B144" s="49"/>
      <c r="C144" s="29"/>
      <c r="D144" s="30"/>
      <c r="E144" s="31"/>
      <c r="F144" s="32"/>
      <c r="G144" s="58"/>
      <c r="I144" s="58"/>
    </row>
    <row r="145" spans="1:9" s="57" customFormat="1" ht="15" customHeight="1" x14ac:dyDescent="0.2">
      <c r="A145" s="41"/>
      <c r="B145" s="49"/>
      <c r="C145" s="29"/>
      <c r="D145" s="30"/>
      <c r="E145" s="31"/>
      <c r="F145" s="32"/>
      <c r="G145" s="58"/>
      <c r="I145" s="58"/>
    </row>
    <row r="146" spans="1:9" s="57" customFormat="1" ht="15" customHeight="1" x14ac:dyDescent="0.2">
      <c r="A146" s="41"/>
      <c r="B146" s="49"/>
      <c r="C146" s="29"/>
      <c r="D146" s="30"/>
      <c r="E146" s="31"/>
      <c r="F146" s="32"/>
      <c r="G146" s="58"/>
      <c r="I146" s="58"/>
    </row>
    <row r="147" spans="1:9" s="57" customFormat="1" ht="15" customHeight="1" thickBot="1" x14ac:dyDescent="0.3">
      <c r="A147" s="164" t="s">
        <v>139</v>
      </c>
      <c r="B147" s="43" t="s">
        <v>30</v>
      </c>
      <c r="C147" s="44"/>
      <c r="D147" s="45"/>
      <c r="E147" s="28"/>
      <c r="F147" s="52">
        <f>SUM(F106:F144)</f>
        <v>55966</v>
      </c>
      <c r="G147" s="58"/>
      <c r="I147" s="58"/>
    </row>
    <row r="148" spans="1:9" s="57" customFormat="1" ht="15" customHeight="1" thickTop="1" x14ac:dyDescent="0.25">
      <c r="A148" s="161"/>
      <c r="B148" s="97"/>
      <c r="C148" s="24"/>
      <c r="D148" s="47"/>
      <c r="E148" s="26"/>
      <c r="F148" s="32"/>
      <c r="G148" s="58"/>
      <c r="I148" s="58"/>
    </row>
    <row r="149" spans="1:9" s="57" customFormat="1" ht="15" customHeight="1" x14ac:dyDescent="0.25">
      <c r="A149" s="161"/>
      <c r="C149" s="24"/>
      <c r="D149" s="47"/>
      <c r="E149" s="26"/>
      <c r="F149" s="27"/>
      <c r="G149" s="58"/>
      <c r="I149" s="58"/>
    </row>
    <row r="150" spans="1:9" s="57" customFormat="1" ht="15" customHeight="1" x14ac:dyDescent="0.25">
      <c r="A150" s="165" t="s">
        <v>55</v>
      </c>
      <c r="B150" s="15" t="s">
        <v>130</v>
      </c>
      <c r="C150" s="29"/>
      <c r="D150" s="30"/>
      <c r="E150" s="31"/>
      <c r="F150" s="32"/>
      <c r="G150" s="58"/>
      <c r="I150" s="58"/>
    </row>
    <row r="151" spans="1:9" s="57" customFormat="1" ht="15" customHeight="1" x14ac:dyDescent="0.25">
      <c r="A151" s="53"/>
      <c r="B151" s="54"/>
      <c r="C151" s="29"/>
      <c r="D151" s="30"/>
      <c r="E151" s="31"/>
      <c r="F151" s="32"/>
      <c r="G151" s="58"/>
      <c r="I151" s="58"/>
    </row>
    <row r="152" spans="1:9" s="57" customFormat="1" ht="39.75" x14ac:dyDescent="0.25">
      <c r="A152" s="166" t="s">
        <v>10</v>
      </c>
      <c r="B152" s="34" t="s">
        <v>11</v>
      </c>
      <c r="C152" s="35" t="s">
        <v>12</v>
      </c>
      <c r="D152" s="36">
        <v>156</v>
      </c>
      <c r="E152" s="37">
        <v>50</v>
      </c>
      <c r="F152" s="32">
        <f t="shared" ref="F152:F156" si="5">D152*E152</f>
        <v>7800</v>
      </c>
      <c r="G152" s="58"/>
      <c r="I152" s="58"/>
    </row>
    <row r="153" spans="1:9" s="57" customFormat="1" ht="39.75" x14ac:dyDescent="0.25">
      <c r="A153" s="166" t="s">
        <v>13</v>
      </c>
      <c r="B153" s="34" t="s">
        <v>14</v>
      </c>
      <c r="C153" s="35" t="s">
        <v>12</v>
      </c>
      <c r="D153" s="36">
        <v>88</v>
      </c>
      <c r="E153" s="37">
        <v>55</v>
      </c>
      <c r="F153" s="32">
        <f t="shared" si="5"/>
        <v>4840</v>
      </c>
      <c r="G153" s="58"/>
      <c r="I153" s="58"/>
    </row>
    <row r="154" spans="1:9" s="57" customFormat="1" ht="39.75" x14ac:dyDescent="0.25">
      <c r="A154" s="166" t="s">
        <v>15</v>
      </c>
      <c r="B154" s="34" t="s">
        <v>61</v>
      </c>
      <c r="C154" s="35" t="s">
        <v>17</v>
      </c>
      <c r="D154" s="76">
        <v>35</v>
      </c>
      <c r="E154" s="37">
        <v>35</v>
      </c>
      <c r="F154" s="32">
        <f t="shared" si="5"/>
        <v>1225</v>
      </c>
      <c r="G154" s="58"/>
      <c r="I154" s="58"/>
    </row>
    <row r="155" spans="1:9" s="57" customFormat="1" ht="38.25" x14ac:dyDescent="0.25">
      <c r="A155" s="166" t="s">
        <v>16</v>
      </c>
      <c r="B155" s="34" t="s">
        <v>62</v>
      </c>
      <c r="C155" s="35" t="s">
        <v>12</v>
      </c>
      <c r="D155" s="36">
        <v>8</v>
      </c>
      <c r="E155" s="37">
        <v>1700</v>
      </c>
      <c r="F155" s="32">
        <f t="shared" si="5"/>
        <v>13600</v>
      </c>
      <c r="G155" s="58"/>
      <c r="I155" s="58"/>
    </row>
    <row r="156" spans="1:9" s="102" customFormat="1" ht="25.5" x14ac:dyDescent="0.25">
      <c r="A156" s="162" t="s">
        <v>35</v>
      </c>
      <c r="B156" s="34" t="s">
        <v>23</v>
      </c>
      <c r="C156" s="98" t="s">
        <v>17</v>
      </c>
      <c r="D156" s="99">
        <v>20</v>
      </c>
      <c r="E156" s="103">
        <v>5</v>
      </c>
      <c r="F156" s="101">
        <f t="shared" si="5"/>
        <v>100</v>
      </c>
      <c r="G156" s="58"/>
      <c r="I156" s="58"/>
    </row>
    <row r="157" spans="1:9" s="57" customFormat="1" ht="15" customHeight="1" x14ac:dyDescent="0.25">
      <c r="A157" s="166"/>
      <c r="B157" s="34"/>
      <c r="C157" s="35"/>
      <c r="D157" s="36"/>
      <c r="E157" s="39"/>
      <c r="F157" s="32"/>
      <c r="G157" s="58"/>
      <c r="I157" s="58"/>
    </row>
    <row r="158" spans="1:9" s="57" customFormat="1" ht="15" customHeight="1" x14ac:dyDescent="0.25">
      <c r="A158" s="127"/>
      <c r="B158" s="15" t="s">
        <v>40</v>
      </c>
      <c r="C158" s="29"/>
      <c r="D158" s="30"/>
      <c r="E158" s="31"/>
      <c r="F158" s="32"/>
      <c r="G158" s="58"/>
      <c r="I158" s="58"/>
    </row>
    <row r="159" spans="1:9" s="57" customFormat="1" ht="15" customHeight="1" x14ac:dyDescent="0.25">
      <c r="A159" s="30" t="s">
        <v>18</v>
      </c>
      <c r="B159" s="73" t="s">
        <v>111</v>
      </c>
      <c r="C159" s="29" t="s">
        <v>26</v>
      </c>
      <c r="D159" s="30">
        <v>16</v>
      </c>
      <c r="E159" s="31">
        <v>45</v>
      </c>
      <c r="F159" s="32">
        <f t="shared" ref="F159:F168" si="6">D159*E159</f>
        <v>720</v>
      </c>
      <c r="G159" s="58"/>
      <c r="I159" s="58"/>
    </row>
    <row r="160" spans="1:9" s="57" customFormat="1" ht="15" customHeight="1" x14ac:dyDescent="0.25">
      <c r="A160" s="167" t="s">
        <v>19</v>
      </c>
      <c r="B160" s="73" t="s">
        <v>112</v>
      </c>
      <c r="C160" s="29" t="s">
        <v>26</v>
      </c>
      <c r="D160" s="30">
        <v>16</v>
      </c>
      <c r="E160" s="31">
        <v>45</v>
      </c>
      <c r="F160" s="32">
        <f t="shared" si="6"/>
        <v>720</v>
      </c>
      <c r="G160" s="58"/>
      <c r="I160" s="58"/>
    </row>
    <row r="161" spans="1:9" s="57" customFormat="1" ht="15" customHeight="1" x14ac:dyDescent="0.25">
      <c r="A161" s="127" t="s">
        <v>20</v>
      </c>
      <c r="B161" s="73" t="s">
        <v>65</v>
      </c>
      <c r="C161" s="29" t="s">
        <v>26</v>
      </c>
      <c r="D161" s="30">
        <v>16</v>
      </c>
      <c r="E161" s="31">
        <v>40</v>
      </c>
      <c r="F161" s="32">
        <f t="shared" si="6"/>
        <v>640</v>
      </c>
      <c r="G161" s="58"/>
      <c r="I161" s="58"/>
    </row>
    <row r="162" spans="1:9" s="149" customFormat="1" ht="15" customHeight="1" x14ac:dyDescent="0.25">
      <c r="A162" s="147" t="s">
        <v>21</v>
      </c>
      <c r="B162" s="73" t="s">
        <v>113</v>
      </c>
      <c r="C162" s="69" t="s">
        <v>26</v>
      </c>
      <c r="D162" s="70">
        <v>14</v>
      </c>
      <c r="E162" s="71">
        <v>40</v>
      </c>
      <c r="F162" s="72">
        <f t="shared" si="6"/>
        <v>560</v>
      </c>
      <c r="G162" s="148"/>
      <c r="I162" s="148"/>
    </row>
    <row r="163" spans="1:9" s="57" customFormat="1" ht="15" customHeight="1" x14ac:dyDescent="0.25">
      <c r="A163" s="127" t="s">
        <v>22</v>
      </c>
      <c r="B163" s="73" t="s">
        <v>114</v>
      </c>
      <c r="C163" s="29" t="s">
        <v>26</v>
      </c>
      <c r="D163" s="30">
        <v>16</v>
      </c>
      <c r="E163" s="31">
        <v>35</v>
      </c>
      <c r="F163" s="32">
        <f t="shared" si="6"/>
        <v>560</v>
      </c>
      <c r="G163" s="58"/>
      <c r="I163" s="58"/>
    </row>
    <row r="164" spans="1:9" s="57" customFormat="1" ht="15" customHeight="1" x14ac:dyDescent="0.25">
      <c r="A164" s="127" t="s">
        <v>24</v>
      </c>
      <c r="B164" s="73" t="s">
        <v>115</v>
      </c>
      <c r="C164" s="29" t="s">
        <v>26</v>
      </c>
      <c r="D164" s="30">
        <v>16</v>
      </c>
      <c r="E164" s="31">
        <v>35</v>
      </c>
      <c r="F164" s="32">
        <f t="shared" si="6"/>
        <v>560</v>
      </c>
      <c r="G164" s="58"/>
      <c r="I164" s="58"/>
    </row>
    <row r="165" spans="1:9" s="57" customFormat="1" ht="15" customHeight="1" x14ac:dyDescent="0.25">
      <c r="A165" s="127" t="s">
        <v>25</v>
      </c>
      <c r="B165" s="73" t="s">
        <v>116</v>
      </c>
      <c r="C165" s="29" t="s">
        <v>26</v>
      </c>
      <c r="D165" s="30">
        <v>8</v>
      </c>
      <c r="E165" s="31">
        <v>90</v>
      </c>
      <c r="F165" s="32">
        <f t="shared" si="6"/>
        <v>720</v>
      </c>
      <c r="G165" s="58"/>
      <c r="I165" s="58"/>
    </row>
    <row r="166" spans="1:9" s="57" customFormat="1" ht="15" customHeight="1" x14ac:dyDescent="0.25">
      <c r="A166" s="127" t="s">
        <v>27</v>
      </c>
      <c r="B166" s="73" t="s">
        <v>117</v>
      </c>
      <c r="C166" s="29" t="s">
        <v>26</v>
      </c>
      <c r="D166" s="30">
        <v>8</v>
      </c>
      <c r="E166" s="31">
        <v>80</v>
      </c>
      <c r="F166" s="32">
        <f t="shared" si="6"/>
        <v>640</v>
      </c>
      <c r="G166" s="58"/>
      <c r="I166" s="58"/>
    </row>
    <row r="167" spans="1:9" s="57" customFormat="1" ht="15" customHeight="1" x14ac:dyDescent="0.25">
      <c r="A167" s="127" t="s">
        <v>28</v>
      </c>
      <c r="B167" s="96" t="s">
        <v>118</v>
      </c>
      <c r="C167" s="29" t="s">
        <v>26</v>
      </c>
      <c r="D167" s="30">
        <v>16</v>
      </c>
      <c r="E167" s="31">
        <v>45</v>
      </c>
      <c r="F167" s="32">
        <f t="shared" si="6"/>
        <v>720</v>
      </c>
      <c r="G167" s="58"/>
      <c r="I167" s="58"/>
    </row>
    <row r="168" spans="1:9" s="57" customFormat="1" ht="15" customHeight="1" x14ac:dyDescent="0.25">
      <c r="A168" s="127" t="s">
        <v>120</v>
      </c>
      <c r="B168" s="73" t="s">
        <v>119</v>
      </c>
      <c r="C168" s="29" t="s">
        <v>26</v>
      </c>
      <c r="D168" s="30">
        <v>8</v>
      </c>
      <c r="E168" s="31">
        <v>85</v>
      </c>
      <c r="F168" s="32">
        <f t="shared" si="6"/>
        <v>680</v>
      </c>
      <c r="G168" s="58"/>
      <c r="I168" s="58"/>
    </row>
    <row r="169" spans="1:9" s="57" customFormat="1" ht="15" customHeight="1" x14ac:dyDescent="0.25">
      <c r="A169" s="127"/>
      <c r="B169" s="55"/>
      <c r="C169" s="29"/>
      <c r="D169" s="30"/>
      <c r="E169" s="31"/>
      <c r="F169" s="32"/>
      <c r="G169" s="58"/>
      <c r="I169" s="58"/>
    </row>
    <row r="170" spans="1:9" s="57" customFormat="1" ht="15" customHeight="1" x14ac:dyDescent="0.25">
      <c r="A170" s="53"/>
      <c r="B170" s="15" t="s">
        <v>31</v>
      </c>
      <c r="C170" s="29"/>
      <c r="D170" s="30"/>
      <c r="E170" s="31"/>
      <c r="F170" s="32"/>
      <c r="G170" s="58"/>
      <c r="I170" s="58"/>
    </row>
    <row r="171" spans="1:9" s="102" customFormat="1" ht="25.5" x14ac:dyDescent="0.25">
      <c r="A171" s="127" t="s">
        <v>121</v>
      </c>
      <c r="B171" s="48" t="s">
        <v>32</v>
      </c>
      <c r="C171" s="29" t="s">
        <v>12</v>
      </c>
      <c r="D171" s="30">
        <v>24</v>
      </c>
      <c r="E171" s="31">
        <v>4</v>
      </c>
      <c r="F171" s="32">
        <f>D171*E171</f>
        <v>96</v>
      </c>
      <c r="G171" s="58"/>
      <c r="I171" s="58"/>
    </row>
    <row r="172" spans="1:9" s="102" customFormat="1" ht="25.5" x14ac:dyDescent="0.25">
      <c r="A172" s="127" t="s">
        <v>122</v>
      </c>
      <c r="B172" s="48" t="s">
        <v>33</v>
      </c>
      <c r="C172" s="29" t="s">
        <v>12</v>
      </c>
      <c r="D172" s="30">
        <v>16</v>
      </c>
      <c r="E172" s="31">
        <v>8</v>
      </c>
      <c r="F172" s="32">
        <f>D172*E172</f>
        <v>128</v>
      </c>
      <c r="G172" s="58"/>
      <c r="I172" s="58"/>
    </row>
    <row r="173" spans="1:9" s="102" customFormat="1" ht="25.5" x14ac:dyDescent="0.25">
      <c r="A173" s="127" t="s">
        <v>123</v>
      </c>
      <c r="B173" s="48" t="s">
        <v>42</v>
      </c>
      <c r="C173" s="29" t="s">
        <v>12</v>
      </c>
      <c r="D173" s="30">
        <v>8</v>
      </c>
      <c r="E173" s="31">
        <v>12</v>
      </c>
      <c r="F173" s="32">
        <f>D173*E173</f>
        <v>96</v>
      </c>
      <c r="G173" s="58"/>
      <c r="I173" s="58"/>
    </row>
    <row r="174" spans="1:9" s="102" customFormat="1" ht="25.5" x14ac:dyDescent="0.25">
      <c r="A174" s="127" t="s">
        <v>124</v>
      </c>
      <c r="B174" s="48" t="s">
        <v>43</v>
      </c>
      <c r="C174" s="29" t="s">
        <v>12</v>
      </c>
      <c r="D174" s="30">
        <v>16</v>
      </c>
      <c r="E174" s="31">
        <v>13</v>
      </c>
      <c r="F174" s="32">
        <f>D174*E174</f>
        <v>208</v>
      </c>
      <c r="G174" s="58"/>
      <c r="I174" s="58"/>
    </row>
    <row r="175" spans="1:9" s="102" customFormat="1" ht="25.5" x14ac:dyDescent="0.25">
      <c r="A175" s="127" t="s">
        <v>125</v>
      </c>
      <c r="B175" s="48" t="s">
        <v>63</v>
      </c>
      <c r="C175" s="29" t="s">
        <v>12</v>
      </c>
      <c r="D175" s="30">
        <v>8</v>
      </c>
      <c r="E175" s="31">
        <v>13</v>
      </c>
      <c r="F175" s="32">
        <f>D175*E175</f>
        <v>104</v>
      </c>
      <c r="G175" s="58"/>
      <c r="I175" s="58"/>
    </row>
    <row r="176" spans="1:9" s="57" customFormat="1" ht="15" customHeight="1" x14ac:dyDescent="0.2">
      <c r="A176" s="127" t="s">
        <v>126</v>
      </c>
      <c r="B176" s="49" t="s">
        <v>165</v>
      </c>
      <c r="C176" s="29" t="s">
        <v>12</v>
      </c>
      <c r="D176" s="30">
        <v>8</v>
      </c>
      <c r="E176" s="31">
        <v>10</v>
      </c>
      <c r="F176" s="32">
        <f>D176*E176</f>
        <v>80</v>
      </c>
      <c r="G176" s="58"/>
      <c r="I176" s="58"/>
    </row>
    <row r="177" spans="1:9" s="57" customFormat="1" ht="15" customHeight="1" x14ac:dyDescent="0.25">
      <c r="A177" s="53"/>
      <c r="B177" s="55"/>
      <c r="C177" s="29"/>
      <c r="D177" s="30"/>
      <c r="E177" s="31"/>
      <c r="F177" s="32"/>
      <c r="G177" s="58"/>
      <c r="I177" s="58"/>
    </row>
    <row r="178" spans="1:9" s="57" customFormat="1" x14ac:dyDescent="0.25">
      <c r="A178" s="53"/>
      <c r="B178" s="15" t="s">
        <v>34</v>
      </c>
      <c r="C178" s="29"/>
      <c r="D178" s="30"/>
      <c r="E178" s="31"/>
      <c r="F178" s="32"/>
      <c r="G178" s="58"/>
      <c r="I178" s="58"/>
    </row>
    <row r="179" spans="1:9" s="57" customFormat="1" ht="25.5" x14ac:dyDescent="0.25">
      <c r="A179" s="134" t="s">
        <v>127</v>
      </c>
      <c r="B179" s="48" t="s">
        <v>44</v>
      </c>
      <c r="C179" s="150" t="s">
        <v>12</v>
      </c>
      <c r="D179" s="135">
        <v>16</v>
      </c>
      <c r="E179" s="151">
        <v>10</v>
      </c>
      <c r="F179" s="101">
        <f>D179*E179</f>
        <v>160</v>
      </c>
      <c r="G179" s="58"/>
      <c r="I179" s="58"/>
    </row>
    <row r="180" spans="1:9" s="57" customFormat="1" ht="25.5" x14ac:dyDescent="0.25">
      <c r="A180" s="134" t="s">
        <v>128</v>
      </c>
      <c r="B180" s="48" t="s">
        <v>36</v>
      </c>
      <c r="C180" s="150" t="s">
        <v>12</v>
      </c>
      <c r="D180" s="135">
        <v>40</v>
      </c>
      <c r="E180" s="151">
        <v>8</v>
      </c>
      <c r="F180" s="101">
        <f>D180*E180</f>
        <v>320</v>
      </c>
      <c r="G180" s="58"/>
      <c r="I180" s="58"/>
    </row>
    <row r="181" spans="1:9" s="57" customFormat="1" ht="25.5" x14ac:dyDescent="0.2">
      <c r="A181" s="156" t="s">
        <v>157</v>
      </c>
      <c r="B181" s="49" t="s">
        <v>37</v>
      </c>
      <c r="C181" s="150" t="s">
        <v>12</v>
      </c>
      <c r="D181" s="135">
        <v>32</v>
      </c>
      <c r="E181" s="151">
        <v>12</v>
      </c>
      <c r="F181" s="101">
        <f>D181*E181</f>
        <v>384</v>
      </c>
      <c r="G181" s="58"/>
      <c r="I181" s="58"/>
    </row>
    <row r="182" spans="1:9" s="57" customFormat="1" ht="38.25" x14ac:dyDescent="0.2">
      <c r="A182" s="156" t="s">
        <v>158</v>
      </c>
      <c r="B182" s="49" t="s">
        <v>164</v>
      </c>
      <c r="C182" s="150" t="s">
        <v>12</v>
      </c>
      <c r="D182" s="135">
        <v>8</v>
      </c>
      <c r="E182" s="151">
        <v>60</v>
      </c>
      <c r="F182" s="101">
        <f>D182*E182</f>
        <v>480</v>
      </c>
      <c r="G182" s="58"/>
      <c r="I182" s="58"/>
    </row>
    <row r="183" spans="1:9" s="57" customFormat="1" ht="15" customHeight="1" x14ac:dyDescent="0.2">
      <c r="A183" s="41"/>
      <c r="B183" s="49"/>
      <c r="C183" s="29"/>
      <c r="D183" s="30"/>
      <c r="E183" s="31"/>
      <c r="F183" s="32"/>
      <c r="G183" s="58"/>
      <c r="I183" s="58"/>
    </row>
    <row r="184" spans="1:9" s="57" customFormat="1" ht="15" customHeight="1" x14ac:dyDescent="0.2">
      <c r="A184" s="41"/>
      <c r="B184" s="152" t="s">
        <v>160</v>
      </c>
      <c r="C184" s="29"/>
      <c r="D184" s="30"/>
      <c r="E184" s="31"/>
      <c r="F184" s="32"/>
      <c r="G184" s="58"/>
      <c r="I184" s="58"/>
    </row>
    <row r="185" spans="1:9" s="102" customFormat="1" ht="25.5" x14ac:dyDescent="0.2">
      <c r="A185" s="156" t="s">
        <v>161</v>
      </c>
      <c r="B185" s="49" t="s">
        <v>159</v>
      </c>
      <c r="C185" s="150" t="s">
        <v>12</v>
      </c>
      <c r="D185" s="135">
        <v>8</v>
      </c>
      <c r="E185" s="151">
        <v>2500</v>
      </c>
      <c r="F185" s="101">
        <f>D185*E185</f>
        <v>20000</v>
      </c>
      <c r="G185" s="58"/>
      <c r="I185" s="58"/>
    </row>
    <row r="186" spans="1:9" s="102" customFormat="1" x14ac:dyDescent="0.2">
      <c r="A186" s="156"/>
      <c r="B186" s="49"/>
      <c r="C186" s="150"/>
      <c r="D186" s="135"/>
      <c r="E186" s="151"/>
      <c r="F186" s="101"/>
      <c r="G186" s="58"/>
      <c r="I186" s="58"/>
    </row>
    <row r="187" spans="1:9" s="102" customFormat="1" x14ac:dyDescent="0.2">
      <c r="A187" s="156"/>
      <c r="B187" s="49"/>
      <c r="C187" s="150"/>
      <c r="D187" s="135"/>
      <c r="E187" s="151"/>
      <c r="F187" s="101"/>
      <c r="G187" s="58"/>
      <c r="I187" s="58"/>
    </row>
    <row r="188" spans="1:9" s="102" customFormat="1" x14ac:dyDescent="0.2">
      <c r="A188" s="156"/>
      <c r="B188" s="49"/>
      <c r="C188" s="150"/>
      <c r="D188" s="135"/>
      <c r="E188" s="151"/>
      <c r="F188" s="101"/>
      <c r="G188" s="58"/>
      <c r="I188" s="58"/>
    </row>
    <row r="189" spans="1:9" s="102" customFormat="1" x14ac:dyDescent="0.2">
      <c r="A189" s="156"/>
      <c r="B189" s="49"/>
      <c r="C189" s="150"/>
      <c r="D189" s="135"/>
      <c r="E189" s="151"/>
      <c r="F189" s="101"/>
      <c r="G189" s="58"/>
      <c r="I189" s="58"/>
    </row>
    <row r="190" spans="1:9" s="57" customFormat="1" ht="15" customHeight="1" thickBot="1" x14ac:dyDescent="0.3">
      <c r="A190" s="164" t="s">
        <v>41</v>
      </c>
      <c r="B190" s="43" t="s">
        <v>30</v>
      </c>
      <c r="C190" s="44"/>
      <c r="D190" s="45"/>
      <c r="E190" s="28"/>
      <c r="F190" s="52">
        <f>SUM(F150:F180)</f>
        <v>35277</v>
      </c>
      <c r="G190" s="58"/>
      <c r="I190" s="58"/>
    </row>
    <row r="191" spans="1:9" s="57" customFormat="1" ht="15" customHeight="1" thickTop="1" x14ac:dyDescent="0.25">
      <c r="A191" s="161"/>
      <c r="B191" s="97"/>
      <c r="C191" s="24"/>
      <c r="D191" s="47"/>
      <c r="E191" s="26"/>
      <c r="F191" s="32"/>
      <c r="G191" s="58"/>
      <c r="I191" s="58"/>
    </row>
    <row r="192" spans="1:9" s="57" customFormat="1" ht="15" customHeight="1" x14ac:dyDescent="0.25">
      <c r="A192" s="161"/>
      <c r="B192" s="97"/>
      <c r="C192" s="24"/>
      <c r="D192" s="47"/>
      <c r="E192" s="26"/>
      <c r="F192" s="32"/>
      <c r="G192" s="58"/>
      <c r="I192" s="58"/>
    </row>
    <row r="193" spans="1:9" s="57" customFormat="1" ht="15" customHeight="1" x14ac:dyDescent="0.25">
      <c r="A193" s="165" t="s">
        <v>106</v>
      </c>
      <c r="B193" s="15" t="s">
        <v>131</v>
      </c>
      <c r="C193" s="29"/>
      <c r="D193" s="30"/>
      <c r="E193" s="31"/>
      <c r="F193" s="32"/>
      <c r="G193" s="58"/>
      <c r="I193" s="58"/>
    </row>
    <row r="194" spans="1:9" s="57" customFormat="1" ht="15" customHeight="1" x14ac:dyDescent="0.25">
      <c r="A194" s="53"/>
      <c r="B194" s="54"/>
      <c r="C194" s="29"/>
      <c r="D194" s="30"/>
      <c r="E194" s="31"/>
      <c r="F194" s="32"/>
      <c r="G194" s="58"/>
      <c r="I194" s="58"/>
    </row>
    <row r="195" spans="1:9" s="102" customFormat="1" ht="39.75" x14ac:dyDescent="0.25">
      <c r="A195" s="162" t="s">
        <v>10</v>
      </c>
      <c r="B195" s="34" t="s">
        <v>11</v>
      </c>
      <c r="C195" s="98" t="s">
        <v>12</v>
      </c>
      <c r="D195" s="99">
        <v>134</v>
      </c>
      <c r="E195" s="100">
        <v>50</v>
      </c>
      <c r="F195" s="101">
        <f t="shared" ref="F195:F199" si="7">D195*E195</f>
        <v>6700</v>
      </c>
      <c r="G195" s="58"/>
      <c r="I195" s="58"/>
    </row>
    <row r="196" spans="1:9" s="102" customFormat="1" ht="39.75" x14ac:dyDescent="0.25">
      <c r="A196" s="162" t="s">
        <v>13</v>
      </c>
      <c r="B196" s="34" t="s">
        <v>14</v>
      </c>
      <c r="C196" s="98" t="s">
        <v>12</v>
      </c>
      <c r="D196" s="99">
        <v>88</v>
      </c>
      <c r="E196" s="100">
        <v>55</v>
      </c>
      <c r="F196" s="101">
        <f t="shared" si="7"/>
        <v>4840</v>
      </c>
      <c r="G196" s="58"/>
      <c r="I196" s="58"/>
    </row>
    <row r="197" spans="1:9" s="102" customFormat="1" ht="39.75" x14ac:dyDescent="0.25">
      <c r="A197" s="162" t="s">
        <v>15</v>
      </c>
      <c r="B197" s="34" t="s">
        <v>61</v>
      </c>
      <c r="C197" s="98" t="s">
        <v>17</v>
      </c>
      <c r="D197" s="87">
        <v>40</v>
      </c>
      <c r="E197" s="100">
        <v>35</v>
      </c>
      <c r="F197" s="101">
        <f t="shared" si="7"/>
        <v>1400</v>
      </c>
      <c r="G197" s="58"/>
      <c r="I197" s="58"/>
    </row>
    <row r="198" spans="1:9" s="102" customFormat="1" ht="38.25" x14ac:dyDescent="0.25">
      <c r="A198" s="162" t="s">
        <v>16</v>
      </c>
      <c r="B198" s="34" t="s">
        <v>62</v>
      </c>
      <c r="C198" s="98" t="s">
        <v>12</v>
      </c>
      <c r="D198" s="99">
        <v>8</v>
      </c>
      <c r="E198" s="100">
        <v>1700</v>
      </c>
      <c r="F198" s="101">
        <f t="shared" si="7"/>
        <v>13600</v>
      </c>
      <c r="G198" s="58"/>
      <c r="I198" s="58"/>
    </row>
    <row r="199" spans="1:9" s="102" customFormat="1" ht="25.5" x14ac:dyDescent="0.25">
      <c r="A199" s="162" t="s">
        <v>35</v>
      </c>
      <c r="B199" s="34" t="s">
        <v>23</v>
      </c>
      <c r="C199" s="98" t="s">
        <v>17</v>
      </c>
      <c r="D199" s="99">
        <v>20</v>
      </c>
      <c r="E199" s="103">
        <v>5</v>
      </c>
      <c r="F199" s="101">
        <f t="shared" si="7"/>
        <v>100</v>
      </c>
      <c r="G199" s="58"/>
      <c r="I199" s="58"/>
    </row>
    <row r="200" spans="1:9" s="57" customFormat="1" ht="15" customHeight="1" x14ac:dyDescent="0.25">
      <c r="A200" s="166"/>
      <c r="B200" s="34"/>
      <c r="C200" s="35"/>
      <c r="D200" s="36"/>
      <c r="E200" s="39"/>
      <c r="F200" s="32"/>
      <c r="G200" s="58"/>
      <c r="I200" s="58"/>
    </row>
    <row r="201" spans="1:9" s="57" customFormat="1" ht="15" customHeight="1" x14ac:dyDescent="0.25">
      <c r="A201" s="127"/>
      <c r="B201" s="15" t="s">
        <v>40</v>
      </c>
      <c r="C201" s="29"/>
      <c r="D201" s="30"/>
      <c r="E201" s="31"/>
      <c r="F201" s="32"/>
      <c r="G201" s="58"/>
      <c r="I201" s="58"/>
    </row>
    <row r="202" spans="1:9" s="57" customFormat="1" ht="15" customHeight="1" x14ac:dyDescent="0.25">
      <c r="A202" s="30" t="s">
        <v>18</v>
      </c>
      <c r="B202" s="73" t="s">
        <v>111</v>
      </c>
      <c r="C202" s="29" t="s">
        <v>26</v>
      </c>
      <c r="D202" s="30">
        <v>16</v>
      </c>
      <c r="E202" s="31">
        <v>45</v>
      </c>
      <c r="F202" s="32">
        <f t="shared" ref="F202:F211" si="8">D202*E202</f>
        <v>720</v>
      </c>
      <c r="G202" s="58"/>
      <c r="I202" s="58"/>
    </row>
    <row r="203" spans="1:9" s="57" customFormat="1" ht="15" customHeight="1" x14ac:dyDescent="0.25">
      <c r="A203" s="167" t="s">
        <v>19</v>
      </c>
      <c r="B203" s="73" t="s">
        <v>112</v>
      </c>
      <c r="C203" s="29" t="s">
        <v>26</v>
      </c>
      <c r="D203" s="30">
        <v>16</v>
      </c>
      <c r="E203" s="31">
        <v>45</v>
      </c>
      <c r="F203" s="32">
        <f t="shared" si="8"/>
        <v>720</v>
      </c>
      <c r="G203" s="58"/>
      <c r="I203" s="58"/>
    </row>
    <row r="204" spans="1:9" s="57" customFormat="1" ht="15" customHeight="1" x14ac:dyDescent="0.25">
      <c r="A204" s="127" t="s">
        <v>20</v>
      </c>
      <c r="B204" s="73" t="s">
        <v>65</v>
      </c>
      <c r="C204" s="29" t="s">
        <v>26</v>
      </c>
      <c r="D204" s="30">
        <v>16</v>
      </c>
      <c r="E204" s="31">
        <v>40</v>
      </c>
      <c r="F204" s="32">
        <f t="shared" si="8"/>
        <v>640</v>
      </c>
      <c r="G204" s="58"/>
      <c r="I204" s="58"/>
    </row>
    <row r="205" spans="1:9" s="57" customFormat="1" ht="15" customHeight="1" x14ac:dyDescent="0.25">
      <c r="A205" s="127" t="s">
        <v>21</v>
      </c>
      <c r="B205" s="33" t="s">
        <v>113</v>
      </c>
      <c r="C205" s="29" t="s">
        <v>26</v>
      </c>
      <c r="D205" s="30">
        <v>14</v>
      </c>
      <c r="E205" s="31">
        <v>40</v>
      </c>
      <c r="F205" s="32">
        <f t="shared" si="8"/>
        <v>560</v>
      </c>
      <c r="G205" s="58"/>
      <c r="I205" s="58"/>
    </row>
    <row r="206" spans="1:9" s="57" customFormat="1" ht="15" customHeight="1" x14ac:dyDescent="0.25">
      <c r="A206" s="127" t="s">
        <v>22</v>
      </c>
      <c r="B206" s="73" t="s">
        <v>114</v>
      </c>
      <c r="C206" s="29" t="s">
        <v>26</v>
      </c>
      <c r="D206" s="30">
        <v>16</v>
      </c>
      <c r="E206" s="31">
        <v>35</v>
      </c>
      <c r="F206" s="32">
        <f t="shared" si="8"/>
        <v>560</v>
      </c>
      <c r="G206" s="58"/>
      <c r="I206" s="58"/>
    </row>
    <row r="207" spans="1:9" s="57" customFormat="1" ht="15" customHeight="1" x14ac:dyDescent="0.25">
      <c r="A207" s="127" t="s">
        <v>24</v>
      </c>
      <c r="B207" s="73" t="s">
        <v>115</v>
      </c>
      <c r="C207" s="29" t="s">
        <v>26</v>
      </c>
      <c r="D207" s="30">
        <v>16</v>
      </c>
      <c r="E207" s="31">
        <v>35</v>
      </c>
      <c r="F207" s="32">
        <f t="shared" si="8"/>
        <v>560</v>
      </c>
      <c r="G207" s="58"/>
      <c r="I207" s="58"/>
    </row>
    <row r="208" spans="1:9" s="57" customFormat="1" ht="15" customHeight="1" x14ac:dyDescent="0.25">
      <c r="A208" s="127" t="s">
        <v>25</v>
      </c>
      <c r="B208" s="73" t="s">
        <v>116</v>
      </c>
      <c r="C208" s="29" t="s">
        <v>26</v>
      </c>
      <c r="D208" s="30">
        <v>8</v>
      </c>
      <c r="E208" s="31">
        <v>90</v>
      </c>
      <c r="F208" s="32">
        <f t="shared" si="8"/>
        <v>720</v>
      </c>
      <c r="G208" s="58"/>
      <c r="I208" s="58"/>
    </row>
    <row r="209" spans="1:9" s="57" customFormat="1" ht="15" customHeight="1" x14ac:dyDescent="0.25">
      <c r="A209" s="127" t="s">
        <v>27</v>
      </c>
      <c r="B209" s="73" t="s">
        <v>117</v>
      </c>
      <c r="C209" s="29" t="s">
        <v>26</v>
      </c>
      <c r="D209" s="30">
        <v>8</v>
      </c>
      <c r="E209" s="31">
        <v>80</v>
      </c>
      <c r="F209" s="32">
        <f t="shared" si="8"/>
        <v>640</v>
      </c>
      <c r="G209" s="58"/>
      <c r="I209" s="58"/>
    </row>
    <row r="210" spans="1:9" s="57" customFormat="1" ht="15" customHeight="1" x14ac:dyDescent="0.25">
      <c r="A210" s="127" t="s">
        <v>28</v>
      </c>
      <c r="B210" s="96" t="s">
        <v>118</v>
      </c>
      <c r="C210" s="29" t="s">
        <v>26</v>
      </c>
      <c r="D210" s="30">
        <v>16</v>
      </c>
      <c r="E210" s="31">
        <v>45</v>
      </c>
      <c r="F210" s="32">
        <f t="shared" si="8"/>
        <v>720</v>
      </c>
      <c r="G210" s="58"/>
      <c r="I210" s="58"/>
    </row>
    <row r="211" spans="1:9" s="57" customFormat="1" ht="15" customHeight="1" x14ac:dyDescent="0.25">
      <c r="A211" s="127" t="s">
        <v>120</v>
      </c>
      <c r="B211" s="73" t="s">
        <v>119</v>
      </c>
      <c r="C211" s="29" t="s">
        <v>26</v>
      </c>
      <c r="D211" s="30">
        <v>8</v>
      </c>
      <c r="E211" s="31">
        <v>85</v>
      </c>
      <c r="F211" s="32">
        <f t="shared" si="8"/>
        <v>680</v>
      </c>
      <c r="G211" s="58"/>
      <c r="I211" s="58"/>
    </row>
    <row r="212" spans="1:9" s="57" customFormat="1" ht="15" customHeight="1" x14ac:dyDescent="0.25">
      <c r="A212" s="127"/>
      <c r="B212" s="55"/>
      <c r="C212" s="29"/>
      <c r="D212" s="30"/>
      <c r="E212" s="31"/>
      <c r="F212" s="32"/>
      <c r="G212" s="58"/>
      <c r="I212" s="58"/>
    </row>
    <row r="213" spans="1:9" s="57" customFormat="1" ht="15" customHeight="1" x14ac:dyDescent="0.25">
      <c r="A213" s="81"/>
      <c r="B213" s="15" t="s">
        <v>31</v>
      </c>
      <c r="C213" s="150"/>
      <c r="D213" s="135"/>
      <c r="E213" s="151"/>
      <c r="F213" s="101"/>
      <c r="G213" s="58"/>
      <c r="I213" s="58"/>
    </row>
    <row r="214" spans="1:9" s="102" customFormat="1" ht="25.5" x14ac:dyDescent="0.25">
      <c r="A214" s="134" t="s">
        <v>121</v>
      </c>
      <c r="B214" s="48" t="s">
        <v>32</v>
      </c>
      <c r="C214" s="150" t="s">
        <v>12</v>
      </c>
      <c r="D214" s="135">
        <v>24</v>
      </c>
      <c r="E214" s="151">
        <v>4</v>
      </c>
      <c r="F214" s="101">
        <f>D214*E214</f>
        <v>96</v>
      </c>
      <c r="G214" s="58"/>
      <c r="I214" s="58"/>
    </row>
    <row r="215" spans="1:9" s="102" customFormat="1" ht="25.5" x14ac:dyDescent="0.25">
      <c r="A215" s="134" t="s">
        <v>122</v>
      </c>
      <c r="B215" s="48" t="s">
        <v>33</v>
      </c>
      <c r="C215" s="150" t="s">
        <v>12</v>
      </c>
      <c r="D215" s="135">
        <v>16</v>
      </c>
      <c r="E215" s="151">
        <v>8</v>
      </c>
      <c r="F215" s="101">
        <f>D215*E215</f>
        <v>128</v>
      </c>
      <c r="G215" s="58"/>
      <c r="I215" s="58"/>
    </row>
    <row r="216" spans="1:9" s="102" customFormat="1" ht="25.5" x14ac:dyDescent="0.25">
      <c r="A216" s="134" t="s">
        <v>123</v>
      </c>
      <c r="B216" s="48" t="s">
        <v>42</v>
      </c>
      <c r="C216" s="150" t="s">
        <v>12</v>
      </c>
      <c r="D216" s="135">
        <v>8</v>
      </c>
      <c r="E216" s="151">
        <v>12</v>
      </c>
      <c r="F216" s="101">
        <f>D216*E216</f>
        <v>96</v>
      </c>
      <c r="G216" s="58"/>
      <c r="I216" s="58"/>
    </row>
    <row r="217" spans="1:9" s="102" customFormat="1" ht="25.5" x14ac:dyDescent="0.25">
      <c r="A217" s="134" t="s">
        <v>124</v>
      </c>
      <c r="B217" s="48" t="s">
        <v>43</v>
      </c>
      <c r="C217" s="150" t="s">
        <v>12</v>
      </c>
      <c r="D217" s="135">
        <v>16</v>
      </c>
      <c r="E217" s="151">
        <v>13</v>
      </c>
      <c r="F217" s="101">
        <f>D217*E217</f>
        <v>208</v>
      </c>
      <c r="G217" s="58"/>
      <c r="I217" s="58"/>
    </row>
    <row r="218" spans="1:9" s="102" customFormat="1" ht="25.5" x14ac:dyDescent="0.25">
      <c r="A218" s="134" t="s">
        <v>125</v>
      </c>
      <c r="B218" s="48" t="s">
        <v>63</v>
      </c>
      <c r="C218" s="150" t="s">
        <v>12</v>
      </c>
      <c r="D218" s="135">
        <v>8</v>
      </c>
      <c r="E218" s="151">
        <v>13</v>
      </c>
      <c r="F218" s="101">
        <f>D218*E218</f>
        <v>104</v>
      </c>
      <c r="G218" s="58"/>
      <c r="I218" s="58"/>
    </row>
    <row r="219" spans="1:9" s="57" customFormat="1" ht="15" customHeight="1" x14ac:dyDescent="0.2">
      <c r="A219" s="134" t="s">
        <v>126</v>
      </c>
      <c r="B219" s="49" t="s">
        <v>165</v>
      </c>
      <c r="C219" s="150" t="s">
        <v>12</v>
      </c>
      <c r="D219" s="135">
        <v>8</v>
      </c>
      <c r="E219" s="151">
        <v>10</v>
      </c>
      <c r="F219" s="101">
        <f>D219*E219</f>
        <v>80</v>
      </c>
      <c r="G219" s="58"/>
      <c r="I219" s="58"/>
    </row>
    <row r="220" spans="1:9" s="57" customFormat="1" ht="15" customHeight="1" x14ac:dyDescent="0.25">
      <c r="A220" s="81"/>
      <c r="B220" s="55"/>
      <c r="C220" s="150"/>
      <c r="D220" s="135"/>
      <c r="E220" s="151"/>
      <c r="F220" s="101"/>
      <c r="G220" s="58"/>
      <c r="I220" s="58"/>
    </row>
    <row r="221" spans="1:9" s="57" customFormat="1" x14ac:dyDescent="0.25">
      <c r="A221" s="81"/>
      <c r="B221" s="15" t="s">
        <v>34</v>
      </c>
      <c r="C221" s="150"/>
      <c r="D221" s="135"/>
      <c r="E221" s="151"/>
      <c r="F221" s="101"/>
      <c r="G221" s="58"/>
      <c r="I221" s="58"/>
    </row>
    <row r="222" spans="1:9" s="57" customFormat="1" ht="25.5" x14ac:dyDescent="0.25">
      <c r="A222" s="134" t="s">
        <v>127</v>
      </c>
      <c r="B222" s="48" t="s">
        <v>44</v>
      </c>
      <c r="C222" s="150" t="s">
        <v>12</v>
      </c>
      <c r="D222" s="135">
        <v>16</v>
      </c>
      <c r="E222" s="151">
        <v>10</v>
      </c>
      <c r="F222" s="101">
        <f>D222*E222</f>
        <v>160</v>
      </c>
      <c r="G222" s="58"/>
      <c r="I222" s="58"/>
    </row>
    <row r="223" spans="1:9" s="57" customFormat="1" ht="25.5" x14ac:dyDescent="0.25">
      <c r="A223" s="134" t="s">
        <v>128</v>
      </c>
      <c r="B223" s="48" t="s">
        <v>36</v>
      </c>
      <c r="C223" s="150" t="s">
        <v>12</v>
      </c>
      <c r="D223" s="135">
        <v>40</v>
      </c>
      <c r="E223" s="151">
        <v>8</v>
      </c>
      <c r="F223" s="101">
        <f>D223*E223</f>
        <v>320</v>
      </c>
      <c r="G223" s="58"/>
      <c r="I223" s="58"/>
    </row>
    <row r="224" spans="1:9" s="57" customFormat="1" ht="25.5" x14ac:dyDescent="0.2">
      <c r="A224" s="156" t="s">
        <v>157</v>
      </c>
      <c r="B224" s="49" t="s">
        <v>37</v>
      </c>
      <c r="C224" s="150" t="s">
        <v>12</v>
      </c>
      <c r="D224" s="135">
        <v>32</v>
      </c>
      <c r="E224" s="151">
        <v>12</v>
      </c>
      <c r="F224" s="101">
        <f>D224*E224</f>
        <v>384</v>
      </c>
      <c r="G224" s="58"/>
      <c r="I224" s="58"/>
    </row>
    <row r="225" spans="1:9" s="57" customFormat="1" ht="38.25" x14ac:dyDescent="0.2">
      <c r="A225" s="156" t="s">
        <v>158</v>
      </c>
      <c r="B225" s="49" t="s">
        <v>164</v>
      </c>
      <c r="C225" s="150" t="s">
        <v>12</v>
      </c>
      <c r="D225" s="135">
        <v>8</v>
      </c>
      <c r="E225" s="151">
        <v>60</v>
      </c>
      <c r="F225" s="101">
        <f>D225*E225</f>
        <v>480</v>
      </c>
      <c r="G225" s="58"/>
      <c r="I225" s="58"/>
    </row>
    <row r="226" spans="1:9" s="57" customFormat="1" ht="15" customHeight="1" x14ac:dyDescent="0.2">
      <c r="A226" s="41"/>
      <c r="B226" s="49"/>
      <c r="C226" s="29"/>
      <c r="D226" s="30"/>
      <c r="E226" s="31"/>
      <c r="F226" s="32"/>
      <c r="G226" s="58"/>
      <c r="I226" s="58"/>
    </row>
    <row r="227" spans="1:9" s="57" customFormat="1" ht="15" customHeight="1" x14ac:dyDescent="0.2">
      <c r="A227" s="41"/>
      <c r="B227" s="152" t="s">
        <v>160</v>
      </c>
      <c r="C227" s="29"/>
      <c r="D227" s="30"/>
      <c r="E227" s="31"/>
      <c r="F227" s="32"/>
      <c r="G227" s="58"/>
      <c r="I227" s="58"/>
    </row>
    <row r="228" spans="1:9" s="57" customFormat="1" ht="25.5" x14ac:dyDescent="0.2">
      <c r="A228" s="156" t="s">
        <v>161</v>
      </c>
      <c r="B228" s="49" t="s">
        <v>159</v>
      </c>
      <c r="C228" s="150" t="s">
        <v>12</v>
      </c>
      <c r="D228" s="135">
        <v>8</v>
      </c>
      <c r="E228" s="151">
        <v>2500</v>
      </c>
      <c r="F228" s="101">
        <f>D228*E228</f>
        <v>20000</v>
      </c>
      <c r="G228" s="58"/>
      <c r="I228" s="58"/>
    </row>
    <row r="229" spans="1:9" s="57" customFormat="1" ht="15" customHeight="1" x14ac:dyDescent="0.2">
      <c r="A229" s="41"/>
      <c r="B229" s="49"/>
      <c r="C229" s="29"/>
      <c r="D229" s="30"/>
      <c r="E229" s="31"/>
      <c r="F229" s="32"/>
      <c r="G229" s="58"/>
      <c r="I229" s="58"/>
    </row>
    <row r="230" spans="1:9" s="57" customFormat="1" ht="15" customHeight="1" x14ac:dyDescent="0.2">
      <c r="A230" s="41"/>
      <c r="B230" s="49"/>
      <c r="C230" s="29"/>
      <c r="D230" s="30"/>
      <c r="E230" s="31"/>
      <c r="F230" s="32"/>
      <c r="G230" s="58"/>
      <c r="I230" s="58"/>
    </row>
    <row r="231" spans="1:9" s="57" customFormat="1" ht="15" customHeight="1" x14ac:dyDescent="0.2">
      <c r="A231" s="41"/>
      <c r="B231" s="49"/>
      <c r="C231" s="29"/>
      <c r="D231" s="30"/>
      <c r="E231" s="31"/>
      <c r="F231" s="32"/>
      <c r="G231" s="58"/>
      <c r="I231" s="58"/>
    </row>
    <row r="232" spans="1:9" s="57" customFormat="1" ht="15" customHeight="1" x14ac:dyDescent="0.2">
      <c r="A232" s="41"/>
      <c r="B232" s="49"/>
      <c r="C232" s="29"/>
      <c r="D232" s="30"/>
      <c r="E232" s="31"/>
      <c r="F232" s="32"/>
      <c r="G232" s="58"/>
      <c r="I232" s="58"/>
    </row>
    <row r="233" spans="1:9" s="57" customFormat="1" ht="15" customHeight="1" thickBot="1" x14ac:dyDescent="0.3">
      <c r="A233" s="164" t="s">
        <v>140</v>
      </c>
      <c r="B233" s="43" t="s">
        <v>30</v>
      </c>
      <c r="C233" s="44"/>
      <c r="D233" s="45"/>
      <c r="E233" s="28"/>
      <c r="F233" s="52">
        <f>SUM(F193:F230)</f>
        <v>55216</v>
      </c>
      <c r="G233" s="58"/>
      <c r="I233" s="58"/>
    </row>
    <row r="234" spans="1:9" s="57" customFormat="1" ht="15" customHeight="1" thickTop="1" x14ac:dyDescent="0.25">
      <c r="A234" s="161"/>
      <c r="B234" s="97"/>
      <c r="C234" s="24"/>
      <c r="D234" s="47"/>
      <c r="E234" s="26"/>
      <c r="F234" s="32"/>
      <c r="G234" s="58"/>
      <c r="I234" s="58"/>
    </row>
    <row r="235" spans="1:9" s="57" customFormat="1" ht="15" customHeight="1" x14ac:dyDescent="0.25">
      <c r="A235" s="165" t="s">
        <v>107</v>
      </c>
      <c r="B235" s="15" t="s">
        <v>132</v>
      </c>
      <c r="C235" s="29"/>
      <c r="D235" s="30"/>
      <c r="E235" s="31"/>
      <c r="F235" s="32"/>
      <c r="G235" s="58"/>
      <c r="I235" s="58"/>
    </row>
    <row r="236" spans="1:9" s="57" customFormat="1" ht="15" customHeight="1" x14ac:dyDescent="0.25">
      <c r="A236" s="53"/>
      <c r="B236" s="54"/>
      <c r="C236" s="29"/>
      <c r="D236" s="30"/>
      <c r="E236" s="31"/>
      <c r="F236" s="32"/>
      <c r="G236" s="58"/>
      <c r="I236" s="58"/>
    </row>
    <row r="237" spans="1:9" s="102" customFormat="1" ht="39.75" x14ac:dyDescent="0.25">
      <c r="A237" s="162" t="s">
        <v>10</v>
      </c>
      <c r="B237" s="34" t="s">
        <v>11</v>
      </c>
      <c r="C237" s="98" t="s">
        <v>12</v>
      </c>
      <c r="D237" s="99">
        <v>134</v>
      </c>
      <c r="E237" s="100">
        <v>50</v>
      </c>
      <c r="F237" s="101">
        <f t="shared" ref="F237:F241" si="9">D237*E237</f>
        <v>6700</v>
      </c>
      <c r="G237" s="58"/>
      <c r="I237" s="58"/>
    </row>
    <row r="238" spans="1:9" s="102" customFormat="1" ht="39.75" x14ac:dyDescent="0.25">
      <c r="A238" s="162" t="s">
        <v>13</v>
      </c>
      <c r="B238" s="34" t="s">
        <v>14</v>
      </c>
      <c r="C238" s="98" t="s">
        <v>12</v>
      </c>
      <c r="D238" s="99">
        <v>88</v>
      </c>
      <c r="E238" s="100">
        <v>55</v>
      </c>
      <c r="F238" s="101">
        <f t="shared" si="9"/>
        <v>4840</v>
      </c>
      <c r="G238" s="58"/>
      <c r="I238" s="58"/>
    </row>
    <row r="239" spans="1:9" s="102" customFormat="1" ht="39.75" x14ac:dyDescent="0.25">
      <c r="A239" s="162" t="s">
        <v>15</v>
      </c>
      <c r="B239" s="34" t="s">
        <v>61</v>
      </c>
      <c r="C239" s="98" t="s">
        <v>17</v>
      </c>
      <c r="D239" s="87">
        <v>50</v>
      </c>
      <c r="E239" s="100">
        <v>35</v>
      </c>
      <c r="F239" s="101">
        <f t="shared" si="9"/>
        <v>1750</v>
      </c>
      <c r="G239" s="58"/>
      <c r="I239" s="58"/>
    </row>
    <row r="240" spans="1:9" s="102" customFormat="1" ht="38.25" x14ac:dyDescent="0.25">
      <c r="A240" s="162" t="s">
        <v>16</v>
      </c>
      <c r="B240" s="34" t="s">
        <v>62</v>
      </c>
      <c r="C240" s="98" t="s">
        <v>12</v>
      </c>
      <c r="D240" s="99">
        <v>8</v>
      </c>
      <c r="E240" s="100">
        <v>1700</v>
      </c>
      <c r="F240" s="101">
        <f t="shared" si="9"/>
        <v>13600</v>
      </c>
      <c r="G240" s="58"/>
      <c r="I240" s="58"/>
    </row>
    <row r="241" spans="1:9" s="102" customFormat="1" ht="25.5" x14ac:dyDescent="0.25">
      <c r="A241" s="162" t="s">
        <v>35</v>
      </c>
      <c r="B241" s="34" t="s">
        <v>23</v>
      </c>
      <c r="C241" s="98" t="s">
        <v>17</v>
      </c>
      <c r="D241" s="99">
        <v>20</v>
      </c>
      <c r="E241" s="103">
        <v>5</v>
      </c>
      <c r="F241" s="101">
        <f t="shared" si="9"/>
        <v>100</v>
      </c>
      <c r="G241" s="58"/>
      <c r="I241" s="58"/>
    </row>
    <row r="242" spans="1:9" s="57" customFormat="1" ht="15" customHeight="1" x14ac:dyDescent="0.25">
      <c r="A242" s="166"/>
      <c r="B242" s="34"/>
      <c r="C242" s="35"/>
      <c r="D242" s="36"/>
      <c r="E242" s="39"/>
      <c r="F242" s="32"/>
      <c r="G242" s="58"/>
      <c r="I242" s="58"/>
    </row>
    <row r="243" spans="1:9" s="57" customFormat="1" ht="15" customHeight="1" x14ac:dyDescent="0.25">
      <c r="A243" s="127"/>
      <c r="B243" s="15" t="s">
        <v>40</v>
      </c>
      <c r="C243" s="29"/>
      <c r="D243" s="30"/>
      <c r="E243" s="31"/>
      <c r="F243" s="32"/>
      <c r="G243" s="58"/>
      <c r="I243" s="58"/>
    </row>
    <row r="244" spans="1:9" s="57" customFormat="1" ht="15" customHeight="1" x14ac:dyDescent="0.25">
      <c r="A244" s="30" t="s">
        <v>18</v>
      </c>
      <c r="B244" s="73" t="s">
        <v>111</v>
      </c>
      <c r="C244" s="29" t="s">
        <v>26</v>
      </c>
      <c r="D244" s="30">
        <v>16</v>
      </c>
      <c r="E244" s="31">
        <v>45</v>
      </c>
      <c r="F244" s="32">
        <f t="shared" ref="F244:F253" si="10">D244*E244</f>
        <v>720</v>
      </c>
      <c r="G244" s="58"/>
      <c r="I244" s="58"/>
    </row>
    <row r="245" spans="1:9" s="57" customFormat="1" ht="15" customHeight="1" x14ac:dyDescent="0.25">
      <c r="A245" s="167" t="s">
        <v>19</v>
      </c>
      <c r="B245" s="73" t="s">
        <v>112</v>
      </c>
      <c r="C245" s="29" t="s">
        <v>26</v>
      </c>
      <c r="D245" s="30">
        <v>16</v>
      </c>
      <c r="E245" s="31">
        <v>45</v>
      </c>
      <c r="F245" s="32">
        <f t="shared" si="10"/>
        <v>720</v>
      </c>
      <c r="G245" s="58"/>
      <c r="I245" s="58"/>
    </row>
    <row r="246" spans="1:9" s="57" customFormat="1" ht="15" customHeight="1" x14ac:dyDescent="0.25">
      <c r="A246" s="127" t="s">
        <v>20</v>
      </c>
      <c r="B246" s="33" t="s">
        <v>65</v>
      </c>
      <c r="C246" s="29" t="s">
        <v>26</v>
      </c>
      <c r="D246" s="30">
        <v>16</v>
      </c>
      <c r="E246" s="31">
        <v>40</v>
      </c>
      <c r="F246" s="32">
        <f t="shared" si="10"/>
        <v>640</v>
      </c>
      <c r="G246" s="58"/>
      <c r="I246" s="58"/>
    </row>
    <row r="247" spans="1:9" s="57" customFormat="1" ht="15" customHeight="1" x14ac:dyDescent="0.25">
      <c r="A247" s="127" t="s">
        <v>21</v>
      </c>
      <c r="B247" s="33" t="s">
        <v>113</v>
      </c>
      <c r="C247" s="29" t="s">
        <v>26</v>
      </c>
      <c r="D247" s="30">
        <v>14</v>
      </c>
      <c r="E247" s="31">
        <v>40</v>
      </c>
      <c r="F247" s="32">
        <f t="shared" si="10"/>
        <v>560</v>
      </c>
      <c r="G247" s="58"/>
      <c r="I247" s="58"/>
    </row>
    <row r="248" spans="1:9" s="57" customFormat="1" ht="15" customHeight="1" x14ac:dyDescent="0.25">
      <c r="A248" s="127" t="s">
        <v>22</v>
      </c>
      <c r="B248" s="33" t="s">
        <v>114</v>
      </c>
      <c r="C248" s="29" t="s">
        <v>26</v>
      </c>
      <c r="D248" s="30">
        <v>16</v>
      </c>
      <c r="E248" s="31">
        <v>35</v>
      </c>
      <c r="F248" s="32">
        <f t="shared" si="10"/>
        <v>560</v>
      </c>
      <c r="G248" s="58"/>
      <c r="I248" s="58"/>
    </row>
    <row r="249" spans="1:9" s="57" customFormat="1" ht="15" customHeight="1" x14ac:dyDescent="0.25">
      <c r="A249" s="127" t="s">
        <v>24</v>
      </c>
      <c r="B249" s="33" t="s">
        <v>115</v>
      </c>
      <c r="C249" s="29" t="s">
        <v>26</v>
      </c>
      <c r="D249" s="30">
        <v>16</v>
      </c>
      <c r="E249" s="31">
        <v>35</v>
      </c>
      <c r="F249" s="32">
        <f t="shared" si="10"/>
        <v>560</v>
      </c>
      <c r="G249" s="58"/>
      <c r="I249" s="58"/>
    </row>
    <row r="250" spans="1:9" s="57" customFormat="1" ht="15" customHeight="1" x14ac:dyDescent="0.25">
      <c r="A250" s="127" t="s">
        <v>25</v>
      </c>
      <c r="B250" s="73" t="s">
        <v>116</v>
      </c>
      <c r="C250" s="29" t="s">
        <v>26</v>
      </c>
      <c r="D250" s="30">
        <v>8</v>
      </c>
      <c r="E250" s="31">
        <v>90</v>
      </c>
      <c r="F250" s="32">
        <f t="shared" si="10"/>
        <v>720</v>
      </c>
      <c r="G250" s="58"/>
      <c r="I250" s="58"/>
    </row>
    <row r="251" spans="1:9" s="57" customFormat="1" ht="15" customHeight="1" x14ac:dyDescent="0.25">
      <c r="A251" s="127" t="s">
        <v>27</v>
      </c>
      <c r="B251" s="73" t="s">
        <v>117</v>
      </c>
      <c r="C251" s="29" t="s">
        <v>26</v>
      </c>
      <c r="D251" s="30">
        <v>8</v>
      </c>
      <c r="E251" s="31">
        <v>80</v>
      </c>
      <c r="F251" s="32">
        <f t="shared" si="10"/>
        <v>640</v>
      </c>
      <c r="G251" s="58"/>
      <c r="I251" s="58"/>
    </row>
    <row r="252" spans="1:9" s="57" customFormat="1" ht="15" customHeight="1" x14ac:dyDescent="0.25">
      <c r="A252" s="127" t="s">
        <v>28</v>
      </c>
      <c r="B252" s="96" t="s">
        <v>118</v>
      </c>
      <c r="C252" s="29" t="s">
        <v>26</v>
      </c>
      <c r="D252" s="30">
        <v>16</v>
      </c>
      <c r="E252" s="31">
        <v>45</v>
      </c>
      <c r="F252" s="32">
        <f t="shared" si="10"/>
        <v>720</v>
      </c>
      <c r="G252" s="58"/>
      <c r="I252" s="58"/>
    </row>
    <row r="253" spans="1:9" s="57" customFormat="1" ht="15" customHeight="1" x14ac:dyDescent="0.25">
      <c r="A253" s="127" t="s">
        <v>120</v>
      </c>
      <c r="B253" s="73" t="s">
        <v>119</v>
      </c>
      <c r="C253" s="29" t="s">
        <v>26</v>
      </c>
      <c r="D253" s="30">
        <v>8</v>
      </c>
      <c r="E253" s="31">
        <v>85</v>
      </c>
      <c r="F253" s="32">
        <f t="shared" si="10"/>
        <v>680</v>
      </c>
      <c r="G253" s="58"/>
      <c r="I253" s="58"/>
    </row>
    <row r="254" spans="1:9" s="57" customFormat="1" ht="15" customHeight="1" x14ac:dyDescent="0.25">
      <c r="A254" s="127"/>
      <c r="B254" s="55"/>
      <c r="C254" s="29"/>
      <c r="D254" s="30"/>
      <c r="E254" s="31"/>
      <c r="F254" s="32"/>
      <c r="G254" s="58"/>
      <c r="I254" s="58"/>
    </row>
    <row r="255" spans="1:9" s="57" customFormat="1" ht="15" customHeight="1" x14ac:dyDescent="0.25">
      <c r="A255" s="81"/>
      <c r="B255" s="15" t="s">
        <v>31</v>
      </c>
      <c r="C255" s="150"/>
      <c r="D255" s="135"/>
      <c r="E255" s="151"/>
      <c r="F255" s="101"/>
      <c r="G255" s="58"/>
      <c r="I255" s="58"/>
    </row>
    <row r="256" spans="1:9" s="57" customFormat="1" ht="25.5" x14ac:dyDescent="0.25">
      <c r="A256" s="134" t="s">
        <v>121</v>
      </c>
      <c r="B256" s="48" t="s">
        <v>32</v>
      </c>
      <c r="C256" s="150" t="s">
        <v>12</v>
      </c>
      <c r="D256" s="135">
        <v>24</v>
      </c>
      <c r="E256" s="151">
        <v>4</v>
      </c>
      <c r="F256" s="101">
        <f>D256*E256</f>
        <v>96</v>
      </c>
      <c r="G256" s="58"/>
      <c r="I256" s="58"/>
    </row>
    <row r="257" spans="1:9" s="57" customFormat="1" ht="25.5" x14ac:dyDescent="0.25">
      <c r="A257" s="134" t="s">
        <v>122</v>
      </c>
      <c r="B257" s="48" t="s">
        <v>33</v>
      </c>
      <c r="C257" s="150" t="s">
        <v>12</v>
      </c>
      <c r="D257" s="135">
        <v>16</v>
      </c>
      <c r="E257" s="151">
        <v>8</v>
      </c>
      <c r="F257" s="101">
        <f>D257*E257</f>
        <v>128</v>
      </c>
      <c r="G257" s="58"/>
      <c r="I257" s="58"/>
    </row>
    <row r="258" spans="1:9" s="57" customFormat="1" ht="25.5" x14ac:dyDescent="0.25">
      <c r="A258" s="134" t="s">
        <v>123</v>
      </c>
      <c r="B258" s="48" t="s">
        <v>42</v>
      </c>
      <c r="C258" s="150" t="s">
        <v>12</v>
      </c>
      <c r="D258" s="135">
        <v>8</v>
      </c>
      <c r="E258" s="151">
        <v>12</v>
      </c>
      <c r="F258" s="101">
        <f>D258*E258</f>
        <v>96</v>
      </c>
      <c r="G258" s="58"/>
      <c r="I258" s="58"/>
    </row>
    <row r="259" spans="1:9" s="57" customFormat="1" ht="25.5" x14ac:dyDescent="0.25">
      <c r="A259" s="134" t="s">
        <v>124</v>
      </c>
      <c r="B259" s="48" t="s">
        <v>43</v>
      </c>
      <c r="C259" s="150" t="s">
        <v>12</v>
      </c>
      <c r="D259" s="135">
        <v>16</v>
      </c>
      <c r="E259" s="151">
        <v>13</v>
      </c>
      <c r="F259" s="101">
        <f>D259*E259</f>
        <v>208</v>
      </c>
      <c r="G259" s="58"/>
      <c r="I259" s="58"/>
    </row>
    <row r="260" spans="1:9" s="57" customFormat="1" ht="25.5" x14ac:dyDescent="0.25">
      <c r="A260" s="134" t="s">
        <v>125</v>
      </c>
      <c r="B260" s="48" t="s">
        <v>63</v>
      </c>
      <c r="C260" s="150" t="s">
        <v>12</v>
      </c>
      <c r="D260" s="135">
        <v>8</v>
      </c>
      <c r="E260" s="151">
        <v>13</v>
      </c>
      <c r="F260" s="101">
        <f>D260*E260</f>
        <v>104</v>
      </c>
      <c r="G260" s="58"/>
      <c r="I260" s="58"/>
    </row>
    <row r="261" spans="1:9" s="57" customFormat="1" ht="15" customHeight="1" x14ac:dyDescent="0.2">
      <c r="A261" s="134" t="s">
        <v>126</v>
      </c>
      <c r="B261" s="49" t="s">
        <v>165</v>
      </c>
      <c r="C261" s="150" t="s">
        <v>12</v>
      </c>
      <c r="D261" s="135">
        <v>8</v>
      </c>
      <c r="E261" s="151">
        <v>10</v>
      </c>
      <c r="F261" s="101">
        <f>D261*E261</f>
        <v>80</v>
      </c>
      <c r="G261" s="58"/>
      <c r="I261" s="58"/>
    </row>
    <row r="262" spans="1:9" s="57" customFormat="1" ht="15" customHeight="1" x14ac:dyDescent="0.25">
      <c r="A262" s="81"/>
      <c r="B262" s="55"/>
      <c r="C262" s="150"/>
      <c r="D262" s="135"/>
      <c r="E262" s="151"/>
      <c r="F262" s="101"/>
      <c r="G262" s="58"/>
      <c r="I262" s="58"/>
    </row>
    <row r="263" spans="1:9" s="57" customFormat="1" ht="15" customHeight="1" x14ac:dyDescent="0.25">
      <c r="A263" s="81"/>
      <c r="B263" s="15" t="s">
        <v>34</v>
      </c>
      <c r="C263" s="150"/>
      <c r="D263" s="135"/>
      <c r="E263" s="151"/>
      <c r="F263" s="101"/>
      <c r="G263" s="58"/>
      <c r="I263" s="58"/>
    </row>
    <row r="264" spans="1:9" s="57" customFormat="1" ht="25.5" x14ac:dyDescent="0.25">
      <c r="A264" s="134" t="s">
        <v>127</v>
      </c>
      <c r="B264" s="48" t="s">
        <v>44</v>
      </c>
      <c r="C264" s="150" t="s">
        <v>12</v>
      </c>
      <c r="D264" s="135">
        <v>16</v>
      </c>
      <c r="E264" s="151">
        <v>10</v>
      </c>
      <c r="F264" s="101">
        <f>D264*E264</f>
        <v>160</v>
      </c>
      <c r="G264" s="58"/>
      <c r="I264" s="58"/>
    </row>
    <row r="265" spans="1:9" s="57" customFormat="1" ht="25.5" x14ac:dyDescent="0.25">
      <c r="A265" s="134" t="s">
        <v>128</v>
      </c>
      <c r="B265" s="48" t="s">
        <v>36</v>
      </c>
      <c r="C265" s="150" t="s">
        <v>12</v>
      </c>
      <c r="D265" s="135">
        <v>40</v>
      </c>
      <c r="E265" s="151">
        <v>8</v>
      </c>
      <c r="F265" s="101">
        <f>D265*E265</f>
        <v>320</v>
      </c>
      <c r="G265" s="58"/>
      <c r="I265" s="58"/>
    </row>
    <row r="266" spans="1:9" s="57" customFormat="1" ht="25.5" x14ac:dyDescent="0.2">
      <c r="A266" s="156" t="s">
        <v>157</v>
      </c>
      <c r="B266" s="49" t="s">
        <v>37</v>
      </c>
      <c r="C266" s="150" t="s">
        <v>12</v>
      </c>
      <c r="D266" s="135">
        <v>32</v>
      </c>
      <c r="E266" s="151">
        <v>12</v>
      </c>
      <c r="F266" s="101">
        <f>D266*E266</f>
        <v>384</v>
      </c>
      <c r="G266" s="58"/>
      <c r="I266" s="58"/>
    </row>
    <row r="267" spans="1:9" s="57" customFormat="1" ht="38.25" x14ac:dyDescent="0.2">
      <c r="A267" s="156" t="s">
        <v>158</v>
      </c>
      <c r="B267" s="49" t="s">
        <v>164</v>
      </c>
      <c r="C267" s="150" t="s">
        <v>12</v>
      </c>
      <c r="D267" s="135">
        <v>8</v>
      </c>
      <c r="E267" s="151">
        <v>60</v>
      </c>
      <c r="F267" s="101">
        <f>D267*E267</f>
        <v>480</v>
      </c>
      <c r="G267" s="58"/>
      <c r="I267" s="58"/>
    </row>
    <row r="268" spans="1:9" s="57" customFormat="1" ht="15" customHeight="1" x14ac:dyDescent="0.2">
      <c r="A268" s="41"/>
      <c r="B268" s="49"/>
      <c r="C268" s="29"/>
      <c r="D268" s="30"/>
      <c r="E268" s="31"/>
      <c r="F268" s="32"/>
      <c r="G268" s="58"/>
      <c r="I268" s="58"/>
    </row>
    <row r="269" spans="1:9" s="57" customFormat="1" ht="15" customHeight="1" x14ac:dyDescent="0.2">
      <c r="A269" s="41"/>
      <c r="B269" s="152" t="s">
        <v>160</v>
      </c>
      <c r="C269" s="29"/>
      <c r="D269" s="30"/>
      <c r="E269" s="31"/>
      <c r="F269" s="32"/>
      <c r="G269" s="58"/>
      <c r="I269" s="58"/>
    </row>
    <row r="270" spans="1:9" s="57" customFormat="1" ht="25.5" x14ac:dyDescent="0.2">
      <c r="A270" s="156" t="s">
        <v>161</v>
      </c>
      <c r="B270" s="49" t="s">
        <v>159</v>
      </c>
      <c r="C270" s="150" t="s">
        <v>12</v>
      </c>
      <c r="D270" s="135">
        <v>8</v>
      </c>
      <c r="E270" s="151">
        <v>2500</v>
      </c>
      <c r="F270" s="101">
        <f>D270*E270</f>
        <v>20000</v>
      </c>
      <c r="G270" s="58"/>
      <c r="I270" s="58"/>
    </row>
    <row r="271" spans="1:9" s="57" customFormat="1" ht="15" customHeight="1" x14ac:dyDescent="0.2">
      <c r="A271" s="127"/>
      <c r="B271" s="49"/>
      <c r="C271" s="29"/>
      <c r="D271" s="30"/>
      <c r="E271" s="31"/>
      <c r="F271" s="32"/>
      <c r="G271" s="58"/>
      <c r="I271" s="58"/>
    </row>
    <row r="272" spans="1:9" s="57" customFormat="1" ht="15" customHeight="1" x14ac:dyDescent="0.2">
      <c r="A272" s="127"/>
      <c r="B272" s="49"/>
      <c r="C272" s="29"/>
      <c r="D272" s="30"/>
      <c r="E272" s="31"/>
      <c r="F272" s="32"/>
      <c r="G272" s="58"/>
      <c r="I272" s="58"/>
    </row>
    <row r="273" spans="1:9" s="57" customFormat="1" ht="15" customHeight="1" x14ac:dyDescent="0.2">
      <c r="A273" s="127"/>
      <c r="B273" s="49"/>
      <c r="C273" s="29"/>
      <c r="D273" s="30"/>
      <c r="E273" s="31"/>
      <c r="F273" s="32"/>
      <c r="G273" s="58"/>
      <c r="I273" s="58"/>
    </row>
    <row r="274" spans="1:9" s="57" customFormat="1" ht="15" customHeight="1" x14ac:dyDescent="0.2">
      <c r="A274" s="127"/>
      <c r="B274" s="49"/>
      <c r="C274" s="29"/>
      <c r="D274" s="30"/>
      <c r="E274" s="31"/>
      <c r="F274" s="32"/>
      <c r="G274" s="58"/>
      <c r="I274" s="58"/>
    </row>
    <row r="275" spans="1:9" s="57" customFormat="1" ht="15" customHeight="1" thickBot="1" x14ac:dyDescent="0.3">
      <c r="A275" s="164" t="s">
        <v>141</v>
      </c>
      <c r="B275" s="43" t="s">
        <v>30</v>
      </c>
      <c r="C275" s="44"/>
      <c r="D275" s="45"/>
      <c r="E275" s="28"/>
      <c r="F275" s="52">
        <f>SUM(F235:F273)</f>
        <v>55566</v>
      </c>
      <c r="G275" s="58"/>
      <c r="I275" s="58"/>
    </row>
    <row r="276" spans="1:9" s="57" customFormat="1" ht="15" customHeight="1" thickTop="1" x14ac:dyDescent="0.25">
      <c r="A276" s="161"/>
      <c r="B276" s="97"/>
      <c r="C276" s="24"/>
      <c r="D276" s="47"/>
      <c r="E276" s="26"/>
      <c r="F276" s="32"/>
      <c r="G276" s="58"/>
      <c r="I276" s="58"/>
    </row>
    <row r="277" spans="1:9" s="57" customFormat="1" ht="15" customHeight="1" x14ac:dyDescent="0.25">
      <c r="A277" s="161"/>
      <c r="B277" s="97"/>
      <c r="C277" s="24"/>
      <c r="D277" s="47"/>
      <c r="E277" s="26"/>
      <c r="F277" s="32"/>
      <c r="G277" s="58"/>
      <c r="I277" s="58"/>
    </row>
    <row r="278" spans="1:9" s="57" customFormat="1" ht="15" customHeight="1" x14ac:dyDescent="0.25">
      <c r="A278" s="165" t="s">
        <v>108</v>
      </c>
      <c r="B278" s="15" t="s">
        <v>133</v>
      </c>
      <c r="C278" s="29"/>
      <c r="D278" s="30"/>
      <c r="E278" s="31"/>
      <c r="F278" s="32"/>
      <c r="G278" s="58"/>
      <c r="I278" s="58"/>
    </row>
    <row r="279" spans="1:9" s="57" customFormat="1" ht="15" customHeight="1" x14ac:dyDescent="0.25">
      <c r="A279" s="53"/>
      <c r="B279" s="54"/>
      <c r="C279" s="29"/>
      <c r="D279" s="30"/>
      <c r="E279" s="31"/>
      <c r="F279" s="32"/>
      <c r="G279" s="58"/>
      <c r="I279" s="58"/>
    </row>
    <row r="280" spans="1:9" s="102" customFormat="1" ht="39.75" x14ac:dyDescent="0.25">
      <c r="A280" s="162" t="s">
        <v>10</v>
      </c>
      <c r="B280" s="34" t="s">
        <v>11</v>
      </c>
      <c r="C280" s="98" t="s">
        <v>12</v>
      </c>
      <c r="D280" s="99">
        <v>134</v>
      </c>
      <c r="E280" s="100">
        <v>50</v>
      </c>
      <c r="F280" s="101">
        <f t="shared" ref="F280:F284" si="11">D280*E280</f>
        <v>6700</v>
      </c>
      <c r="G280" s="58"/>
      <c r="I280" s="58"/>
    </row>
    <row r="281" spans="1:9" s="102" customFormat="1" ht="39.75" x14ac:dyDescent="0.25">
      <c r="A281" s="162" t="s">
        <v>13</v>
      </c>
      <c r="B281" s="34" t="s">
        <v>14</v>
      </c>
      <c r="C281" s="98" t="s">
        <v>12</v>
      </c>
      <c r="D281" s="99">
        <v>88</v>
      </c>
      <c r="E281" s="100">
        <v>55</v>
      </c>
      <c r="F281" s="101">
        <f t="shared" si="11"/>
        <v>4840</v>
      </c>
      <c r="G281" s="58"/>
      <c r="I281" s="58"/>
    </row>
    <row r="282" spans="1:9" s="102" customFormat="1" ht="39.75" x14ac:dyDescent="0.25">
      <c r="A282" s="162" t="s">
        <v>15</v>
      </c>
      <c r="B282" s="34" t="s">
        <v>61</v>
      </c>
      <c r="C282" s="98" t="s">
        <v>17</v>
      </c>
      <c r="D282" s="87">
        <v>60</v>
      </c>
      <c r="E282" s="100">
        <v>35</v>
      </c>
      <c r="F282" s="101">
        <f t="shared" si="11"/>
        <v>2100</v>
      </c>
      <c r="G282" s="58"/>
      <c r="I282" s="58"/>
    </row>
    <row r="283" spans="1:9" s="102" customFormat="1" ht="38.25" x14ac:dyDescent="0.25">
      <c r="A283" s="162" t="s">
        <v>16</v>
      </c>
      <c r="B283" s="34" t="s">
        <v>62</v>
      </c>
      <c r="C283" s="98" t="s">
        <v>12</v>
      </c>
      <c r="D283" s="99">
        <v>8</v>
      </c>
      <c r="E283" s="100">
        <v>1700</v>
      </c>
      <c r="F283" s="101">
        <f t="shared" si="11"/>
        <v>13600</v>
      </c>
      <c r="G283" s="58"/>
      <c r="I283" s="58"/>
    </row>
    <row r="284" spans="1:9" s="102" customFormat="1" ht="25.5" x14ac:dyDescent="0.25">
      <c r="A284" s="162" t="s">
        <v>35</v>
      </c>
      <c r="B284" s="34" t="s">
        <v>23</v>
      </c>
      <c r="C284" s="98" t="s">
        <v>17</v>
      </c>
      <c r="D284" s="99">
        <v>20</v>
      </c>
      <c r="E284" s="103">
        <v>5</v>
      </c>
      <c r="F284" s="101">
        <f t="shared" si="11"/>
        <v>100</v>
      </c>
      <c r="G284" s="58"/>
      <c r="I284" s="58"/>
    </row>
    <row r="285" spans="1:9" s="57" customFormat="1" ht="15" customHeight="1" x14ac:dyDescent="0.25">
      <c r="A285" s="166"/>
      <c r="B285" s="34"/>
      <c r="C285" s="35"/>
      <c r="D285" s="36"/>
      <c r="E285" s="39"/>
      <c r="F285" s="32"/>
      <c r="G285" s="58"/>
      <c r="I285" s="58"/>
    </row>
    <row r="286" spans="1:9" s="57" customFormat="1" ht="15" customHeight="1" x14ac:dyDescent="0.25">
      <c r="A286" s="127"/>
      <c r="B286" s="15" t="s">
        <v>40</v>
      </c>
      <c r="C286" s="29"/>
      <c r="D286" s="30"/>
      <c r="E286" s="31"/>
      <c r="F286" s="32"/>
      <c r="G286" s="58"/>
      <c r="I286" s="58"/>
    </row>
    <row r="287" spans="1:9" s="57" customFormat="1" ht="15" customHeight="1" x14ac:dyDescent="0.25">
      <c r="A287" s="30" t="s">
        <v>18</v>
      </c>
      <c r="B287" s="73" t="s">
        <v>111</v>
      </c>
      <c r="C287" s="29" t="s">
        <v>26</v>
      </c>
      <c r="D287" s="30">
        <v>16</v>
      </c>
      <c r="E287" s="31">
        <v>45</v>
      </c>
      <c r="F287" s="32">
        <f t="shared" ref="F287:F296" si="12">D287*E287</f>
        <v>720</v>
      </c>
      <c r="G287" s="58"/>
      <c r="I287" s="58"/>
    </row>
    <row r="288" spans="1:9" s="57" customFormat="1" ht="15" customHeight="1" x14ac:dyDescent="0.25">
      <c r="A288" s="167" t="s">
        <v>19</v>
      </c>
      <c r="B288" s="73" t="s">
        <v>112</v>
      </c>
      <c r="C288" s="29" t="s">
        <v>26</v>
      </c>
      <c r="D288" s="30">
        <v>16</v>
      </c>
      <c r="E288" s="31">
        <v>45</v>
      </c>
      <c r="F288" s="32">
        <f t="shared" si="12"/>
        <v>720</v>
      </c>
      <c r="G288" s="58"/>
      <c r="I288" s="58"/>
    </row>
    <row r="289" spans="1:9" s="57" customFormat="1" ht="15" customHeight="1" x14ac:dyDescent="0.25">
      <c r="A289" s="127" t="s">
        <v>20</v>
      </c>
      <c r="B289" s="33" t="s">
        <v>65</v>
      </c>
      <c r="C289" s="29" t="s">
        <v>26</v>
      </c>
      <c r="D289" s="30">
        <v>16</v>
      </c>
      <c r="E289" s="31">
        <v>40</v>
      </c>
      <c r="F289" s="32">
        <f t="shared" si="12"/>
        <v>640</v>
      </c>
      <c r="G289" s="58"/>
      <c r="I289" s="58"/>
    </row>
    <row r="290" spans="1:9" s="57" customFormat="1" ht="15" customHeight="1" x14ac:dyDescent="0.25">
      <c r="A290" s="127" t="s">
        <v>21</v>
      </c>
      <c r="B290" s="33" t="s">
        <v>113</v>
      </c>
      <c r="C290" s="29" t="s">
        <v>26</v>
      </c>
      <c r="D290" s="30">
        <v>14</v>
      </c>
      <c r="E290" s="31">
        <v>40</v>
      </c>
      <c r="F290" s="32">
        <f t="shared" si="12"/>
        <v>560</v>
      </c>
      <c r="G290" s="58"/>
      <c r="I290" s="58"/>
    </row>
    <row r="291" spans="1:9" s="57" customFormat="1" ht="15" customHeight="1" x14ac:dyDescent="0.25">
      <c r="A291" s="127" t="s">
        <v>22</v>
      </c>
      <c r="B291" s="33" t="s">
        <v>114</v>
      </c>
      <c r="C291" s="29" t="s">
        <v>26</v>
      </c>
      <c r="D291" s="30">
        <v>16</v>
      </c>
      <c r="E291" s="31">
        <v>35</v>
      </c>
      <c r="F291" s="32">
        <f t="shared" si="12"/>
        <v>560</v>
      </c>
      <c r="G291" s="58"/>
      <c r="I291" s="58"/>
    </row>
    <row r="292" spans="1:9" s="57" customFormat="1" ht="15" customHeight="1" x14ac:dyDescent="0.25">
      <c r="A292" s="127" t="s">
        <v>24</v>
      </c>
      <c r="B292" s="33" t="s">
        <v>115</v>
      </c>
      <c r="C292" s="29" t="s">
        <v>26</v>
      </c>
      <c r="D292" s="30">
        <v>16</v>
      </c>
      <c r="E292" s="31">
        <v>35</v>
      </c>
      <c r="F292" s="32">
        <f t="shared" si="12"/>
        <v>560</v>
      </c>
      <c r="G292" s="58"/>
      <c r="I292" s="58"/>
    </row>
    <row r="293" spans="1:9" s="57" customFormat="1" ht="15" customHeight="1" x14ac:dyDescent="0.25">
      <c r="A293" s="127" t="s">
        <v>25</v>
      </c>
      <c r="B293" s="33" t="s">
        <v>116</v>
      </c>
      <c r="C293" s="29" t="s">
        <v>26</v>
      </c>
      <c r="D293" s="30">
        <v>8</v>
      </c>
      <c r="E293" s="31">
        <v>90</v>
      </c>
      <c r="F293" s="32">
        <f t="shared" si="12"/>
        <v>720</v>
      </c>
      <c r="G293" s="58"/>
      <c r="I293" s="58"/>
    </row>
    <row r="294" spans="1:9" s="57" customFormat="1" ht="15" customHeight="1" x14ac:dyDescent="0.25">
      <c r="A294" s="127" t="s">
        <v>27</v>
      </c>
      <c r="B294" s="73" t="s">
        <v>117</v>
      </c>
      <c r="C294" s="29" t="s">
        <v>26</v>
      </c>
      <c r="D294" s="30">
        <v>8</v>
      </c>
      <c r="E294" s="31">
        <v>80</v>
      </c>
      <c r="F294" s="32">
        <f t="shared" si="12"/>
        <v>640</v>
      </c>
      <c r="G294" s="58"/>
      <c r="I294" s="58"/>
    </row>
    <row r="295" spans="1:9" s="57" customFormat="1" ht="15" customHeight="1" x14ac:dyDescent="0.25">
      <c r="A295" s="127" t="s">
        <v>28</v>
      </c>
      <c r="B295" s="96" t="s">
        <v>118</v>
      </c>
      <c r="C295" s="29" t="s">
        <v>26</v>
      </c>
      <c r="D295" s="30">
        <v>16</v>
      </c>
      <c r="E295" s="31">
        <v>45</v>
      </c>
      <c r="F295" s="32">
        <f t="shared" si="12"/>
        <v>720</v>
      </c>
      <c r="G295" s="58"/>
      <c r="I295" s="58"/>
    </row>
    <row r="296" spans="1:9" s="57" customFormat="1" ht="15" customHeight="1" x14ac:dyDescent="0.25">
      <c r="A296" s="127" t="s">
        <v>120</v>
      </c>
      <c r="B296" s="73" t="s">
        <v>119</v>
      </c>
      <c r="C296" s="29" t="s">
        <v>26</v>
      </c>
      <c r="D296" s="30">
        <v>8</v>
      </c>
      <c r="E296" s="31">
        <v>85</v>
      </c>
      <c r="F296" s="32">
        <f t="shared" si="12"/>
        <v>680</v>
      </c>
      <c r="G296" s="58"/>
      <c r="I296" s="58"/>
    </row>
    <row r="297" spans="1:9" s="57" customFormat="1" ht="15" customHeight="1" x14ac:dyDescent="0.25">
      <c r="A297" s="127" t="s">
        <v>121</v>
      </c>
      <c r="B297" s="73" t="s">
        <v>150</v>
      </c>
      <c r="C297" s="29" t="s">
        <v>26</v>
      </c>
      <c r="D297" s="30">
        <v>4</v>
      </c>
      <c r="E297" s="31">
        <f>E20</f>
        <v>55</v>
      </c>
      <c r="F297" s="32"/>
      <c r="G297" s="58"/>
      <c r="I297" s="58"/>
    </row>
    <row r="298" spans="1:9" s="57" customFormat="1" ht="15" customHeight="1" x14ac:dyDescent="0.25">
      <c r="A298" s="127"/>
      <c r="B298" s="55"/>
      <c r="C298" s="29"/>
      <c r="D298" s="30"/>
      <c r="E298" s="31"/>
      <c r="F298" s="32"/>
      <c r="G298" s="58"/>
      <c r="I298" s="58"/>
    </row>
    <row r="299" spans="1:9" s="57" customFormat="1" ht="15" customHeight="1" x14ac:dyDescent="0.25">
      <c r="A299" s="81"/>
      <c r="B299" s="15" t="s">
        <v>31</v>
      </c>
      <c r="C299" s="150"/>
      <c r="D299" s="135"/>
      <c r="E299" s="151"/>
      <c r="F299" s="101"/>
      <c r="G299" s="58"/>
      <c r="I299" s="58"/>
    </row>
    <row r="300" spans="1:9" s="102" customFormat="1" ht="25.5" x14ac:dyDescent="0.25">
      <c r="A300" s="134" t="s">
        <v>121</v>
      </c>
      <c r="B300" s="48" t="s">
        <v>32</v>
      </c>
      <c r="C300" s="150" t="s">
        <v>12</v>
      </c>
      <c r="D300" s="135">
        <v>24</v>
      </c>
      <c r="E300" s="151">
        <v>4</v>
      </c>
      <c r="F300" s="101">
        <f>D300*E300</f>
        <v>96</v>
      </c>
      <c r="G300" s="58"/>
      <c r="I300" s="58"/>
    </row>
    <row r="301" spans="1:9" s="102" customFormat="1" ht="25.5" x14ac:dyDescent="0.25">
      <c r="A301" s="134" t="s">
        <v>122</v>
      </c>
      <c r="B301" s="48" t="s">
        <v>33</v>
      </c>
      <c r="C301" s="150" t="s">
        <v>12</v>
      </c>
      <c r="D301" s="135">
        <v>16</v>
      </c>
      <c r="E301" s="151">
        <v>8</v>
      </c>
      <c r="F301" s="101">
        <f>D301*E301</f>
        <v>128</v>
      </c>
      <c r="G301" s="58"/>
      <c r="I301" s="58"/>
    </row>
    <row r="302" spans="1:9" s="102" customFormat="1" ht="25.5" x14ac:dyDescent="0.25">
      <c r="A302" s="134" t="s">
        <v>123</v>
      </c>
      <c r="B302" s="48" t="s">
        <v>42</v>
      </c>
      <c r="C302" s="150" t="s">
        <v>12</v>
      </c>
      <c r="D302" s="135">
        <v>8</v>
      </c>
      <c r="E302" s="151">
        <v>12</v>
      </c>
      <c r="F302" s="101">
        <f>D302*E302</f>
        <v>96</v>
      </c>
      <c r="G302" s="58"/>
      <c r="I302" s="58"/>
    </row>
    <row r="303" spans="1:9" s="102" customFormat="1" ht="25.5" x14ac:dyDescent="0.25">
      <c r="A303" s="134" t="s">
        <v>124</v>
      </c>
      <c r="B303" s="48" t="s">
        <v>43</v>
      </c>
      <c r="C303" s="150" t="s">
        <v>12</v>
      </c>
      <c r="D303" s="135">
        <v>16</v>
      </c>
      <c r="E303" s="151">
        <v>13</v>
      </c>
      <c r="F303" s="101">
        <f>D303*E303</f>
        <v>208</v>
      </c>
      <c r="G303" s="58"/>
      <c r="I303" s="58"/>
    </row>
    <row r="304" spans="1:9" s="102" customFormat="1" ht="25.5" x14ac:dyDescent="0.25">
      <c r="A304" s="134" t="s">
        <v>125</v>
      </c>
      <c r="B304" s="48" t="s">
        <v>63</v>
      </c>
      <c r="C304" s="150" t="s">
        <v>12</v>
      </c>
      <c r="D304" s="135">
        <v>8</v>
      </c>
      <c r="E304" s="151">
        <v>13</v>
      </c>
      <c r="F304" s="101">
        <f>D304*E304</f>
        <v>104</v>
      </c>
      <c r="G304" s="58"/>
      <c r="I304" s="58"/>
    </row>
    <row r="305" spans="1:9" s="57" customFormat="1" ht="15" customHeight="1" x14ac:dyDescent="0.2">
      <c r="A305" s="134" t="s">
        <v>126</v>
      </c>
      <c r="B305" s="49" t="s">
        <v>165</v>
      </c>
      <c r="C305" s="150" t="s">
        <v>12</v>
      </c>
      <c r="D305" s="135">
        <v>8</v>
      </c>
      <c r="E305" s="151">
        <v>10</v>
      </c>
      <c r="F305" s="101">
        <f>D305*E305</f>
        <v>80</v>
      </c>
      <c r="G305" s="58"/>
      <c r="I305" s="58"/>
    </row>
    <row r="306" spans="1:9" s="57" customFormat="1" ht="15" customHeight="1" x14ac:dyDescent="0.25">
      <c r="A306" s="81"/>
      <c r="B306" s="55"/>
      <c r="C306" s="150"/>
      <c r="D306" s="135"/>
      <c r="E306" s="151"/>
      <c r="F306" s="101"/>
      <c r="G306" s="58"/>
      <c r="I306" s="58"/>
    </row>
    <row r="307" spans="1:9" s="57" customFormat="1" ht="15" customHeight="1" x14ac:dyDescent="0.25">
      <c r="A307" s="81"/>
      <c r="B307" s="15" t="s">
        <v>34</v>
      </c>
      <c r="C307" s="150"/>
      <c r="D307" s="135"/>
      <c r="E307" s="151"/>
      <c r="F307" s="101"/>
      <c r="G307" s="58"/>
      <c r="I307" s="58"/>
    </row>
    <row r="308" spans="1:9" s="57" customFormat="1" ht="25.5" x14ac:dyDescent="0.25">
      <c r="A308" s="134" t="s">
        <v>127</v>
      </c>
      <c r="B308" s="48" t="s">
        <v>44</v>
      </c>
      <c r="C308" s="150" t="s">
        <v>12</v>
      </c>
      <c r="D308" s="135">
        <v>16</v>
      </c>
      <c r="E308" s="151">
        <v>10</v>
      </c>
      <c r="F308" s="101">
        <f>D308*E308</f>
        <v>160</v>
      </c>
      <c r="G308" s="58"/>
      <c r="I308" s="58"/>
    </row>
    <row r="309" spans="1:9" s="57" customFormat="1" ht="25.5" x14ac:dyDescent="0.25">
      <c r="A309" s="134" t="s">
        <v>128</v>
      </c>
      <c r="B309" s="48" t="s">
        <v>36</v>
      </c>
      <c r="C309" s="150" t="s">
        <v>12</v>
      </c>
      <c r="D309" s="135">
        <v>40</v>
      </c>
      <c r="E309" s="151">
        <v>8</v>
      </c>
      <c r="F309" s="101">
        <f>D309*E309</f>
        <v>320</v>
      </c>
      <c r="G309" s="58"/>
      <c r="I309" s="58"/>
    </row>
    <row r="310" spans="1:9" s="57" customFormat="1" ht="25.5" x14ac:dyDescent="0.2">
      <c r="A310" s="156" t="s">
        <v>157</v>
      </c>
      <c r="B310" s="49" t="s">
        <v>37</v>
      </c>
      <c r="C310" s="150" t="s">
        <v>12</v>
      </c>
      <c r="D310" s="135">
        <v>32</v>
      </c>
      <c r="E310" s="151">
        <v>12</v>
      </c>
      <c r="F310" s="101">
        <f>D310*E310</f>
        <v>384</v>
      </c>
      <c r="G310" s="58"/>
      <c r="I310" s="58"/>
    </row>
    <row r="311" spans="1:9" s="57" customFormat="1" ht="38.25" x14ac:dyDescent="0.2">
      <c r="A311" s="156" t="s">
        <v>158</v>
      </c>
      <c r="B311" s="49" t="s">
        <v>164</v>
      </c>
      <c r="C311" s="150" t="s">
        <v>12</v>
      </c>
      <c r="D311" s="135">
        <v>8</v>
      </c>
      <c r="E311" s="151">
        <v>60</v>
      </c>
      <c r="F311" s="101">
        <f>D311*E311</f>
        <v>480</v>
      </c>
      <c r="G311" s="58"/>
      <c r="I311" s="58"/>
    </row>
    <row r="312" spans="1:9" s="57" customFormat="1" ht="15" customHeight="1" x14ac:dyDescent="0.2">
      <c r="A312" s="41"/>
      <c r="B312" s="49"/>
      <c r="C312" s="29"/>
      <c r="D312" s="30"/>
      <c r="E312" s="31"/>
      <c r="F312" s="32"/>
      <c r="G312" s="58"/>
      <c r="I312" s="58"/>
    </row>
    <row r="313" spans="1:9" s="57" customFormat="1" ht="15" customHeight="1" x14ac:dyDescent="0.2">
      <c r="A313" s="41"/>
      <c r="B313" s="152" t="s">
        <v>160</v>
      </c>
      <c r="C313" s="29"/>
      <c r="D313" s="30"/>
      <c r="E313" s="31"/>
      <c r="F313" s="32"/>
      <c r="G313" s="58"/>
      <c r="I313" s="58"/>
    </row>
    <row r="314" spans="1:9" s="57" customFormat="1" ht="25.5" x14ac:dyDescent="0.2">
      <c r="A314" s="156" t="s">
        <v>10</v>
      </c>
      <c r="B314" s="49" t="s">
        <v>159</v>
      </c>
      <c r="C314" s="150" t="s">
        <v>12</v>
      </c>
      <c r="D314" s="135">
        <v>8</v>
      </c>
      <c r="E314" s="151">
        <v>2500</v>
      </c>
      <c r="F314" s="101">
        <f>D314*E314</f>
        <v>20000</v>
      </c>
      <c r="G314" s="58"/>
      <c r="I314" s="58"/>
    </row>
    <row r="315" spans="1:9" s="57" customFormat="1" ht="15" customHeight="1" x14ac:dyDescent="0.2">
      <c r="A315" s="127"/>
      <c r="B315" s="49"/>
      <c r="C315" s="29"/>
      <c r="D315" s="30"/>
      <c r="E315" s="31"/>
      <c r="F315" s="32"/>
      <c r="G315" s="58"/>
      <c r="I315" s="58"/>
    </row>
    <row r="316" spans="1:9" s="57" customFormat="1" ht="15" customHeight="1" x14ac:dyDescent="0.2">
      <c r="A316" s="41"/>
      <c r="B316" s="49"/>
      <c r="C316" s="29"/>
      <c r="D316" s="30"/>
      <c r="E316" s="31"/>
      <c r="F316" s="32"/>
      <c r="G316" s="58"/>
      <c r="I316" s="58"/>
    </row>
    <row r="317" spans="1:9" s="57" customFormat="1" ht="15" customHeight="1" thickBot="1" x14ac:dyDescent="0.3">
      <c r="A317" s="164" t="s">
        <v>142</v>
      </c>
      <c r="B317" s="43" t="s">
        <v>30</v>
      </c>
      <c r="C317" s="44"/>
      <c r="D317" s="45"/>
      <c r="E317" s="28"/>
      <c r="F317" s="52">
        <f>SUM(F278:F314)</f>
        <v>55916</v>
      </c>
      <c r="G317" s="58"/>
      <c r="I317" s="58"/>
    </row>
    <row r="318" spans="1:9" s="57" customFormat="1" ht="15" customHeight="1" thickTop="1" x14ac:dyDescent="0.25">
      <c r="A318" s="161"/>
      <c r="C318" s="24"/>
      <c r="D318" s="47"/>
      <c r="E318" s="26"/>
      <c r="F318" s="27"/>
      <c r="G318" s="58"/>
      <c r="I318" s="58"/>
    </row>
    <row r="319" spans="1:9" s="57" customFormat="1" ht="15" customHeight="1" x14ac:dyDescent="0.25">
      <c r="A319" s="161"/>
      <c r="C319" s="24"/>
      <c r="D319" s="47"/>
      <c r="E319" s="26"/>
      <c r="F319" s="27"/>
      <c r="G319" s="58"/>
      <c r="I319" s="58"/>
    </row>
    <row r="320" spans="1:9" s="57" customFormat="1" ht="15" customHeight="1" x14ac:dyDescent="0.25">
      <c r="A320" s="165" t="s">
        <v>109</v>
      </c>
      <c r="B320" s="15" t="s">
        <v>46</v>
      </c>
      <c r="C320" s="29"/>
      <c r="D320" s="30"/>
      <c r="E320" s="31"/>
      <c r="F320" s="32"/>
      <c r="G320" s="58"/>
      <c r="I320" s="58"/>
    </row>
    <row r="321" spans="1:6" ht="14.25" customHeight="1" x14ac:dyDescent="0.25">
      <c r="A321" s="127"/>
      <c r="C321" s="29"/>
      <c r="D321" s="30"/>
      <c r="E321" s="31"/>
      <c r="F321" s="32"/>
    </row>
    <row r="322" spans="1:6" ht="38.25" x14ac:dyDescent="0.25">
      <c r="A322" s="127" t="s">
        <v>10</v>
      </c>
      <c r="B322" s="33" t="s">
        <v>47</v>
      </c>
      <c r="C322" s="29" t="s">
        <v>17</v>
      </c>
      <c r="D322" s="70">
        <v>205</v>
      </c>
      <c r="E322" s="31">
        <v>26</v>
      </c>
      <c r="F322" s="32">
        <f>D322*E322</f>
        <v>5330</v>
      </c>
    </row>
    <row r="323" spans="1:6" ht="26.25" customHeight="1" x14ac:dyDescent="0.25">
      <c r="A323" s="127" t="s">
        <v>13</v>
      </c>
      <c r="B323" s="33" t="s">
        <v>48</v>
      </c>
      <c r="C323" s="29" t="s">
        <v>26</v>
      </c>
      <c r="D323" s="30">
        <v>4</v>
      </c>
      <c r="E323" s="31">
        <v>85</v>
      </c>
      <c r="F323" s="32">
        <f t="shared" ref="F323:F329" si="13">D323*E323</f>
        <v>340</v>
      </c>
    </row>
    <row r="324" spans="1:6" ht="15" customHeight="1" x14ac:dyDescent="0.25">
      <c r="A324" s="127" t="s">
        <v>15</v>
      </c>
      <c r="B324" s="33" t="s">
        <v>49</v>
      </c>
      <c r="C324" s="29" t="s">
        <v>26</v>
      </c>
      <c r="D324" s="30">
        <v>4</v>
      </c>
      <c r="E324" s="31">
        <v>45</v>
      </c>
      <c r="F324" s="32">
        <f t="shared" si="13"/>
        <v>180</v>
      </c>
    </row>
    <row r="325" spans="1:6" ht="56.25" customHeight="1" x14ac:dyDescent="0.25">
      <c r="A325" s="127" t="s">
        <v>16</v>
      </c>
      <c r="B325" s="33" t="s">
        <v>50</v>
      </c>
      <c r="C325" s="29" t="s">
        <v>17</v>
      </c>
      <c r="D325" s="30">
        <v>60</v>
      </c>
      <c r="E325" s="31">
        <v>25</v>
      </c>
      <c r="F325" s="32">
        <f t="shared" si="13"/>
        <v>1500</v>
      </c>
    </row>
    <row r="326" spans="1:6" ht="39.75" customHeight="1" x14ac:dyDescent="0.25">
      <c r="A326" s="127" t="s">
        <v>35</v>
      </c>
      <c r="B326" s="33" t="s">
        <v>51</v>
      </c>
      <c r="C326" s="30" t="s">
        <v>26</v>
      </c>
      <c r="D326" s="30">
        <v>8</v>
      </c>
      <c r="E326" s="31">
        <v>32</v>
      </c>
      <c r="F326" s="32">
        <f t="shared" si="13"/>
        <v>256</v>
      </c>
    </row>
    <row r="327" spans="1:6" ht="42" customHeight="1" x14ac:dyDescent="0.25">
      <c r="A327" s="127" t="s">
        <v>18</v>
      </c>
      <c r="B327" s="33" t="s">
        <v>52</v>
      </c>
      <c r="C327" s="30" t="s">
        <v>26</v>
      </c>
      <c r="D327" s="30">
        <v>4</v>
      </c>
      <c r="E327" s="31">
        <v>69</v>
      </c>
      <c r="F327" s="32">
        <f t="shared" si="13"/>
        <v>276</v>
      </c>
    </row>
    <row r="328" spans="1:6" ht="57.75" customHeight="1" x14ac:dyDescent="0.25">
      <c r="A328" s="127" t="s">
        <v>19</v>
      </c>
      <c r="B328" s="59" t="s">
        <v>53</v>
      </c>
      <c r="C328" s="29" t="s">
        <v>2</v>
      </c>
      <c r="D328" s="60">
        <v>1</v>
      </c>
      <c r="E328" s="31">
        <v>80</v>
      </c>
      <c r="F328" s="32">
        <f t="shared" si="13"/>
        <v>80</v>
      </c>
    </row>
    <row r="329" spans="1:6" ht="46.5" customHeight="1" x14ac:dyDescent="0.25">
      <c r="A329" s="127" t="s">
        <v>20</v>
      </c>
      <c r="B329" s="48" t="s">
        <v>54</v>
      </c>
      <c r="C329" s="29" t="s">
        <v>2</v>
      </c>
      <c r="D329" s="30">
        <v>1</v>
      </c>
      <c r="E329" s="31">
        <v>120</v>
      </c>
      <c r="F329" s="32">
        <f t="shared" si="13"/>
        <v>120</v>
      </c>
    </row>
    <row r="330" spans="1:6" x14ac:dyDescent="0.25">
      <c r="A330" s="127"/>
      <c r="B330" s="48"/>
      <c r="C330" s="29"/>
      <c r="D330" s="30"/>
      <c r="E330" s="31"/>
      <c r="F330" s="32"/>
    </row>
    <row r="331" spans="1:6" x14ac:dyDescent="0.25">
      <c r="A331" s="127"/>
      <c r="B331" s="48"/>
      <c r="C331" s="29"/>
      <c r="D331" s="30"/>
      <c r="E331" s="31"/>
      <c r="F331" s="32"/>
    </row>
    <row r="332" spans="1:6" x14ac:dyDescent="0.25">
      <c r="A332" s="127"/>
      <c r="B332" s="48"/>
      <c r="C332" s="29"/>
      <c r="D332" s="30"/>
      <c r="E332" s="31"/>
      <c r="F332" s="32"/>
    </row>
    <row r="333" spans="1:6" x14ac:dyDescent="0.25">
      <c r="A333" s="127"/>
      <c r="B333" s="48"/>
      <c r="C333" s="29"/>
      <c r="D333" s="30"/>
      <c r="E333" s="31"/>
      <c r="F333" s="32"/>
    </row>
    <row r="334" spans="1:6" x14ac:dyDescent="0.25">
      <c r="A334" s="127"/>
      <c r="B334" s="48"/>
      <c r="C334" s="29"/>
      <c r="D334" s="30"/>
      <c r="E334" s="31"/>
      <c r="F334" s="32"/>
    </row>
    <row r="335" spans="1:6" x14ac:dyDescent="0.25">
      <c r="A335" s="127"/>
      <c r="B335" s="48"/>
      <c r="C335" s="29"/>
      <c r="D335" s="30"/>
      <c r="E335" s="31"/>
      <c r="F335" s="32"/>
    </row>
    <row r="336" spans="1:6" x14ac:dyDescent="0.25">
      <c r="A336" s="127"/>
      <c r="B336" s="48"/>
      <c r="C336" s="29"/>
      <c r="D336" s="30"/>
      <c r="E336" s="31"/>
      <c r="F336" s="32"/>
    </row>
    <row r="337" spans="1:6" x14ac:dyDescent="0.25">
      <c r="A337" s="127"/>
      <c r="B337" s="48"/>
      <c r="C337" s="29"/>
      <c r="D337" s="30"/>
      <c r="E337" s="31"/>
      <c r="F337" s="32"/>
    </row>
    <row r="338" spans="1:6" x14ac:dyDescent="0.25">
      <c r="A338" s="127"/>
      <c r="B338" s="48"/>
      <c r="C338" s="29"/>
      <c r="D338" s="30"/>
      <c r="E338" s="31"/>
      <c r="F338" s="32"/>
    </row>
    <row r="339" spans="1:6" x14ac:dyDescent="0.25">
      <c r="A339" s="127"/>
      <c r="B339" s="48"/>
      <c r="C339" s="29"/>
      <c r="D339" s="30"/>
      <c r="E339" s="31"/>
      <c r="F339" s="32"/>
    </row>
    <row r="340" spans="1:6" x14ac:dyDescent="0.25">
      <c r="A340" s="127"/>
      <c r="B340" s="48"/>
      <c r="C340" s="29"/>
      <c r="D340" s="30"/>
      <c r="E340" s="31"/>
      <c r="F340" s="32"/>
    </row>
    <row r="341" spans="1:6" x14ac:dyDescent="0.25">
      <c r="A341" s="127"/>
      <c r="B341" s="48"/>
      <c r="C341" s="29"/>
      <c r="D341" s="30"/>
      <c r="E341" s="31"/>
      <c r="F341" s="32"/>
    </row>
    <row r="342" spans="1:6" x14ac:dyDescent="0.25">
      <c r="A342" s="127"/>
      <c r="B342" s="48"/>
      <c r="C342" s="29"/>
      <c r="D342" s="30"/>
      <c r="E342" s="31"/>
      <c r="F342" s="32"/>
    </row>
    <row r="343" spans="1:6" x14ac:dyDescent="0.25">
      <c r="A343" s="127"/>
      <c r="B343" s="48"/>
      <c r="C343" s="29"/>
      <c r="D343" s="30"/>
      <c r="E343" s="31"/>
      <c r="F343" s="32"/>
    </row>
    <row r="344" spans="1:6" x14ac:dyDescent="0.25">
      <c r="A344" s="127"/>
      <c r="B344" s="48"/>
      <c r="C344" s="29"/>
      <c r="D344" s="30"/>
      <c r="E344" s="31"/>
      <c r="F344" s="32"/>
    </row>
    <row r="345" spans="1:6" x14ac:dyDescent="0.25">
      <c r="A345" s="127"/>
      <c r="B345" s="48"/>
      <c r="C345" s="29"/>
      <c r="D345" s="30"/>
      <c r="E345" s="31"/>
      <c r="F345" s="32"/>
    </row>
    <row r="346" spans="1:6" x14ac:dyDescent="0.25">
      <c r="A346" s="127"/>
      <c r="B346" s="48"/>
      <c r="C346" s="29"/>
      <c r="D346" s="30"/>
      <c r="E346" s="31"/>
      <c r="F346" s="32"/>
    </row>
    <row r="347" spans="1:6" x14ac:dyDescent="0.25">
      <c r="A347" s="127"/>
      <c r="B347" s="48"/>
      <c r="C347" s="29"/>
      <c r="D347" s="30"/>
      <c r="E347" s="31"/>
      <c r="F347" s="32"/>
    </row>
    <row r="348" spans="1:6" x14ac:dyDescent="0.25">
      <c r="A348" s="127"/>
      <c r="B348" s="48"/>
      <c r="C348" s="29"/>
      <c r="D348" s="30"/>
      <c r="E348" s="31"/>
      <c r="F348" s="32"/>
    </row>
    <row r="349" spans="1:6" x14ac:dyDescent="0.25">
      <c r="A349" s="127"/>
      <c r="B349" s="48"/>
      <c r="C349" s="29"/>
      <c r="D349" s="30"/>
      <c r="E349" s="31"/>
      <c r="F349" s="32"/>
    </row>
    <row r="350" spans="1:6" x14ac:dyDescent="0.25">
      <c r="A350" s="127"/>
      <c r="B350" s="48"/>
      <c r="C350" s="29"/>
      <c r="D350" s="30"/>
      <c r="E350" s="31"/>
      <c r="F350" s="32"/>
    </row>
    <row r="351" spans="1:6" x14ac:dyDescent="0.25">
      <c r="A351" s="127"/>
      <c r="B351" s="48"/>
      <c r="C351" s="29"/>
      <c r="D351" s="30"/>
      <c r="E351" s="31"/>
      <c r="F351" s="32"/>
    </row>
    <row r="352" spans="1:6" x14ac:dyDescent="0.25">
      <c r="A352" s="127"/>
      <c r="B352" s="48"/>
      <c r="C352" s="29"/>
      <c r="D352" s="30"/>
      <c r="E352" s="31"/>
      <c r="F352" s="32"/>
    </row>
    <row r="353" spans="1:6" x14ac:dyDescent="0.25">
      <c r="A353" s="127"/>
      <c r="B353" s="48"/>
      <c r="C353" s="29"/>
      <c r="D353" s="30"/>
      <c r="E353" s="31"/>
      <c r="F353" s="32"/>
    </row>
    <row r="354" spans="1:6" x14ac:dyDescent="0.25">
      <c r="A354" s="127"/>
      <c r="B354" s="48"/>
      <c r="C354" s="29"/>
      <c r="D354" s="30"/>
      <c r="E354" s="31"/>
      <c r="F354" s="32"/>
    </row>
    <row r="355" spans="1:6" x14ac:dyDescent="0.25">
      <c r="A355" s="127"/>
      <c r="B355" s="48"/>
      <c r="C355" s="29"/>
      <c r="D355" s="30"/>
      <c r="E355" s="31"/>
      <c r="F355" s="32"/>
    </row>
    <row r="356" spans="1:6" x14ac:dyDescent="0.25">
      <c r="A356" s="127"/>
      <c r="B356" s="48"/>
      <c r="C356" s="29"/>
      <c r="D356" s="30"/>
      <c r="E356" s="31"/>
      <c r="F356" s="32"/>
    </row>
    <row r="357" spans="1:6" x14ac:dyDescent="0.25">
      <c r="A357" s="127"/>
      <c r="B357" s="48"/>
      <c r="C357" s="29"/>
      <c r="D357" s="30"/>
      <c r="E357" s="31"/>
      <c r="F357" s="32"/>
    </row>
    <row r="358" spans="1:6" x14ac:dyDescent="0.25">
      <c r="A358" s="127"/>
      <c r="B358" s="48"/>
      <c r="C358" s="29"/>
      <c r="D358" s="30"/>
      <c r="E358" s="31"/>
      <c r="F358" s="32"/>
    </row>
    <row r="359" spans="1:6" x14ac:dyDescent="0.25">
      <c r="A359" s="127"/>
      <c r="B359" s="48"/>
      <c r="C359" s="29"/>
      <c r="D359" s="30"/>
      <c r="E359" s="31"/>
      <c r="F359" s="32"/>
    </row>
    <row r="360" spans="1:6" x14ac:dyDescent="0.25">
      <c r="A360" s="127"/>
      <c r="B360" s="48"/>
      <c r="C360" s="29"/>
      <c r="D360" s="30"/>
      <c r="E360" s="31"/>
      <c r="F360" s="32"/>
    </row>
    <row r="361" spans="1:6" x14ac:dyDescent="0.25">
      <c r="A361" s="127"/>
      <c r="B361" s="48"/>
      <c r="C361" s="29"/>
      <c r="D361" s="30"/>
      <c r="E361" s="31"/>
      <c r="F361" s="32"/>
    </row>
    <row r="362" spans="1:6" x14ac:dyDescent="0.25">
      <c r="A362" s="127"/>
      <c r="B362" s="48"/>
      <c r="C362" s="29"/>
      <c r="D362" s="30"/>
      <c r="E362" s="31"/>
      <c r="F362" s="32"/>
    </row>
    <row r="363" spans="1:6" x14ac:dyDescent="0.25">
      <c r="A363" s="127"/>
      <c r="B363" s="48"/>
      <c r="C363" s="29"/>
      <c r="D363" s="30"/>
      <c r="E363" s="31"/>
      <c r="F363" s="32"/>
    </row>
    <row r="364" spans="1:6" x14ac:dyDescent="0.25">
      <c r="A364" s="127"/>
      <c r="B364" s="48"/>
      <c r="C364" s="29"/>
      <c r="D364" s="30"/>
      <c r="E364" s="31"/>
      <c r="F364" s="32"/>
    </row>
    <row r="365" spans="1:6" x14ac:dyDescent="0.25">
      <c r="A365" s="127"/>
      <c r="B365" s="48"/>
      <c r="C365" s="29"/>
      <c r="D365" s="30"/>
      <c r="E365" s="31"/>
      <c r="F365" s="32"/>
    </row>
    <row r="366" spans="1:6" x14ac:dyDescent="0.25">
      <c r="A366" s="127"/>
      <c r="B366" s="48"/>
      <c r="C366" s="29"/>
      <c r="D366" s="30"/>
      <c r="E366" s="31"/>
      <c r="F366" s="32"/>
    </row>
    <row r="367" spans="1:6" ht="15" customHeight="1" thickBot="1" x14ac:dyDescent="0.3">
      <c r="A367" s="164" t="s">
        <v>143</v>
      </c>
      <c r="B367" s="43" t="s">
        <v>30</v>
      </c>
      <c r="C367" s="44"/>
      <c r="D367" s="45"/>
      <c r="E367" s="28"/>
      <c r="F367" s="52">
        <f>SUM(F321:F332)</f>
        <v>8082</v>
      </c>
    </row>
    <row r="368" spans="1:6" ht="15" customHeight="1" thickTop="1" x14ac:dyDescent="0.25">
      <c r="A368" s="161"/>
      <c r="B368" s="51"/>
      <c r="C368" s="24"/>
      <c r="D368" s="47"/>
      <c r="E368" s="26"/>
      <c r="F368" s="32"/>
    </row>
    <row r="369" spans="1:6" ht="16.5" customHeight="1" x14ac:dyDescent="0.25">
      <c r="A369" s="165" t="s">
        <v>134</v>
      </c>
      <c r="B369" s="15" t="s">
        <v>95</v>
      </c>
      <c r="C369" s="29"/>
      <c r="D369" s="30"/>
      <c r="E369" s="31"/>
      <c r="F369" s="32"/>
    </row>
    <row r="370" spans="1:6" ht="16.5" customHeight="1" x14ac:dyDescent="0.25">
      <c r="A370" s="165"/>
      <c r="B370" s="15"/>
      <c r="C370" s="153"/>
      <c r="D370" s="30"/>
      <c r="E370" s="31"/>
      <c r="F370" s="32"/>
    </row>
    <row r="371" spans="1:6" ht="25.5" x14ac:dyDescent="0.25">
      <c r="A371" s="127"/>
      <c r="B371" s="78" t="s">
        <v>67</v>
      </c>
      <c r="C371" s="79"/>
      <c r="D371" s="41"/>
      <c r="E371" s="80"/>
      <c r="F371" s="80"/>
    </row>
    <row r="372" spans="1:6" ht="38.25" x14ac:dyDescent="0.25">
      <c r="A372" s="127"/>
      <c r="B372" s="81" t="s">
        <v>68</v>
      </c>
      <c r="C372" s="79"/>
      <c r="D372" s="41"/>
      <c r="E372" s="80"/>
      <c r="F372" s="80"/>
    </row>
    <row r="373" spans="1:6" ht="25.5" x14ac:dyDescent="0.25">
      <c r="A373" s="127"/>
      <c r="B373" s="81" t="s">
        <v>69</v>
      </c>
      <c r="C373" s="79"/>
      <c r="D373" s="41"/>
      <c r="E373" s="80"/>
      <c r="F373" s="80"/>
    </row>
    <row r="374" spans="1:6" ht="38.25" x14ac:dyDescent="0.25">
      <c r="A374" s="127"/>
      <c r="B374" s="81" t="s">
        <v>70</v>
      </c>
      <c r="C374" s="79"/>
      <c r="D374" s="41"/>
      <c r="E374" s="80"/>
      <c r="F374" s="80"/>
    </row>
    <row r="375" spans="1:6" ht="38.25" x14ac:dyDescent="0.25">
      <c r="A375" s="127"/>
      <c r="B375" s="81" t="s">
        <v>71</v>
      </c>
      <c r="C375" s="79"/>
      <c r="D375" s="41"/>
      <c r="E375" s="80"/>
      <c r="F375" s="80"/>
    </row>
    <row r="376" spans="1:6" x14ac:dyDescent="0.25">
      <c r="A376" s="127"/>
      <c r="B376" s="81"/>
      <c r="C376" s="79"/>
      <c r="D376" s="41"/>
      <c r="E376" s="80"/>
      <c r="F376" s="80"/>
    </row>
    <row r="377" spans="1:6" ht="38.25" x14ac:dyDescent="0.25">
      <c r="A377" s="127"/>
      <c r="B377" s="81" t="s">
        <v>147</v>
      </c>
      <c r="C377" s="79"/>
      <c r="D377" s="41"/>
      <c r="E377" s="80"/>
      <c r="F377" s="80"/>
    </row>
    <row r="378" spans="1:6" x14ac:dyDescent="0.25">
      <c r="A378" s="127"/>
      <c r="B378" s="81"/>
      <c r="C378" s="79"/>
      <c r="D378" s="41"/>
      <c r="E378" s="80"/>
      <c r="F378" s="80"/>
    </row>
    <row r="379" spans="1:6" x14ac:dyDescent="0.25">
      <c r="A379" s="127" t="s">
        <v>9</v>
      </c>
      <c r="B379" s="78" t="s">
        <v>96</v>
      </c>
      <c r="C379" s="79"/>
      <c r="D379" s="41"/>
      <c r="E379" s="80"/>
      <c r="F379" s="80"/>
    </row>
    <row r="380" spans="1:6" ht="16.5" customHeight="1" x14ac:dyDescent="0.25">
      <c r="A380" s="127" t="s">
        <v>10</v>
      </c>
      <c r="B380" s="81" t="s">
        <v>87</v>
      </c>
      <c r="C380" s="79" t="s">
        <v>12</v>
      </c>
      <c r="D380" s="41">
        <v>2</v>
      </c>
      <c r="E380" s="80">
        <v>50320</v>
      </c>
      <c r="F380" s="80">
        <f>D380*E380</f>
        <v>100640</v>
      </c>
    </row>
    <row r="381" spans="1:6" ht="16.5" customHeight="1" x14ac:dyDescent="0.25">
      <c r="A381" s="127"/>
      <c r="B381" s="81" t="s">
        <v>88</v>
      </c>
      <c r="C381" s="79"/>
      <c r="D381" s="41"/>
      <c r="E381" s="80"/>
      <c r="F381" s="80"/>
    </row>
    <row r="382" spans="1:6" ht="16.5" customHeight="1" x14ac:dyDescent="0.25">
      <c r="A382" s="127"/>
      <c r="B382" s="81" t="s">
        <v>89</v>
      </c>
      <c r="C382" s="79"/>
      <c r="D382" s="41"/>
      <c r="E382" s="80"/>
      <c r="F382" s="80"/>
    </row>
    <row r="383" spans="1:6" ht="16.5" customHeight="1" x14ac:dyDescent="0.25">
      <c r="A383" s="127"/>
      <c r="B383" s="81" t="s">
        <v>90</v>
      </c>
      <c r="C383" s="79"/>
      <c r="D383" s="41"/>
      <c r="E383" s="80"/>
      <c r="F383" s="80"/>
    </row>
    <row r="384" spans="1:6" ht="16.5" customHeight="1" x14ac:dyDescent="0.25">
      <c r="A384" s="127"/>
      <c r="B384" s="81" t="s">
        <v>98</v>
      </c>
      <c r="C384" s="79"/>
      <c r="D384" s="41"/>
      <c r="E384" s="80"/>
      <c r="F384" s="80"/>
    </row>
    <row r="385" spans="1:6" ht="16.5" customHeight="1" x14ac:dyDescent="0.25">
      <c r="A385" s="127"/>
      <c r="B385" s="81" t="s">
        <v>91</v>
      </c>
      <c r="C385" s="79"/>
      <c r="D385" s="41"/>
      <c r="E385" s="80"/>
      <c r="F385" s="80"/>
    </row>
    <row r="386" spans="1:6" ht="15" customHeight="1" x14ac:dyDescent="0.25">
      <c r="A386" s="127" t="s">
        <v>72</v>
      </c>
      <c r="B386" s="81" t="s">
        <v>97</v>
      </c>
      <c r="C386" s="79"/>
      <c r="D386" s="41"/>
      <c r="E386" s="80"/>
      <c r="F386" s="80"/>
    </row>
    <row r="387" spans="1:6" ht="15" customHeight="1" x14ac:dyDescent="0.25">
      <c r="A387" s="127"/>
      <c r="B387" s="81" t="s">
        <v>73</v>
      </c>
      <c r="C387" s="79"/>
      <c r="D387" s="41"/>
      <c r="E387" s="80"/>
      <c r="F387" s="80"/>
    </row>
    <row r="388" spans="1:6" ht="15" customHeight="1" x14ac:dyDescent="0.25">
      <c r="A388" s="127"/>
      <c r="B388" s="81" t="s">
        <v>74</v>
      </c>
      <c r="C388" s="79"/>
      <c r="D388" s="41"/>
      <c r="E388" s="80"/>
      <c r="F388" s="80"/>
    </row>
    <row r="389" spans="1:6" ht="15" customHeight="1" x14ac:dyDescent="0.25">
      <c r="A389" s="127"/>
      <c r="B389" s="81" t="s">
        <v>75</v>
      </c>
      <c r="C389" s="79"/>
      <c r="D389" s="41"/>
      <c r="E389" s="80"/>
      <c r="F389" s="80"/>
    </row>
    <row r="390" spans="1:6" ht="15" customHeight="1" x14ac:dyDescent="0.25">
      <c r="A390" s="127" t="s">
        <v>72</v>
      </c>
      <c r="B390" s="81" t="s">
        <v>76</v>
      </c>
      <c r="C390" s="79"/>
      <c r="D390" s="41"/>
      <c r="E390" s="80"/>
      <c r="F390" s="80"/>
    </row>
    <row r="391" spans="1:6" ht="14.25" customHeight="1" x14ac:dyDescent="0.25">
      <c r="A391" s="127"/>
      <c r="B391" s="81" t="s">
        <v>77</v>
      </c>
      <c r="C391" s="79"/>
      <c r="D391" s="41"/>
      <c r="E391" s="80"/>
      <c r="F391" s="80"/>
    </row>
    <row r="392" spans="1:6" ht="14.25" customHeight="1" x14ac:dyDescent="0.25">
      <c r="A392" s="127"/>
      <c r="B392" s="81" t="s">
        <v>78</v>
      </c>
      <c r="C392" s="79"/>
      <c r="D392" s="41"/>
      <c r="E392" s="80"/>
      <c r="F392" s="80"/>
    </row>
    <row r="393" spans="1:6" ht="14.25" customHeight="1" x14ac:dyDescent="0.25">
      <c r="A393" s="127"/>
      <c r="B393" s="81" t="s">
        <v>79</v>
      </c>
      <c r="C393" s="79"/>
      <c r="D393" s="41"/>
      <c r="E393" s="80"/>
      <c r="F393" s="80"/>
    </row>
    <row r="394" spans="1:6" s="38" customFormat="1" x14ac:dyDescent="0.25">
      <c r="A394" s="127"/>
      <c r="B394" s="81" t="s">
        <v>80</v>
      </c>
      <c r="C394" s="79"/>
      <c r="D394" s="41"/>
      <c r="E394" s="80"/>
      <c r="F394" s="80"/>
    </row>
    <row r="395" spans="1:6" s="38" customFormat="1" x14ac:dyDescent="0.25">
      <c r="A395" s="127"/>
      <c r="B395" s="81" t="s">
        <v>81</v>
      </c>
      <c r="C395" s="79"/>
      <c r="D395" s="41"/>
      <c r="E395" s="80"/>
      <c r="F395" s="80"/>
    </row>
    <row r="396" spans="1:6" ht="15" customHeight="1" x14ac:dyDescent="0.25">
      <c r="A396" s="127"/>
      <c r="B396" s="81" t="s">
        <v>82</v>
      </c>
      <c r="C396" s="79"/>
      <c r="D396" s="41"/>
      <c r="E396" s="80"/>
      <c r="F396" s="80"/>
    </row>
    <row r="397" spans="1:6" ht="15" customHeight="1" x14ac:dyDescent="0.25">
      <c r="A397" s="127" t="s">
        <v>13</v>
      </c>
      <c r="B397" s="81" t="s">
        <v>83</v>
      </c>
      <c r="C397" s="79" t="s">
        <v>12</v>
      </c>
      <c r="D397" s="41">
        <v>2</v>
      </c>
      <c r="E397" s="80">
        <v>1000</v>
      </c>
      <c r="F397" s="80">
        <f>D397*E397</f>
        <v>2000</v>
      </c>
    </row>
    <row r="398" spans="1:6" ht="15" customHeight="1" x14ac:dyDescent="0.25">
      <c r="A398" s="127" t="s">
        <v>15</v>
      </c>
      <c r="B398" s="81" t="s">
        <v>84</v>
      </c>
      <c r="C398" s="79" t="s">
        <v>2</v>
      </c>
      <c r="D398" s="41">
        <v>2</v>
      </c>
      <c r="E398" s="80">
        <v>2000</v>
      </c>
      <c r="F398" s="80">
        <f>D398*E398</f>
        <v>4000</v>
      </c>
    </row>
    <row r="399" spans="1:6" ht="15" customHeight="1" x14ac:dyDescent="0.25">
      <c r="A399" s="127" t="s">
        <v>16</v>
      </c>
      <c r="B399" s="81" t="s">
        <v>85</v>
      </c>
      <c r="C399" s="79" t="s">
        <v>12</v>
      </c>
      <c r="D399" s="41">
        <v>1</v>
      </c>
      <c r="E399" s="80">
        <v>160</v>
      </c>
      <c r="F399" s="80">
        <f>D399*E399</f>
        <v>160</v>
      </c>
    </row>
    <row r="400" spans="1:6" ht="15" customHeight="1" x14ac:dyDescent="0.25">
      <c r="A400" s="127"/>
      <c r="B400" s="81"/>
      <c r="C400" s="79"/>
      <c r="D400" s="41"/>
      <c r="E400" s="80"/>
      <c r="F400" s="80"/>
    </row>
    <row r="401" spans="1:6" ht="15" customHeight="1" x14ac:dyDescent="0.25">
      <c r="A401" s="127"/>
      <c r="B401" s="81"/>
      <c r="C401" s="79"/>
      <c r="D401" s="30"/>
      <c r="E401" s="80"/>
      <c r="F401" s="80"/>
    </row>
    <row r="402" spans="1:6" ht="15" customHeight="1" x14ac:dyDescent="0.25">
      <c r="A402" s="127"/>
      <c r="B402" s="81"/>
      <c r="C402" s="79"/>
      <c r="D402" s="30"/>
      <c r="E402" s="80"/>
      <c r="F402" s="80"/>
    </row>
    <row r="403" spans="1:6" ht="15" customHeight="1" x14ac:dyDescent="0.25">
      <c r="A403" s="127"/>
      <c r="B403" s="81"/>
      <c r="C403" s="79"/>
      <c r="D403" s="30"/>
      <c r="E403" s="80"/>
      <c r="F403" s="80"/>
    </row>
    <row r="404" spans="1:6" ht="15" customHeight="1" x14ac:dyDescent="0.25">
      <c r="A404" s="127"/>
      <c r="B404" s="81"/>
      <c r="C404" s="79"/>
      <c r="D404" s="30"/>
      <c r="E404" s="80"/>
      <c r="F404" s="80"/>
    </row>
    <row r="405" spans="1:6" ht="15" customHeight="1" x14ac:dyDescent="0.25">
      <c r="A405" s="127"/>
      <c r="B405" s="81"/>
      <c r="C405" s="79"/>
      <c r="D405" s="30"/>
      <c r="E405" s="80"/>
      <c r="F405" s="80"/>
    </row>
    <row r="406" spans="1:6" ht="15" customHeight="1" x14ac:dyDescent="0.25">
      <c r="A406" s="127"/>
      <c r="B406" s="81"/>
      <c r="C406" s="79"/>
      <c r="D406" s="30"/>
      <c r="E406" s="80"/>
      <c r="F406" s="80"/>
    </row>
    <row r="407" spans="1:6" ht="15" customHeight="1" x14ac:dyDescent="0.25">
      <c r="A407" s="127"/>
      <c r="B407" s="81"/>
      <c r="C407" s="79"/>
      <c r="D407" s="30"/>
      <c r="E407" s="80"/>
      <c r="F407" s="80"/>
    </row>
    <row r="408" spans="1:6" ht="15" customHeight="1" x14ac:dyDescent="0.25">
      <c r="A408" s="127"/>
      <c r="B408" s="81"/>
      <c r="C408" s="79"/>
      <c r="D408" s="30"/>
      <c r="E408" s="80"/>
      <c r="F408" s="80"/>
    </row>
    <row r="409" spans="1:6" ht="15" customHeight="1" x14ac:dyDescent="0.25">
      <c r="A409" s="127"/>
      <c r="B409" s="81"/>
      <c r="C409" s="79"/>
      <c r="D409" s="30"/>
      <c r="E409" s="80"/>
      <c r="F409" s="80"/>
    </row>
    <row r="410" spans="1:6" ht="15" customHeight="1" x14ac:dyDescent="0.25">
      <c r="A410" s="127"/>
      <c r="B410" s="81"/>
      <c r="C410" s="79"/>
      <c r="D410" s="30"/>
      <c r="E410" s="80"/>
      <c r="F410" s="80"/>
    </row>
    <row r="411" spans="1:6" ht="15" customHeight="1" x14ac:dyDescent="0.25">
      <c r="A411" s="127"/>
      <c r="B411" s="81"/>
      <c r="C411" s="79"/>
      <c r="D411" s="30"/>
      <c r="E411" s="80"/>
      <c r="F411" s="80"/>
    </row>
    <row r="412" spans="1:6" ht="15" customHeight="1" x14ac:dyDescent="0.25">
      <c r="A412" s="127"/>
      <c r="B412" s="81"/>
      <c r="C412" s="79"/>
      <c r="D412" s="30"/>
      <c r="E412" s="80"/>
      <c r="F412" s="80"/>
    </row>
    <row r="413" spans="1:6" ht="15" customHeight="1" x14ac:dyDescent="0.25">
      <c r="A413" s="127"/>
      <c r="B413" s="81"/>
      <c r="C413" s="79"/>
      <c r="D413" s="30"/>
      <c r="E413" s="80"/>
      <c r="F413" s="80"/>
    </row>
    <row r="414" spans="1:6" ht="15" customHeight="1" x14ac:dyDescent="0.25">
      <c r="A414" s="127"/>
      <c r="B414" s="81"/>
      <c r="C414" s="79"/>
      <c r="D414" s="30"/>
      <c r="E414" s="80"/>
      <c r="F414" s="80"/>
    </row>
    <row r="415" spans="1:6" ht="15" customHeight="1" x14ac:dyDescent="0.25">
      <c r="A415" s="127"/>
      <c r="B415" s="81"/>
      <c r="C415" s="79"/>
      <c r="D415" s="30"/>
      <c r="E415" s="80"/>
      <c r="F415" s="80"/>
    </row>
    <row r="416" spans="1:6" ht="15" customHeight="1" x14ac:dyDescent="0.25">
      <c r="A416" s="127"/>
      <c r="B416" s="81"/>
      <c r="C416" s="79"/>
      <c r="D416" s="30"/>
      <c r="E416" s="80"/>
      <c r="F416" s="80"/>
    </row>
    <row r="417" spans="1:11" ht="13.5" thickBot="1" x14ac:dyDescent="0.3">
      <c r="A417" s="164" t="s">
        <v>59</v>
      </c>
      <c r="B417" s="113" t="s">
        <v>86</v>
      </c>
      <c r="C417" s="44"/>
      <c r="D417" s="82"/>
      <c r="E417" s="46"/>
      <c r="F417" s="83">
        <f>SUM(F376:F416)</f>
        <v>106800</v>
      </c>
    </row>
    <row r="418" spans="1:11" ht="15" customHeight="1" thickTop="1" x14ac:dyDescent="0.25">
      <c r="A418" s="127"/>
      <c r="B418" s="81"/>
      <c r="C418" s="84"/>
      <c r="D418" s="105"/>
      <c r="E418" s="80"/>
      <c r="F418" s="80"/>
    </row>
    <row r="419" spans="1:11" ht="15" customHeight="1" x14ac:dyDescent="0.25">
      <c r="A419" s="165" t="s">
        <v>135</v>
      </c>
      <c r="B419" s="78" t="s">
        <v>94</v>
      </c>
      <c r="C419" s="84"/>
      <c r="D419" s="105"/>
      <c r="E419" s="80"/>
      <c r="F419" s="80"/>
    </row>
    <row r="420" spans="1:11" ht="15" customHeight="1" x14ac:dyDescent="0.25">
      <c r="A420" s="127"/>
      <c r="B420" s="81"/>
      <c r="C420" s="84"/>
      <c r="D420" s="105"/>
      <c r="E420" s="80"/>
      <c r="F420" s="80"/>
    </row>
    <row r="421" spans="1:11" ht="89.25" x14ac:dyDescent="0.25">
      <c r="A421" s="169" t="s">
        <v>10</v>
      </c>
      <c r="B421" s="124" t="s">
        <v>152</v>
      </c>
      <c r="C421" s="75" t="s">
        <v>12</v>
      </c>
      <c r="D421" s="125">
        <v>1</v>
      </c>
      <c r="E421" s="77">
        <v>7000</v>
      </c>
      <c r="F421" s="72">
        <f>D421*E421</f>
        <v>7000</v>
      </c>
    </row>
    <row r="422" spans="1:11" s="89" customFormat="1" ht="38.25" x14ac:dyDescent="0.25">
      <c r="A422" s="170" t="s">
        <v>13</v>
      </c>
      <c r="B422" s="74" t="s">
        <v>99</v>
      </c>
      <c r="C422" s="86" t="s">
        <v>17</v>
      </c>
      <c r="D422" s="123">
        <v>25</v>
      </c>
      <c r="E422" s="116">
        <v>35</v>
      </c>
      <c r="F422" s="88">
        <f>D422*E422</f>
        <v>875</v>
      </c>
    </row>
    <row r="423" spans="1:11" ht="38.25" x14ac:dyDescent="0.25">
      <c r="A423" s="134" t="s">
        <v>15</v>
      </c>
      <c r="B423" s="81" t="s">
        <v>151</v>
      </c>
      <c r="C423" s="90" t="s">
        <v>12</v>
      </c>
      <c r="D423" s="135">
        <v>1</v>
      </c>
      <c r="E423" s="91">
        <v>1000</v>
      </c>
      <c r="F423" s="91">
        <f t="shared" ref="F423:F424" si="14">D423*E423</f>
        <v>1000</v>
      </c>
    </row>
    <row r="424" spans="1:11" ht="42.75" customHeight="1" x14ac:dyDescent="0.25">
      <c r="A424" s="134" t="s">
        <v>16</v>
      </c>
      <c r="B424" s="154" t="s">
        <v>162</v>
      </c>
      <c r="C424" s="90" t="s">
        <v>17</v>
      </c>
      <c r="D424" s="135">
        <v>50</v>
      </c>
      <c r="E424" s="91">
        <v>170</v>
      </c>
      <c r="F424" s="91">
        <f t="shared" si="14"/>
        <v>8500</v>
      </c>
    </row>
    <row r="425" spans="1:11" x14ac:dyDescent="0.25">
      <c r="A425" s="171"/>
      <c r="B425" s="81"/>
      <c r="C425" s="84"/>
      <c r="D425" s="111"/>
      <c r="E425" s="80"/>
      <c r="F425" s="80"/>
    </row>
    <row r="426" spans="1:11" x14ac:dyDescent="0.25">
      <c r="A426" s="168"/>
      <c r="B426" s="78" t="s">
        <v>100</v>
      </c>
      <c r="C426" s="53"/>
      <c r="D426" s="111"/>
      <c r="E426" s="61"/>
      <c r="F426" s="61"/>
    </row>
    <row r="427" spans="1:11" s="92" customFormat="1" ht="25.5" x14ac:dyDescent="0.25">
      <c r="A427" s="134" t="s">
        <v>35</v>
      </c>
      <c r="B427" s="81" t="s">
        <v>163</v>
      </c>
      <c r="C427" s="90" t="s">
        <v>17</v>
      </c>
      <c r="D427" s="118">
        <v>18</v>
      </c>
      <c r="E427" s="91">
        <v>75</v>
      </c>
      <c r="F427" s="91">
        <f>D427*E427</f>
        <v>1350</v>
      </c>
    </row>
    <row r="428" spans="1:11" s="126" customFormat="1" ht="25.5" x14ac:dyDescent="0.25">
      <c r="A428" s="172" t="s">
        <v>18</v>
      </c>
      <c r="B428" s="34" t="s">
        <v>148</v>
      </c>
      <c r="C428" s="98" t="s">
        <v>12</v>
      </c>
      <c r="D428" s="99">
        <v>6</v>
      </c>
      <c r="E428" s="155">
        <v>4</v>
      </c>
      <c r="F428" s="101">
        <f>D428*E428</f>
        <v>24</v>
      </c>
    </row>
    <row r="429" spans="1:11" s="92" customFormat="1" ht="15" x14ac:dyDescent="0.25">
      <c r="A429" s="134"/>
      <c r="B429" s="81"/>
      <c r="C429" s="90"/>
      <c r="D429" s="118"/>
      <c r="E429" s="91"/>
      <c r="F429" s="91"/>
    </row>
    <row r="430" spans="1:11" s="93" customFormat="1" ht="15" x14ac:dyDescent="0.25">
      <c r="A430" s="134"/>
      <c r="B430" s="94" t="s">
        <v>92</v>
      </c>
      <c r="C430" s="106"/>
      <c r="D430" s="117"/>
      <c r="E430" s="108"/>
      <c r="F430" s="108"/>
      <c r="G430" s="92"/>
      <c r="H430" s="92"/>
      <c r="I430" s="92"/>
      <c r="J430" s="92"/>
      <c r="K430" s="92"/>
    </row>
    <row r="431" spans="1:11" ht="25.5" x14ac:dyDescent="0.25">
      <c r="A431" s="127" t="s">
        <v>19</v>
      </c>
      <c r="B431" s="81" t="s">
        <v>93</v>
      </c>
      <c r="C431" s="84" t="s">
        <v>12</v>
      </c>
      <c r="D431" s="60">
        <v>48</v>
      </c>
      <c r="E431" s="80">
        <v>160</v>
      </c>
      <c r="F431" s="80">
        <f>+E431*D431</f>
        <v>7680</v>
      </c>
    </row>
    <row r="432" spans="1:11" x14ac:dyDescent="0.25">
      <c r="A432" s="127"/>
      <c r="B432" s="81"/>
      <c r="C432" s="84"/>
      <c r="D432" s="60"/>
      <c r="E432" s="80"/>
      <c r="F432" s="80"/>
    </row>
    <row r="433" spans="1:6" ht="15" customHeight="1" x14ac:dyDescent="0.25">
      <c r="A433" s="127"/>
      <c r="B433" s="81"/>
      <c r="C433" s="84"/>
      <c r="D433" s="60"/>
      <c r="E433" s="80"/>
      <c r="F433" s="80"/>
    </row>
    <row r="434" spans="1:6" ht="15" customHeight="1" x14ac:dyDescent="0.25">
      <c r="A434" s="127"/>
      <c r="B434" s="81"/>
      <c r="C434" s="84"/>
      <c r="D434" s="60"/>
      <c r="E434" s="80"/>
      <c r="F434" s="80"/>
    </row>
    <row r="435" spans="1:6" ht="15" customHeight="1" x14ac:dyDescent="0.25">
      <c r="A435" s="127"/>
      <c r="B435" s="81"/>
      <c r="C435" s="104"/>
      <c r="D435" s="60"/>
      <c r="E435" s="80"/>
      <c r="F435" s="80"/>
    </row>
    <row r="436" spans="1:6" ht="15" customHeight="1" x14ac:dyDescent="0.25">
      <c r="A436" s="127"/>
      <c r="B436" s="33"/>
      <c r="C436" s="79"/>
      <c r="D436" s="60"/>
      <c r="E436" s="80"/>
      <c r="F436" s="80"/>
    </row>
    <row r="437" spans="1:6" ht="15" customHeight="1" x14ac:dyDescent="0.25">
      <c r="A437" s="127"/>
      <c r="B437" s="33"/>
      <c r="C437" s="79"/>
      <c r="D437" s="60"/>
      <c r="E437" s="80"/>
      <c r="F437" s="107"/>
    </row>
    <row r="438" spans="1:6" ht="15" customHeight="1" x14ac:dyDescent="0.25">
      <c r="A438" s="127"/>
      <c r="B438" s="33"/>
      <c r="C438" s="79"/>
      <c r="D438" s="41"/>
      <c r="E438" s="80"/>
      <c r="F438" s="80"/>
    </row>
    <row r="439" spans="1:6" ht="15" customHeight="1" x14ac:dyDescent="0.25">
      <c r="A439" s="127"/>
      <c r="B439" s="33"/>
      <c r="C439" s="79"/>
      <c r="D439" s="41"/>
      <c r="E439" s="80"/>
      <c r="F439" s="80"/>
    </row>
    <row r="440" spans="1:6" ht="15" customHeight="1" x14ac:dyDescent="0.25">
      <c r="A440" s="127"/>
      <c r="B440" s="81"/>
      <c r="C440" s="79"/>
      <c r="D440" s="41"/>
      <c r="E440" s="80"/>
      <c r="F440" s="80"/>
    </row>
    <row r="441" spans="1:6" ht="15" customHeight="1" x14ac:dyDescent="0.25">
      <c r="A441" s="127"/>
      <c r="B441" s="81"/>
      <c r="C441" s="79"/>
      <c r="D441" s="41"/>
      <c r="E441" s="80"/>
      <c r="F441" s="80"/>
    </row>
    <row r="442" spans="1:6" ht="15" customHeight="1" x14ac:dyDescent="0.25">
      <c r="A442" s="127"/>
      <c r="B442" s="81"/>
      <c r="C442" s="79"/>
      <c r="D442" s="41"/>
      <c r="E442" s="80"/>
      <c r="F442" s="80"/>
    </row>
    <row r="443" spans="1:6" ht="15" customHeight="1" x14ac:dyDescent="0.25">
      <c r="A443" s="127"/>
      <c r="B443" s="81"/>
      <c r="C443" s="79"/>
      <c r="D443" s="41"/>
      <c r="E443" s="80"/>
      <c r="F443" s="80"/>
    </row>
    <row r="444" spans="1:6" ht="15" customHeight="1" x14ac:dyDescent="0.25">
      <c r="A444" s="127"/>
      <c r="B444" s="81"/>
      <c r="C444" s="79"/>
      <c r="D444" s="41"/>
      <c r="E444" s="80"/>
      <c r="F444" s="80"/>
    </row>
    <row r="445" spans="1:6" ht="15" customHeight="1" x14ac:dyDescent="0.25">
      <c r="A445" s="127"/>
      <c r="B445" s="81"/>
      <c r="C445" s="79"/>
      <c r="D445" s="41"/>
      <c r="E445" s="80"/>
      <c r="F445" s="80"/>
    </row>
    <row r="446" spans="1:6" ht="15" customHeight="1" x14ac:dyDescent="0.25">
      <c r="A446" s="127"/>
      <c r="B446" s="81"/>
      <c r="C446" s="79"/>
      <c r="D446" s="41"/>
      <c r="E446" s="80"/>
      <c r="F446" s="80"/>
    </row>
    <row r="447" spans="1:6" ht="15" customHeight="1" x14ac:dyDescent="0.25">
      <c r="A447" s="127"/>
      <c r="B447" s="81"/>
      <c r="C447" s="79"/>
      <c r="D447" s="41"/>
      <c r="E447" s="80"/>
      <c r="F447" s="80"/>
    </row>
    <row r="448" spans="1:6" ht="15" customHeight="1" x14ac:dyDescent="0.25">
      <c r="A448" s="127"/>
      <c r="B448" s="81"/>
      <c r="C448" s="79"/>
      <c r="D448" s="41"/>
      <c r="E448" s="80"/>
      <c r="F448" s="80"/>
    </row>
    <row r="449" spans="1:6" ht="15" customHeight="1" x14ac:dyDescent="0.25">
      <c r="A449" s="127"/>
      <c r="B449" s="81"/>
      <c r="C449" s="79"/>
      <c r="D449" s="41"/>
      <c r="E449" s="80"/>
      <c r="F449" s="80"/>
    </row>
    <row r="450" spans="1:6" ht="15" customHeight="1" x14ac:dyDescent="0.25">
      <c r="A450" s="127"/>
      <c r="B450" s="81"/>
      <c r="C450" s="79"/>
      <c r="D450" s="41"/>
      <c r="E450" s="80"/>
      <c r="F450" s="80"/>
    </row>
    <row r="451" spans="1:6" ht="15" customHeight="1" x14ac:dyDescent="0.25">
      <c r="A451" s="127"/>
      <c r="B451" s="81"/>
      <c r="C451" s="79"/>
      <c r="D451" s="41"/>
      <c r="E451" s="80"/>
      <c r="F451" s="80"/>
    </row>
    <row r="452" spans="1:6" ht="15" customHeight="1" x14ac:dyDescent="0.25">
      <c r="A452" s="127"/>
      <c r="B452" s="81"/>
      <c r="C452" s="79"/>
      <c r="D452" s="41"/>
      <c r="E452" s="80"/>
      <c r="F452" s="80"/>
    </row>
    <row r="453" spans="1:6" ht="15" customHeight="1" x14ac:dyDescent="0.25">
      <c r="A453" s="127"/>
      <c r="B453" s="81"/>
      <c r="C453" s="79"/>
      <c r="D453" s="41"/>
      <c r="E453" s="80"/>
      <c r="F453" s="80"/>
    </row>
    <row r="454" spans="1:6" ht="15" customHeight="1" x14ac:dyDescent="0.25">
      <c r="A454" s="127"/>
      <c r="B454" s="81"/>
      <c r="C454" s="79"/>
      <c r="D454" s="41"/>
      <c r="E454" s="80"/>
      <c r="F454" s="80"/>
    </row>
    <row r="455" spans="1:6" ht="15" customHeight="1" x14ac:dyDescent="0.25">
      <c r="A455" s="127"/>
      <c r="B455" s="81"/>
      <c r="C455" s="79"/>
      <c r="D455" s="41"/>
      <c r="E455" s="80"/>
      <c r="F455" s="80"/>
    </row>
    <row r="456" spans="1:6" ht="15" customHeight="1" x14ac:dyDescent="0.25">
      <c r="A456" s="127"/>
      <c r="B456" s="81"/>
      <c r="C456" s="79"/>
      <c r="D456" s="41"/>
      <c r="E456" s="80"/>
      <c r="F456" s="80"/>
    </row>
    <row r="457" spans="1:6" ht="15" customHeight="1" x14ac:dyDescent="0.25">
      <c r="A457" s="127"/>
      <c r="B457" s="81"/>
      <c r="C457" s="79"/>
      <c r="D457" s="41"/>
      <c r="E457" s="80"/>
      <c r="F457" s="80"/>
    </row>
    <row r="458" spans="1:6" ht="15" customHeight="1" x14ac:dyDescent="0.25">
      <c r="A458" s="127"/>
      <c r="B458" s="81"/>
      <c r="C458" s="79"/>
      <c r="D458" s="41"/>
      <c r="E458" s="80"/>
      <c r="F458" s="80"/>
    </row>
    <row r="459" spans="1:6" ht="15" customHeight="1" x14ac:dyDescent="0.25">
      <c r="A459" s="127"/>
      <c r="B459" s="81"/>
      <c r="C459" s="79"/>
      <c r="D459" s="41"/>
      <c r="E459" s="80"/>
      <c r="F459" s="80"/>
    </row>
    <row r="460" spans="1:6" ht="15" customHeight="1" x14ac:dyDescent="0.25">
      <c r="A460" s="127"/>
      <c r="B460" s="81"/>
      <c r="C460" s="79"/>
      <c r="D460" s="41"/>
      <c r="E460" s="80"/>
      <c r="F460" s="80"/>
    </row>
    <row r="461" spans="1:6" ht="15" customHeight="1" x14ac:dyDescent="0.25">
      <c r="A461" s="127"/>
      <c r="B461" s="81"/>
      <c r="C461" s="79"/>
      <c r="D461" s="41"/>
      <c r="E461" s="80"/>
      <c r="F461" s="80"/>
    </row>
    <row r="462" spans="1:6" ht="13.5" thickBot="1" x14ac:dyDescent="0.3">
      <c r="A462" s="164" t="s">
        <v>144</v>
      </c>
      <c r="B462" s="113" t="s">
        <v>86</v>
      </c>
      <c r="C462" s="44"/>
      <c r="D462" s="82"/>
      <c r="E462" s="46"/>
      <c r="F462" s="83">
        <f>SUM(F420:F461)</f>
        <v>26429</v>
      </c>
    </row>
    <row r="463" spans="1:6" ht="13.5" thickTop="1" x14ac:dyDescent="0.25">
      <c r="A463" s="161"/>
      <c r="B463" s="114"/>
      <c r="C463" s="24"/>
      <c r="D463" s="85"/>
      <c r="E463" s="27"/>
      <c r="F463" s="115"/>
    </row>
    <row r="464" spans="1:6" x14ac:dyDescent="0.25">
      <c r="A464" s="165" t="s">
        <v>145</v>
      </c>
      <c r="B464" s="78" t="s">
        <v>56</v>
      </c>
      <c r="C464" s="29"/>
      <c r="D464" s="105"/>
      <c r="E464" s="31"/>
      <c r="F464" s="32"/>
    </row>
    <row r="465" spans="1:6" x14ac:dyDescent="0.25">
      <c r="A465" s="127"/>
      <c r="B465" s="81"/>
      <c r="C465" s="29"/>
      <c r="D465" s="105"/>
      <c r="E465" s="31"/>
      <c r="F465" s="32"/>
    </row>
    <row r="466" spans="1:6" x14ac:dyDescent="0.25">
      <c r="A466" s="127" t="s">
        <v>10</v>
      </c>
      <c r="B466" s="81" t="s">
        <v>57</v>
      </c>
      <c r="C466" s="29"/>
      <c r="D466" s="111"/>
      <c r="E466" s="109"/>
      <c r="F466" s="32">
        <f>F62</f>
        <v>3526</v>
      </c>
    </row>
    <row r="467" spans="1:6" x14ac:dyDescent="0.25">
      <c r="A467" s="127"/>
      <c r="B467" s="81"/>
      <c r="C467" s="29"/>
      <c r="D467" s="111"/>
      <c r="E467" s="109"/>
      <c r="F467" s="32"/>
    </row>
    <row r="468" spans="1:6" x14ac:dyDescent="0.25">
      <c r="A468" s="127" t="s">
        <v>13</v>
      </c>
      <c r="B468" s="81" t="s">
        <v>137</v>
      </c>
      <c r="C468" s="29"/>
      <c r="D468" s="111"/>
      <c r="E468" s="31"/>
      <c r="F468" s="32">
        <f>F104</f>
        <v>54691</v>
      </c>
    </row>
    <row r="469" spans="1:6" x14ac:dyDescent="0.25">
      <c r="A469" s="127"/>
      <c r="B469" s="53"/>
      <c r="C469" s="29"/>
      <c r="D469" s="111"/>
      <c r="E469" s="31"/>
      <c r="F469" s="32"/>
    </row>
    <row r="470" spans="1:6" x14ac:dyDescent="0.25">
      <c r="A470" s="127" t="s">
        <v>15</v>
      </c>
      <c r="B470" s="81" t="s">
        <v>101</v>
      </c>
      <c r="C470" s="29"/>
      <c r="D470" s="111"/>
      <c r="E470" s="31"/>
      <c r="F470" s="32">
        <f>F147</f>
        <v>55966</v>
      </c>
    </row>
    <row r="471" spans="1:6" x14ac:dyDescent="0.25">
      <c r="A471" s="41"/>
      <c r="B471" s="81"/>
      <c r="C471" s="53"/>
      <c r="D471" s="111"/>
      <c r="E471" s="61"/>
      <c r="F471" s="61"/>
    </row>
    <row r="472" spans="1:6" x14ac:dyDescent="0.25">
      <c r="A472" s="127" t="s">
        <v>35</v>
      </c>
      <c r="B472" s="81" t="s">
        <v>102</v>
      </c>
      <c r="C472" s="29"/>
      <c r="D472" s="111"/>
      <c r="E472" s="31"/>
      <c r="F472" s="32">
        <f>F190</f>
        <v>35277</v>
      </c>
    </row>
    <row r="473" spans="1:6" x14ac:dyDescent="0.25">
      <c r="A473" s="41"/>
      <c r="C473" s="29"/>
      <c r="D473" s="111"/>
      <c r="E473" s="31"/>
      <c r="F473" s="32"/>
    </row>
    <row r="474" spans="1:6" x14ac:dyDescent="0.25">
      <c r="A474" s="127" t="s">
        <v>18</v>
      </c>
      <c r="B474" s="33" t="s">
        <v>103</v>
      </c>
      <c r="C474" s="29"/>
      <c r="D474" s="111"/>
      <c r="E474" s="31"/>
      <c r="F474" s="32">
        <f>F233</f>
        <v>55216</v>
      </c>
    </row>
    <row r="475" spans="1:6" x14ac:dyDescent="0.25">
      <c r="A475" s="41"/>
      <c r="B475" s="54"/>
      <c r="C475" s="53"/>
      <c r="D475" s="111"/>
      <c r="E475" s="61"/>
      <c r="F475" s="61"/>
    </row>
    <row r="476" spans="1:6" x14ac:dyDescent="0.25">
      <c r="A476" s="127" t="s">
        <v>19</v>
      </c>
      <c r="B476" s="33" t="s">
        <v>104</v>
      </c>
      <c r="C476" s="29"/>
      <c r="D476" s="111"/>
      <c r="E476" s="31"/>
      <c r="F476" s="112">
        <f>F275</f>
        <v>55566</v>
      </c>
    </row>
    <row r="477" spans="1:6" x14ac:dyDescent="0.25">
      <c r="A477" s="41"/>
      <c r="B477" s="54"/>
      <c r="C477" s="53"/>
      <c r="D477" s="111"/>
      <c r="E477" s="61"/>
      <c r="F477" s="110"/>
    </row>
    <row r="478" spans="1:6" x14ac:dyDescent="0.25">
      <c r="A478" s="127" t="s">
        <v>20</v>
      </c>
      <c r="B478" s="33" t="s">
        <v>105</v>
      </c>
      <c r="C478" s="29"/>
      <c r="D478" s="105"/>
      <c r="E478" s="31"/>
      <c r="F478" s="112">
        <f>F317</f>
        <v>55916</v>
      </c>
    </row>
    <row r="479" spans="1:6" x14ac:dyDescent="0.25">
      <c r="A479" s="127"/>
      <c r="B479" s="54"/>
      <c r="C479" s="29"/>
      <c r="D479" s="105"/>
      <c r="E479" s="31"/>
      <c r="F479" s="32"/>
    </row>
    <row r="480" spans="1:6" x14ac:dyDescent="0.25">
      <c r="A480" s="127" t="s">
        <v>21</v>
      </c>
      <c r="B480" s="33" t="s">
        <v>58</v>
      </c>
      <c r="C480" s="29"/>
      <c r="D480" s="30"/>
      <c r="E480" s="31"/>
      <c r="F480" s="32">
        <f>F367</f>
        <v>8082</v>
      </c>
    </row>
    <row r="481" spans="1:6" x14ac:dyDescent="0.25">
      <c r="A481" s="41"/>
      <c r="B481" s="33"/>
      <c r="C481" s="53"/>
      <c r="D481" s="60"/>
      <c r="E481" s="61"/>
      <c r="F481" s="61"/>
    </row>
    <row r="482" spans="1:6" x14ac:dyDescent="0.25">
      <c r="A482" s="41" t="s">
        <v>22</v>
      </c>
      <c r="B482" s="1" t="s">
        <v>136</v>
      </c>
      <c r="C482" s="53"/>
      <c r="D482" s="60"/>
      <c r="E482" s="61"/>
      <c r="F482" s="119">
        <f>F417</f>
        <v>106800</v>
      </c>
    </row>
    <row r="483" spans="1:6" x14ac:dyDescent="0.25">
      <c r="A483" s="41"/>
      <c r="C483" s="53"/>
      <c r="D483" s="60"/>
      <c r="E483" s="61"/>
      <c r="F483" s="61"/>
    </row>
    <row r="484" spans="1:6" x14ac:dyDescent="0.25">
      <c r="A484" s="41" t="s">
        <v>24</v>
      </c>
      <c r="B484" s="33" t="s">
        <v>110</v>
      </c>
      <c r="C484" s="53"/>
      <c r="D484" s="60"/>
      <c r="E484" s="61"/>
      <c r="F484" s="119">
        <f>F462</f>
        <v>26429</v>
      </c>
    </row>
    <row r="485" spans="1:6" x14ac:dyDescent="0.25">
      <c r="A485" s="41"/>
      <c r="B485" s="54"/>
      <c r="C485" s="53"/>
      <c r="D485" s="60"/>
      <c r="E485" s="61"/>
      <c r="F485" s="61"/>
    </row>
    <row r="486" spans="1:6" x14ac:dyDescent="0.25">
      <c r="A486" s="53"/>
      <c r="B486" s="54"/>
      <c r="C486" s="53"/>
      <c r="D486" s="60"/>
      <c r="E486" s="61"/>
      <c r="F486" s="61"/>
    </row>
    <row r="487" spans="1:6" x14ac:dyDescent="0.25">
      <c r="A487" s="53"/>
      <c r="B487" s="54"/>
      <c r="C487" s="53"/>
      <c r="D487" s="60"/>
      <c r="E487" s="61"/>
      <c r="F487" s="61"/>
    </row>
    <row r="488" spans="1:6" x14ac:dyDescent="0.25">
      <c r="A488" s="53"/>
      <c r="B488" s="54"/>
      <c r="C488" s="53"/>
      <c r="D488" s="60"/>
      <c r="E488" s="61"/>
      <c r="F488" s="61"/>
    </row>
    <row r="489" spans="1:6" x14ac:dyDescent="0.25">
      <c r="A489" s="53"/>
      <c r="B489" s="54"/>
      <c r="C489" s="53"/>
      <c r="D489" s="60"/>
      <c r="E489" s="61"/>
      <c r="F489" s="61"/>
    </row>
    <row r="490" spans="1:6" x14ac:dyDescent="0.25">
      <c r="A490" s="53"/>
      <c r="B490" s="54"/>
      <c r="C490" s="53"/>
      <c r="D490" s="60"/>
      <c r="E490" s="61"/>
      <c r="F490" s="61"/>
    </row>
    <row r="491" spans="1:6" x14ac:dyDescent="0.25">
      <c r="A491" s="53"/>
      <c r="B491" s="54"/>
      <c r="C491" s="53"/>
      <c r="D491" s="60"/>
      <c r="E491" s="61"/>
      <c r="F491" s="61"/>
    </row>
    <row r="492" spans="1:6" x14ac:dyDescent="0.25">
      <c r="A492" s="53"/>
      <c r="B492" s="54"/>
      <c r="C492" s="53"/>
      <c r="D492" s="60"/>
      <c r="E492" s="61"/>
      <c r="F492" s="61"/>
    </row>
    <row r="493" spans="1:6" x14ac:dyDescent="0.25">
      <c r="A493" s="53"/>
      <c r="B493" s="54"/>
      <c r="C493" s="53"/>
      <c r="D493" s="60"/>
      <c r="E493" s="61"/>
      <c r="F493" s="61"/>
    </row>
    <row r="494" spans="1:6" x14ac:dyDescent="0.25">
      <c r="A494" s="53"/>
      <c r="B494" s="54"/>
      <c r="C494" s="53"/>
      <c r="D494" s="60"/>
      <c r="E494" s="61"/>
      <c r="F494" s="61"/>
    </row>
    <row r="495" spans="1:6" x14ac:dyDescent="0.25">
      <c r="A495" s="53"/>
      <c r="B495" s="54"/>
      <c r="C495" s="53"/>
      <c r="D495" s="60"/>
      <c r="E495" s="61"/>
      <c r="F495" s="61"/>
    </row>
    <row r="496" spans="1:6" x14ac:dyDescent="0.25">
      <c r="A496" s="53"/>
      <c r="B496" s="54"/>
      <c r="C496" s="53"/>
      <c r="D496" s="60"/>
      <c r="E496" s="61"/>
      <c r="F496" s="61"/>
    </row>
    <row r="497" spans="1:6" x14ac:dyDescent="0.25">
      <c r="A497" s="53"/>
      <c r="B497" s="54"/>
      <c r="C497" s="53"/>
      <c r="D497" s="60"/>
      <c r="E497" s="61"/>
      <c r="F497" s="61"/>
    </row>
    <row r="498" spans="1:6" x14ac:dyDescent="0.25">
      <c r="A498" s="53"/>
      <c r="B498" s="54"/>
      <c r="C498" s="53"/>
      <c r="D498" s="60"/>
      <c r="E498" s="61"/>
      <c r="F498" s="61"/>
    </row>
    <row r="499" spans="1:6" x14ac:dyDescent="0.25">
      <c r="A499" s="53"/>
      <c r="B499" s="54"/>
      <c r="C499" s="53"/>
      <c r="D499" s="60"/>
      <c r="E499" s="61"/>
      <c r="F499" s="61"/>
    </row>
    <row r="500" spans="1:6" x14ac:dyDescent="0.25">
      <c r="A500" s="53"/>
      <c r="B500" s="54"/>
      <c r="C500" s="53"/>
      <c r="D500" s="60"/>
      <c r="E500" s="61"/>
      <c r="F500" s="61"/>
    </row>
    <row r="501" spans="1:6" x14ac:dyDescent="0.25">
      <c r="A501" s="53"/>
      <c r="B501" s="54"/>
      <c r="C501" s="53"/>
      <c r="D501" s="60"/>
      <c r="E501" s="61"/>
      <c r="F501" s="61"/>
    </row>
    <row r="502" spans="1:6" x14ac:dyDescent="0.25">
      <c r="A502" s="53"/>
      <c r="B502" s="54"/>
      <c r="C502" s="53"/>
      <c r="D502" s="60"/>
      <c r="E502" s="61"/>
      <c r="F502" s="61"/>
    </row>
    <row r="503" spans="1:6" x14ac:dyDescent="0.25">
      <c r="A503" s="53"/>
      <c r="B503" s="54"/>
      <c r="C503" s="53"/>
      <c r="D503" s="60"/>
      <c r="E503" s="61"/>
      <c r="F503" s="61"/>
    </row>
    <row r="504" spans="1:6" x14ac:dyDescent="0.25">
      <c r="A504" s="53"/>
      <c r="B504" s="54"/>
      <c r="C504" s="53"/>
      <c r="D504" s="60"/>
      <c r="E504" s="61"/>
      <c r="F504" s="61"/>
    </row>
    <row r="505" spans="1:6" x14ac:dyDescent="0.25">
      <c r="A505" s="53"/>
      <c r="B505" s="54"/>
      <c r="C505" s="53"/>
      <c r="D505" s="60"/>
      <c r="E505" s="61"/>
      <c r="F505" s="61"/>
    </row>
    <row r="506" spans="1:6" x14ac:dyDescent="0.25">
      <c r="A506" s="53"/>
      <c r="B506" s="54"/>
      <c r="C506" s="53"/>
      <c r="D506" s="60"/>
      <c r="E506" s="61"/>
      <c r="F506" s="61"/>
    </row>
    <row r="507" spans="1:6" x14ac:dyDescent="0.25">
      <c r="A507" s="53"/>
      <c r="B507" s="54"/>
      <c r="C507" s="53"/>
      <c r="D507" s="60"/>
      <c r="E507" s="61"/>
      <c r="F507" s="61"/>
    </row>
    <row r="508" spans="1:6" x14ac:dyDescent="0.25">
      <c r="A508" s="53"/>
      <c r="B508" s="54"/>
      <c r="C508" s="53"/>
      <c r="D508" s="60"/>
      <c r="E508" s="61"/>
      <c r="F508" s="61"/>
    </row>
    <row r="509" spans="1:6" x14ac:dyDescent="0.25">
      <c r="A509" s="53"/>
      <c r="B509" s="54"/>
      <c r="C509" s="53"/>
      <c r="D509" s="60"/>
      <c r="E509" s="61"/>
      <c r="F509" s="61"/>
    </row>
    <row r="510" spans="1:6" x14ac:dyDescent="0.25">
      <c r="A510" s="53"/>
      <c r="B510" s="54"/>
      <c r="C510" s="53"/>
      <c r="D510" s="60"/>
      <c r="E510" s="61"/>
      <c r="F510" s="61"/>
    </row>
    <row r="511" spans="1:6" x14ac:dyDescent="0.25">
      <c r="A511" s="53"/>
      <c r="B511" s="54"/>
      <c r="C511" s="53"/>
      <c r="D511" s="60"/>
      <c r="E511" s="61"/>
      <c r="F511" s="61"/>
    </row>
    <row r="512" spans="1:6" x14ac:dyDescent="0.25">
      <c r="A512" s="53"/>
      <c r="B512" s="54"/>
      <c r="C512" s="53"/>
      <c r="D512" s="60"/>
      <c r="E512" s="61"/>
      <c r="F512" s="61"/>
    </row>
    <row r="513" spans="1:6" x14ac:dyDescent="0.25">
      <c r="A513" s="53"/>
      <c r="B513" s="54"/>
      <c r="C513" s="53"/>
      <c r="D513" s="60"/>
      <c r="E513" s="61"/>
      <c r="F513" s="61"/>
    </row>
    <row r="514" spans="1:6" x14ac:dyDescent="0.25">
      <c r="A514" s="53"/>
      <c r="B514" s="54"/>
      <c r="C514" s="53"/>
      <c r="D514" s="60"/>
      <c r="E514" s="61"/>
      <c r="F514" s="61"/>
    </row>
    <row r="515" spans="1:6" x14ac:dyDescent="0.25">
      <c r="A515" s="53"/>
      <c r="B515" s="54"/>
      <c r="C515" s="53"/>
      <c r="D515" s="60"/>
      <c r="E515" s="61"/>
      <c r="F515" s="61"/>
    </row>
    <row r="516" spans="1:6" x14ac:dyDescent="0.25">
      <c r="A516" s="53"/>
      <c r="B516" s="54"/>
      <c r="C516" s="53"/>
      <c r="D516" s="60"/>
      <c r="E516" s="61"/>
      <c r="F516" s="61"/>
    </row>
    <row r="517" spans="1:6" x14ac:dyDescent="0.25">
      <c r="A517" s="53"/>
      <c r="B517" s="54"/>
      <c r="C517" s="53"/>
      <c r="D517" s="60"/>
      <c r="E517" s="61"/>
      <c r="F517" s="61"/>
    </row>
    <row r="518" spans="1:6" x14ac:dyDescent="0.25">
      <c r="A518" s="53"/>
      <c r="B518" s="54"/>
      <c r="C518" s="53"/>
      <c r="D518" s="60"/>
      <c r="E518" s="61"/>
      <c r="F518" s="61"/>
    </row>
    <row r="519" spans="1:6" x14ac:dyDescent="0.25">
      <c r="A519" s="53"/>
      <c r="B519" s="54"/>
      <c r="C519" s="53"/>
      <c r="D519" s="60"/>
      <c r="E519" s="61"/>
      <c r="F519" s="61"/>
    </row>
    <row r="520" spans="1:6" x14ac:dyDescent="0.25">
      <c r="A520" s="53"/>
      <c r="B520" s="54"/>
      <c r="C520" s="53"/>
      <c r="D520" s="60"/>
      <c r="E520" s="61"/>
      <c r="F520" s="61"/>
    </row>
    <row r="521" spans="1:6" x14ac:dyDescent="0.25">
      <c r="A521" s="53"/>
      <c r="B521" s="54"/>
      <c r="C521" s="53"/>
      <c r="D521" s="60"/>
      <c r="E521" s="61"/>
      <c r="F521" s="61"/>
    </row>
    <row r="522" spans="1:6" x14ac:dyDescent="0.25">
      <c r="A522" s="53"/>
      <c r="B522" s="54"/>
      <c r="C522" s="53"/>
      <c r="D522" s="60"/>
      <c r="E522" s="61"/>
      <c r="F522" s="61"/>
    </row>
    <row r="523" spans="1:6" x14ac:dyDescent="0.25">
      <c r="A523" s="53"/>
      <c r="B523" s="54"/>
      <c r="C523" s="53"/>
      <c r="D523" s="60"/>
      <c r="E523" s="61"/>
      <c r="F523" s="61"/>
    </row>
    <row r="524" spans="1:6" x14ac:dyDescent="0.25">
      <c r="A524" s="53"/>
      <c r="B524" s="54"/>
      <c r="C524" s="53"/>
      <c r="D524" s="60"/>
      <c r="E524" s="61"/>
      <c r="F524" s="61"/>
    </row>
    <row r="525" spans="1:6" x14ac:dyDescent="0.25">
      <c r="A525" s="53"/>
      <c r="B525" s="54"/>
      <c r="C525" s="53"/>
      <c r="D525" s="60"/>
      <c r="E525" s="61"/>
      <c r="F525" s="61"/>
    </row>
    <row r="526" spans="1:6" x14ac:dyDescent="0.25">
      <c r="A526" s="53"/>
      <c r="B526" s="54"/>
      <c r="C526" s="53"/>
      <c r="D526" s="60"/>
      <c r="E526" s="61"/>
      <c r="F526" s="61"/>
    </row>
    <row r="527" spans="1:6" x14ac:dyDescent="0.25">
      <c r="A527" s="53"/>
      <c r="B527" s="54"/>
      <c r="C527" s="53"/>
      <c r="D527" s="60"/>
      <c r="E527" s="61"/>
      <c r="F527" s="61"/>
    </row>
    <row r="528" spans="1:6" x14ac:dyDescent="0.25">
      <c r="A528" s="53"/>
      <c r="B528" s="54"/>
      <c r="C528" s="53"/>
      <c r="D528" s="60"/>
      <c r="E528" s="61"/>
      <c r="F528" s="61"/>
    </row>
    <row r="529" spans="1:7" x14ac:dyDescent="0.25">
      <c r="A529" s="53"/>
      <c r="B529" s="54"/>
      <c r="C529" s="53"/>
      <c r="D529" s="60"/>
      <c r="E529" s="61"/>
      <c r="F529" s="61"/>
    </row>
    <row r="530" spans="1:7" ht="13.5" thickBot="1" x14ac:dyDescent="0.3">
      <c r="A530" s="164" t="s">
        <v>146</v>
      </c>
      <c r="B530" s="62" t="s">
        <v>60</v>
      </c>
      <c r="C530" s="44"/>
      <c r="D530" s="56"/>
      <c r="E530" s="28"/>
      <c r="F530" s="52">
        <f>SUM(F465:F490)</f>
        <v>457469</v>
      </c>
      <c r="G530" s="120"/>
    </row>
    <row r="531" spans="1:7" ht="13.5" thickTop="1" x14ac:dyDescent="0.25"/>
  </sheetData>
  <pageMargins left="0.7" right="0.7" top="0.75" bottom="0.75" header="0.3" footer="0.3"/>
  <pageSetup scale="73" orientation="portrait" r:id="rId1"/>
  <headerFooter>
    <oddFooter>&amp;L&amp;"Cambria,Italic"&amp;10Kerd Design &amp; Consults&amp;R&amp;"Cambria,Bold Italic"&amp;10Page E&amp;P of E&amp;N</oddFooter>
  </headerFooter>
  <rowBreaks count="4" manualBreakCount="4">
    <brk id="317" max="5" man="1"/>
    <brk id="367" max="5" man="1"/>
    <brk id="417" max="5" man="1"/>
    <brk id="462"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Becky</dc:creator>
  <cp:lastModifiedBy>Becky Kyomugisha</cp:lastModifiedBy>
  <cp:lastPrinted>2020-03-15T23:02:48Z</cp:lastPrinted>
  <dcterms:created xsi:type="dcterms:W3CDTF">2016-05-31T16:32:00Z</dcterms:created>
  <dcterms:modified xsi:type="dcterms:W3CDTF">2020-03-15T23:03:04Z</dcterms:modified>
</cp:coreProperties>
</file>