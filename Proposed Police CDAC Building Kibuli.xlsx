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C:\Users\ssent\Documents\Sam\Sam 1\Projects 2025 1\Police CDAC\"/>
    </mc:Choice>
  </mc:AlternateContent>
  <xr:revisionPtr revIDLastSave="0" documentId="13_ncr:1_{05C8FA38-13A8-4B44-9B0B-8021454C2D07}" xr6:coauthVersionLast="47" xr6:coauthVersionMax="47" xr10:uidLastSave="{00000000-0000-0000-0000-000000000000}"/>
  <bookViews>
    <workbookView xWindow="-98" yWindow="-98" windowWidth="23236" windowHeight="13875" firstSheet="13" activeTab="16" xr2:uid="{00000000-000D-0000-FFFF-FFFF00000000}"/>
  </bookViews>
  <sheets>
    <sheet name="Cover Page " sheetId="401" r:id="rId1"/>
    <sheet name="Fly Sht. Main Summary" sheetId="369" r:id="rId2"/>
    <sheet name="Main Summary" sheetId="161" r:id="rId3"/>
    <sheet name="Fly Sht. Main Sum" sheetId="162" state="hidden" r:id="rId4"/>
    <sheet name="Main Contract" sheetId="392" state="hidden" r:id="rId5"/>
    <sheet name="Fly Sht. Bill No.4" sheetId="384" r:id="rId6"/>
    <sheet name="Sum. Bill No.4" sheetId="385" r:id="rId7"/>
    <sheet name="Bill No.4 Electrical Inst." sheetId="422" r:id="rId8"/>
    <sheet name="Fly Sht. Bill No.5" sheetId="386" r:id="rId9"/>
    <sheet name="Sum. Bill No.5" sheetId="404" r:id="rId10"/>
    <sheet name="Bill No.5 Mechanical Inst." sheetId="423" r:id="rId11"/>
    <sheet name="Fly Sht. Bill No.6" sheetId="424" r:id="rId12"/>
    <sheet name="Sum. Bill No.6" sheetId="425" r:id="rId13"/>
    <sheet name="Bill No.6 Fire fighting Inst." sheetId="426" r:id="rId14"/>
    <sheet name="Fly Sht. Bill No.7" sheetId="427" r:id="rId15"/>
    <sheet name="Sum. Bill No.7" sheetId="428" r:id="rId16"/>
    <sheet name="Bill No 7 HVAC" sheetId="436" r:id="rId17"/>
    <sheet name="Fly Sht. Bill No.8" sheetId="431" r:id="rId18"/>
    <sheet name="Bill No.8 Lift Inst." sheetId="430" r:id="rId19"/>
    <sheet name="Fly Sht. Bill No.9" sheetId="432" r:id="rId20"/>
    <sheet name="Sum. Bill No.9" sheetId="433" r:id="rId21"/>
    <sheet name="Bill No.9 ICT Inst." sheetId="434" r:id="rId22"/>
  </sheets>
  <externalReferences>
    <externalReference r:id="rId23"/>
    <externalReference r:id="rId24"/>
    <externalReference r:id="rId25"/>
    <externalReference r:id="rId26"/>
    <externalReference r:id="rId27"/>
    <externalReference r:id="rId28"/>
    <externalReference r:id="rId29"/>
    <externalReference r:id="rId30"/>
  </externalReferences>
  <definedNames>
    <definedName name="_2.1Boholes_and_pump_Stations2">#REF!</definedName>
    <definedName name="_B100" localSheetId="9">#REF!</definedName>
    <definedName name="_B100" localSheetId="12">#REF!</definedName>
    <definedName name="_B100" localSheetId="15">#REF!</definedName>
    <definedName name="_B100" localSheetId="20">#REF!</definedName>
    <definedName name="_B100">#REF!</definedName>
    <definedName name="_B100000" localSheetId="0">#REF!</definedName>
    <definedName name="_B100000" localSheetId="9">#REF!</definedName>
    <definedName name="_B100000" localSheetId="12">#REF!</definedName>
    <definedName name="_B100000" localSheetId="15">#REF!</definedName>
    <definedName name="_B100000" localSheetId="20">#REF!</definedName>
    <definedName name="_B100000">#REF!</definedName>
    <definedName name="_B1000000" localSheetId="0">#REF!</definedName>
    <definedName name="_B1000000" localSheetId="9">#REF!</definedName>
    <definedName name="_B1000000" localSheetId="12">#REF!</definedName>
    <definedName name="_B1000000" localSheetId="15">#REF!</definedName>
    <definedName name="_B1000000" localSheetId="20">#REF!</definedName>
    <definedName name="_B1000000">#REF!</definedName>
    <definedName name="_B990000" localSheetId="9">#REF!</definedName>
    <definedName name="_B990000" localSheetId="12">#REF!</definedName>
    <definedName name="_B990000" localSheetId="15">#REF!</definedName>
    <definedName name="_B990000" localSheetId="20">#REF!</definedName>
    <definedName name="_B990000">#REF!</definedName>
    <definedName name="a">#REF!</definedName>
    <definedName name="aa" localSheetId="9">#REF!</definedName>
    <definedName name="aa" localSheetId="12">#REF!</definedName>
    <definedName name="aa" localSheetId="15">#REF!</definedName>
    <definedName name="aa" localSheetId="20">#REF!</definedName>
    <definedName name="aa">#REF!</definedName>
    <definedName name="AB" localSheetId="9">#REF!</definedName>
    <definedName name="AB" localSheetId="12">#REF!</definedName>
    <definedName name="AB" localSheetId="15">#REF!</definedName>
    <definedName name="AB" localSheetId="20">#REF!</definedName>
    <definedName name="AB">#REF!</definedName>
    <definedName name="ablution" localSheetId="9">#REF!</definedName>
    <definedName name="ablution" localSheetId="12">#REF!</definedName>
    <definedName name="ablution" localSheetId="15">#REF!</definedName>
    <definedName name="ablution" localSheetId="20">#REF!</definedName>
    <definedName name="ablution">#REF!</definedName>
    <definedName name="adaptors">#REF!</definedName>
    <definedName name="airvalves">#REF!</definedName>
    <definedName name="Anti_termite_treatment" localSheetId="9">#REF!</definedName>
    <definedName name="Anti_termite_treatment" localSheetId="12">#REF!</definedName>
    <definedName name="Anti_termite_treatment" localSheetId="15">#REF!</definedName>
    <definedName name="Anti_termite_treatment" localSheetId="20">#REF!</definedName>
    <definedName name="Anti_termite_treatment">#REF!</definedName>
    <definedName name="aqsww" localSheetId="9">#REF!</definedName>
    <definedName name="aqsww" localSheetId="12">#REF!</definedName>
    <definedName name="aqsww" localSheetId="15">#REF!</definedName>
    <definedName name="aqsww" localSheetId="20">#REF!</definedName>
    <definedName name="aqsww">#REF!</definedName>
    <definedName name="aserr" localSheetId="9">#REF!</definedName>
    <definedName name="aserr" localSheetId="12">#REF!</definedName>
    <definedName name="aserr" localSheetId="15">#REF!</definedName>
    <definedName name="aserr" localSheetId="20">#REF!</definedName>
    <definedName name="aserr">#REF!</definedName>
    <definedName name="Assumed_Yard_Connection_Growth_Rate">#REF!</definedName>
    <definedName name="b" localSheetId="9">#REF!</definedName>
    <definedName name="b" localSheetId="12">#REF!</definedName>
    <definedName name="b" localSheetId="15">#REF!</definedName>
    <definedName name="b" localSheetId="20">#REF!</definedName>
    <definedName name="b">#REF!</definedName>
    <definedName name="Balustrading_MILD_STEEL" localSheetId="9">#REF!</definedName>
    <definedName name="Balustrading_MILD_STEEL" localSheetId="12">#REF!</definedName>
    <definedName name="Balustrading_MILD_STEEL" localSheetId="15">#REF!</definedName>
    <definedName name="Balustrading_MILD_STEEL" localSheetId="20">#REF!</definedName>
    <definedName name="Balustrading_MILD_STEEL">#REF!</definedName>
    <definedName name="BDXX" localSheetId="9">#REF!</definedName>
    <definedName name="BDXX" localSheetId="12">#REF!</definedName>
    <definedName name="BDXX" localSheetId="15">#REF!</definedName>
    <definedName name="BDXX" localSheetId="20">#REF!</definedName>
    <definedName name="BDXX">#REF!</definedName>
    <definedName name="Beading_15mm" localSheetId="9">#REF!</definedName>
    <definedName name="Beading_15mm" localSheetId="12">#REF!</definedName>
    <definedName name="Beading_15mm" localSheetId="15">#REF!</definedName>
    <definedName name="Beading_15mm" localSheetId="20">#REF!</definedName>
    <definedName name="Beading_15mm">#REF!</definedName>
    <definedName name="bends">#REF!</definedName>
    <definedName name="bill5" localSheetId="9">#REF!</definedName>
    <definedName name="bill5" localSheetId="12">#REF!</definedName>
    <definedName name="bill5" localSheetId="15">#REF!</definedName>
    <definedName name="bill5" localSheetId="20">#REF!</definedName>
    <definedName name="bill5">#REF!</definedName>
    <definedName name="BIOGAS" localSheetId="9">#REF!</definedName>
    <definedName name="BIOGAS" localSheetId="12">#REF!</definedName>
    <definedName name="BIOGAS" localSheetId="15">#REF!</definedName>
    <definedName name="BIOGAS" localSheetId="20">#REF!</definedName>
    <definedName name="BIOGAS">#REF!</definedName>
    <definedName name="BKLH" localSheetId="9">#REF!</definedName>
    <definedName name="BKLH" localSheetId="12">#REF!</definedName>
    <definedName name="BKLH" localSheetId="15">#REF!</definedName>
    <definedName name="BKLH" localSheetId="20">#REF!</definedName>
    <definedName name="BKLH">#REF!</definedName>
    <definedName name="Bl." localSheetId="9">#REF!</definedName>
    <definedName name="Bl." localSheetId="12">#REF!</definedName>
    <definedName name="Bl." localSheetId="15">#REF!</definedName>
    <definedName name="Bl." localSheetId="20">#REF!</definedName>
    <definedName name="Bl.">#REF!</definedName>
    <definedName name="blankflange">#REF!</definedName>
    <definedName name="block" localSheetId="9">#REF!</definedName>
    <definedName name="block" localSheetId="12">#REF!</definedName>
    <definedName name="block" localSheetId="15">#REF!</definedName>
    <definedName name="block" localSheetId="20">#REF!</definedName>
    <definedName name="block">#REF!</definedName>
    <definedName name="Blockwork_100mm" localSheetId="9">#REF!</definedName>
    <definedName name="Blockwork_100mm" localSheetId="12">#REF!</definedName>
    <definedName name="Blockwork_100mm" localSheetId="15">#REF!</definedName>
    <definedName name="Blockwork_100mm" localSheetId="20">#REF!</definedName>
    <definedName name="Blockwork_100mm">#REF!</definedName>
    <definedName name="Blockwork_150mm" localSheetId="9">#REF!</definedName>
    <definedName name="Blockwork_150mm" localSheetId="12">#REF!</definedName>
    <definedName name="Blockwork_150mm" localSheetId="15">#REF!</definedName>
    <definedName name="Blockwork_150mm" localSheetId="20">#REF!</definedName>
    <definedName name="Blockwork_150mm">#REF!</definedName>
    <definedName name="Blockwork_200mm" localSheetId="9">#REF!</definedName>
    <definedName name="Blockwork_200mm" localSheetId="12">#REF!</definedName>
    <definedName name="Blockwork_200mm" localSheetId="15">#REF!</definedName>
    <definedName name="Blockwork_200mm" localSheetId="20">#REF!</definedName>
    <definedName name="Blockwork_200mm">#REF!</definedName>
    <definedName name="Boundary_Wall" localSheetId="9">#REF!</definedName>
    <definedName name="Boundary_Wall" localSheetId="12">#REF!</definedName>
    <definedName name="Boundary_Wall" localSheetId="15">#REF!</definedName>
    <definedName name="Boundary_Wall" localSheetId="20">#REF!</definedName>
    <definedName name="Boundary_Wall">#REF!</definedName>
    <definedName name="BRC_A142_Mesh" localSheetId="9">#REF!</definedName>
    <definedName name="BRC_A142_Mesh" localSheetId="12">#REF!</definedName>
    <definedName name="BRC_A142_Mesh" localSheetId="15">#REF!</definedName>
    <definedName name="BRC_A142_Mesh" localSheetId="20">#REF!</definedName>
    <definedName name="BRC_A142_Mesh">#REF!</definedName>
    <definedName name="butterflyvalves">#REF!</definedName>
    <definedName name="Cabinet_HIGH_LEVEL" localSheetId="9">#REF!</definedName>
    <definedName name="Cabinet_HIGH_LEVEL" localSheetId="12">#REF!</definedName>
    <definedName name="Cabinet_HIGH_LEVEL" localSheetId="15">#REF!</definedName>
    <definedName name="Cabinet_HIGH_LEVEL" localSheetId="20">#REF!</definedName>
    <definedName name="Cabinet_HIGH_LEVEL">#REF!</definedName>
    <definedName name="Cabinets_LOW_LEVEL" localSheetId="9">#REF!</definedName>
    <definedName name="Cabinets_LOW_LEVEL" localSheetId="12">#REF!</definedName>
    <definedName name="Cabinets_LOW_LEVEL" localSheetId="15">#REF!</definedName>
    <definedName name="Cabinets_LOW_LEVEL" localSheetId="20">#REF!</definedName>
    <definedName name="Cabinets_LOW_LEVEL">#REF!</definedName>
    <definedName name="Cabinets_WARDROBE_280mm" localSheetId="9">#REF!</definedName>
    <definedName name="Cabinets_WARDROBE_280mm" localSheetId="12">#REF!</definedName>
    <definedName name="Cabinets_WARDROBE_280mm" localSheetId="15">#REF!</definedName>
    <definedName name="Cabinets_WARDROBE_280mm" localSheetId="20">#REF!</definedName>
    <definedName name="Cabinets_WARDROBE_280mm">#REF!</definedName>
    <definedName name="cafetaria" localSheetId="9">#REF!</definedName>
    <definedName name="cafetaria" localSheetId="12">#REF!</definedName>
    <definedName name="cafetaria" localSheetId="15">#REF!</definedName>
    <definedName name="cafetaria" localSheetId="20">#REF!</definedName>
    <definedName name="cafetaria">#REF!</definedName>
    <definedName name="Ceiling_MOULDED_PLASTER" localSheetId="9">#REF!</definedName>
    <definedName name="Ceiling_MOULDED_PLASTER" localSheetId="12">#REF!</definedName>
    <definedName name="Ceiling_MOULDED_PLASTER" localSheetId="15">#REF!</definedName>
    <definedName name="Ceiling_MOULDED_PLASTER" localSheetId="20">#REF!</definedName>
    <definedName name="Ceiling_MOULDED_PLASTER">#REF!</definedName>
    <definedName name="Ceiling_PLASTERED_METAL_LATHE" localSheetId="9">#REF!</definedName>
    <definedName name="Ceiling_PLASTERED_METAL_LATHE" localSheetId="12">#REF!</definedName>
    <definedName name="Ceiling_PLASTERED_METAL_LATHE" localSheetId="15">#REF!</definedName>
    <definedName name="Ceiling_PLASTERED_METAL_LATHE" localSheetId="20">#REF!</definedName>
    <definedName name="Ceiling_PLASTERED_METAL_LATHE">#REF!</definedName>
    <definedName name="Ceiling_TRAP_DOOR" localSheetId="9">#REF!</definedName>
    <definedName name="Ceiling_TRAP_DOOR" localSheetId="12">#REF!</definedName>
    <definedName name="Ceiling_TRAP_DOOR" localSheetId="15">#REF!</definedName>
    <definedName name="Ceiling_TRAP_DOOR" localSheetId="20">#REF!</definedName>
    <definedName name="Ceiling_TRAP_DOOR">#REF!</definedName>
    <definedName name="Channel_300x300mm_GRATED_PCC_COVER" localSheetId="9">#REF!</definedName>
    <definedName name="Channel_300x300mm_GRATED_PCC_COVER" localSheetId="12">#REF!</definedName>
    <definedName name="Channel_300x300mm_GRATED_PCC_COVER" localSheetId="15">#REF!</definedName>
    <definedName name="Channel_300x300mm_GRATED_PCC_COVER" localSheetId="20">#REF!</definedName>
    <definedName name="Channel_300x300mm_GRATED_PCC_COVER">#REF!</definedName>
    <definedName name="CILL">#REF!</definedName>
    <definedName name="Clay_Tiles_ROMAN" localSheetId="9">#REF!</definedName>
    <definedName name="Clay_Tiles_ROMAN" localSheetId="12">#REF!</definedName>
    <definedName name="Clay_Tiles_ROMAN" localSheetId="15">#REF!</definedName>
    <definedName name="Clay_Tiles_ROMAN" localSheetId="20">#REF!</definedName>
    <definedName name="Clay_Tiles_ROMAN">#REF!</definedName>
    <definedName name="code">'[1]fitting rates'!$A$4:$G$223</definedName>
    <definedName name="Compact_SURFACES" localSheetId="9">#REF!</definedName>
    <definedName name="Compact_SURFACES" localSheetId="12">#REF!</definedName>
    <definedName name="Compact_SURFACES" localSheetId="15">#REF!</definedName>
    <definedName name="Compact_SURFACES" localSheetId="20">#REF!</definedName>
    <definedName name="Compact_SURFACES">#REF!</definedName>
    <definedName name="Concrete_Class_10" localSheetId="9">#REF!</definedName>
    <definedName name="Concrete_Class_10" localSheetId="12">#REF!</definedName>
    <definedName name="Concrete_Class_10" localSheetId="15">#REF!</definedName>
    <definedName name="Concrete_Class_10" localSheetId="20">#REF!</definedName>
    <definedName name="Concrete_Class_10">#REF!</definedName>
    <definedName name="Concrete_Class_15" localSheetId="9">#REF!</definedName>
    <definedName name="Concrete_Class_15" localSheetId="12">#REF!</definedName>
    <definedName name="Concrete_Class_15" localSheetId="15">#REF!</definedName>
    <definedName name="Concrete_Class_15" localSheetId="20">#REF!</definedName>
    <definedName name="Concrete_Class_15">#REF!</definedName>
    <definedName name="Concrete_Class_20" localSheetId="9">#REF!</definedName>
    <definedName name="Concrete_Class_20" localSheetId="12">#REF!</definedName>
    <definedName name="Concrete_Class_20" localSheetId="15">#REF!</definedName>
    <definedName name="Concrete_Class_20" localSheetId="20">#REF!</definedName>
    <definedName name="Concrete_Class_20">#REF!</definedName>
    <definedName name="Concrete_Class_25" localSheetId="9">#REF!</definedName>
    <definedName name="Concrete_Class_25" localSheetId="12">#REF!</definedName>
    <definedName name="Concrete_Class_25" localSheetId="15">#REF!</definedName>
    <definedName name="Concrete_Class_25" localSheetId="20">#REF!</definedName>
    <definedName name="Concrete_Class_25">#REF!</definedName>
    <definedName name="Concrete_Class_30" localSheetId="9">#REF!</definedName>
    <definedName name="Concrete_Class_30" localSheetId="12">#REF!</definedName>
    <definedName name="Concrete_Class_30" localSheetId="15">#REF!</definedName>
    <definedName name="Concrete_Class_30" localSheetId="20">#REF!</definedName>
    <definedName name="Concrete_Class_30">#REF!</definedName>
    <definedName name="COPING">[2]Summary!#REF!</definedName>
    <definedName name="Coping_275x50mm" localSheetId="9">#REF!</definedName>
    <definedName name="Coping_275x50mm" localSheetId="12">#REF!</definedName>
    <definedName name="Coping_275x50mm" localSheetId="15">#REF!</definedName>
    <definedName name="Coping_275x50mm" localSheetId="20">#REF!</definedName>
    <definedName name="Coping_275x50mm">#REF!</definedName>
    <definedName name="Coping_350x50mm" localSheetId="9">#REF!</definedName>
    <definedName name="Coping_350x50mm" localSheetId="12">#REF!</definedName>
    <definedName name="Coping_350x50mm" localSheetId="15">#REF!</definedName>
    <definedName name="Coping_350x50mm" localSheetId="20">#REF!</definedName>
    <definedName name="Coping_350x50mm">#REF!</definedName>
    <definedName name="Corner_STRIP_PVC" localSheetId="9">#REF!</definedName>
    <definedName name="Corner_STRIP_PVC" localSheetId="12">#REF!</definedName>
    <definedName name="Corner_STRIP_PVC" localSheetId="15">#REF!</definedName>
    <definedName name="Corner_STRIP_PVC" localSheetId="20">#REF!</definedName>
    <definedName name="Corner_STRIP_PVC">#REF!</definedName>
    <definedName name="Cornice_75x75mm" localSheetId="9">#REF!</definedName>
    <definedName name="Cornice_75x75mm" localSheetId="12">#REF!</definedName>
    <definedName name="Cornice_75x75mm" localSheetId="15">#REF!</definedName>
    <definedName name="Cornice_75x75mm" localSheetId="20">#REF!</definedName>
    <definedName name="Cornice_75x75mm">#REF!</definedName>
    <definedName name="COST">#REF!</definedName>
    <definedName name="Cover" localSheetId="9">#REF!</definedName>
    <definedName name="Cover" localSheetId="12">#REF!</definedName>
    <definedName name="Cover" localSheetId="15">#REF!</definedName>
    <definedName name="Cover" localSheetId="20">#REF!</definedName>
    <definedName name="Cover">#REF!</definedName>
    <definedName name="Cutting_Trees_GIRTH_600mm" localSheetId="9">#REF!</definedName>
    <definedName name="Cutting_Trees_GIRTH_600mm" localSheetId="12">#REF!</definedName>
    <definedName name="Cutting_Trees_GIRTH_600mm" localSheetId="15">#REF!</definedName>
    <definedName name="Cutting_Trees_GIRTH_600mm" localSheetId="20">#REF!</definedName>
    <definedName name="Cutting_Trees_GIRTH_600mm">#REF!</definedName>
    <definedName name="D" localSheetId="9">#REF!</definedName>
    <definedName name="D" localSheetId="12">#REF!</definedName>
    <definedName name="D" localSheetId="15">#REF!</definedName>
    <definedName name="D" localSheetId="20">#REF!</definedName>
    <definedName name="D">#REF!</definedName>
    <definedName name="dan" localSheetId="9">#REF!</definedName>
    <definedName name="dan" localSheetId="12">#REF!</definedName>
    <definedName name="dan" localSheetId="15">#REF!</definedName>
    <definedName name="dan" localSheetId="20">#REF!</definedName>
    <definedName name="dan">#REF!</definedName>
    <definedName name="data">[1]list!$AG$8:$EW$23</definedName>
    <definedName name="dcew" localSheetId="9">#REF!</definedName>
    <definedName name="dcew" localSheetId="12">#REF!</definedName>
    <definedName name="dcew" localSheetId="15">#REF!</definedName>
    <definedName name="dcew" localSheetId="20">#REF!</definedName>
    <definedName name="dcew">#REF!</definedName>
    <definedName name="DD" localSheetId="9">#REF!</definedName>
    <definedName name="DD" localSheetId="12">#REF!</definedName>
    <definedName name="DD" localSheetId="15">#REF!</definedName>
    <definedName name="DD" localSheetId="20">#REF!</definedName>
    <definedName name="DD">#REF!</definedName>
    <definedName name="DDD" localSheetId="9">#REF!</definedName>
    <definedName name="DDD" localSheetId="12">#REF!</definedName>
    <definedName name="DDD" localSheetId="15">#REF!</definedName>
    <definedName name="DDD" localSheetId="20">#REF!</definedName>
    <definedName name="DDD">#REF!</definedName>
    <definedName name="ded" localSheetId="9">#REF!</definedName>
    <definedName name="ded" localSheetId="12">#REF!</definedName>
    <definedName name="ded" localSheetId="15">#REF!</definedName>
    <definedName name="ded" localSheetId="20">#REF!</definedName>
    <definedName name="ded">#REF!</definedName>
    <definedName name="dedr" localSheetId="9">#REF!</definedName>
    <definedName name="dedr" localSheetId="12">#REF!</definedName>
    <definedName name="dedr" localSheetId="15">#REF!</definedName>
    <definedName name="dedr" localSheetId="20">#REF!</definedName>
    <definedName name="dedr">#REF!</definedName>
    <definedName name="DFlange">#REF!</definedName>
    <definedName name="dfr" localSheetId="9">#REF!</definedName>
    <definedName name="dfr" localSheetId="12">#REF!</definedName>
    <definedName name="dfr" localSheetId="15">#REF!</definedName>
    <definedName name="dfr" localSheetId="20">#REF!</definedName>
    <definedName name="dfr">#REF!</definedName>
    <definedName name="dfrggg" localSheetId="9">#REF!</definedName>
    <definedName name="dfrggg" localSheetId="12">#REF!</definedName>
    <definedName name="dfrggg" localSheetId="15">#REF!</definedName>
    <definedName name="dfrggg" localSheetId="20">#REF!</definedName>
    <definedName name="dfrggg">#REF!</definedName>
    <definedName name="Door_ARCHITRAVE_50mm" localSheetId="9">#REF!</definedName>
    <definedName name="Door_ARCHITRAVE_50mm" localSheetId="12">#REF!</definedName>
    <definedName name="Door_ARCHITRAVE_50mm" localSheetId="15">#REF!</definedName>
    <definedName name="Door_ARCHITRAVE_50mm" localSheetId="20">#REF!</definedName>
    <definedName name="Door_ARCHITRAVE_50mm">#REF!</definedName>
    <definedName name="Door_CYLINDER" localSheetId="9">#REF!</definedName>
    <definedName name="Door_CYLINDER" localSheetId="12">#REF!</definedName>
    <definedName name="Door_CYLINDER" localSheetId="15">#REF!</definedName>
    <definedName name="Door_CYLINDER" localSheetId="20">#REF!</definedName>
    <definedName name="Door_CYLINDER">#REF!</definedName>
    <definedName name="Door_FRAME_225mm" localSheetId="9">#REF!</definedName>
    <definedName name="Door_FRAME_225mm" localSheetId="12">#REF!</definedName>
    <definedName name="Door_FRAME_225mm" localSheetId="15">#REF!</definedName>
    <definedName name="Door_FRAME_225mm" localSheetId="20">#REF!</definedName>
    <definedName name="Door_FRAME_225mm">#REF!</definedName>
    <definedName name="Door_HANDLE_ALUMINIUM" localSheetId="9">#REF!</definedName>
    <definedName name="Door_HANDLE_ALUMINIUM" localSheetId="12">#REF!</definedName>
    <definedName name="Door_HANDLE_ALUMINIUM" localSheetId="15">#REF!</definedName>
    <definedName name="Door_HANDLE_ALUMINIUM" localSheetId="20">#REF!</definedName>
    <definedName name="Door_HANDLE_ALUMINIUM">#REF!</definedName>
    <definedName name="Door_MORTISE_LOCK" localSheetId="9">#REF!</definedName>
    <definedName name="Door_MORTISE_LOCK" localSheetId="12">#REF!</definedName>
    <definedName name="Door_MORTISE_LOCK" localSheetId="15">#REF!</definedName>
    <definedName name="Door_MORTISE_LOCK" localSheetId="20">#REF!</definedName>
    <definedName name="Door_MORTISE_LOCK">#REF!</definedName>
    <definedName name="Door_SS_BUTT_HINGES_100mm" localSheetId="9">#REF!</definedName>
    <definedName name="Door_SS_BUTT_HINGES_100mm" localSheetId="12">#REF!</definedName>
    <definedName name="Door_SS_BUTT_HINGES_100mm" localSheetId="15">#REF!</definedName>
    <definedName name="Door_SS_BUTT_HINGES_100mm" localSheetId="20">#REF!</definedName>
    <definedName name="Door_SS_BUTT_HINGES_100mm">#REF!</definedName>
    <definedName name="Doors_ALUMINIUM" localSheetId="9">#REF!</definedName>
    <definedName name="Doors_ALUMINIUM" localSheetId="12">#REF!</definedName>
    <definedName name="Doors_ALUMINIUM" localSheetId="15">#REF!</definedName>
    <definedName name="Doors_ALUMINIUM" localSheetId="20">#REF!</definedName>
    <definedName name="Doors_ALUMINIUM">#REF!</definedName>
    <definedName name="Doors_FLUSH_900x2100mm" localSheetId="9">#REF!</definedName>
    <definedName name="Doors_FLUSH_900x2100mm" localSheetId="12">#REF!</definedName>
    <definedName name="Doors_FLUSH_900x2100mm" localSheetId="15">#REF!</definedName>
    <definedName name="Doors_FLUSH_900x2100mm" localSheetId="20">#REF!</definedName>
    <definedName name="Doors_FLUSH_900x2100mm">#REF!</definedName>
    <definedName name="Doors_PANEL_900x2100mm" localSheetId="9">#REF!</definedName>
    <definedName name="Doors_PANEL_900x2100mm" localSheetId="12">#REF!</definedName>
    <definedName name="Doors_PANEL_900x2100mm" localSheetId="15">#REF!</definedName>
    <definedName name="Doors_PANEL_900x2100mm" localSheetId="20">#REF!</definedName>
    <definedName name="Doors_PANEL_900x2100mm">#REF!</definedName>
    <definedName name="Doors_STOPPER" localSheetId="9">#REF!</definedName>
    <definedName name="Doors_STOPPER" localSheetId="12">#REF!</definedName>
    <definedName name="Doors_STOPPER" localSheetId="15">#REF!</definedName>
    <definedName name="Doors_STOPPER" localSheetId="20">#REF!</definedName>
    <definedName name="Doors_STOPPER">#REF!</definedName>
    <definedName name="DPC" localSheetId="9">#REF!</definedName>
    <definedName name="DPC" localSheetId="12">#REF!</definedName>
    <definedName name="DPC" localSheetId="15">#REF!</definedName>
    <definedName name="DPC" localSheetId="20">#REF!</definedName>
    <definedName name="DPC">#REF!</definedName>
    <definedName name="DPM" localSheetId="9">#REF!</definedName>
    <definedName name="DPM" localSheetId="12">#REF!</definedName>
    <definedName name="DPM" localSheetId="15">#REF!</definedName>
    <definedName name="DPM" localSheetId="20">#REF!</definedName>
    <definedName name="DPM">#REF!</definedName>
    <definedName name="e" localSheetId="9">#REF!</definedName>
    <definedName name="e" localSheetId="12">#REF!</definedName>
    <definedName name="e" localSheetId="15">#REF!</definedName>
    <definedName name="e" localSheetId="20">#REF!</definedName>
    <definedName name="e">#REF!</definedName>
    <definedName name="ed" localSheetId="9">#REF!</definedName>
    <definedName name="ed" localSheetId="12">#REF!</definedName>
    <definedName name="ed" localSheetId="15">#REF!</definedName>
    <definedName name="ed" localSheetId="20">#REF!</definedName>
    <definedName name="ed">#REF!</definedName>
    <definedName name="edfr" localSheetId="9">#REF!</definedName>
    <definedName name="edfr" localSheetId="12">#REF!</definedName>
    <definedName name="edfr" localSheetId="15">#REF!</definedName>
    <definedName name="edfr" localSheetId="20">#REF!</definedName>
    <definedName name="edfr">#REF!</definedName>
    <definedName name="edrff" localSheetId="9">#REF!</definedName>
    <definedName name="edrff" localSheetId="12">#REF!</definedName>
    <definedName name="edrff" localSheetId="15">#REF!</definedName>
    <definedName name="edrff" localSheetId="20">#REF!</definedName>
    <definedName name="edrff">#REF!</definedName>
    <definedName name="eew" localSheetId="9">#REF!</definedName>
    <definedName name="eew" localSheetId="12">#REF!</definedName>
    <definedName name="eew" localSheetId="15">#REF!</definedName>
    <definedName name="eew" localSheetId="20">#REF!</definedName>
    <definedName name="eew">#REF!</definedName>
    <definedName name="Elec">#REF!</definedName>
    <definedName name="ER" localSheetId="9">#REF!</definedName>
    <definedName name="ER" localSheetId="12">#REF!</definedName>
    <definedName name="ER" localSheetId="15">#REF!</definedName>
    <definedName name="ER" localSheetId="20">#REF!</definedName>
    <definedName name="ER">#REF!</definedName>
    <definedName name="ererwqewqewqe">#REF!</definedName>
    <definedName name="erwe" localSheetId="9">#REF!</definedName>
    <definedName name="erwe" localSheetId="12">#REF!</definedName>
    <definedName name="erwe" localSheetId="15">#REF!</definedName>
    <definedName name="erwe" localSheetId="20">#REF!</definedName>
    <definedName name="erwe">#REF!</definedName>
    <definedName name="ewrw">#REF!</definedName>
    <definedName name="Excavating_ROCK" localSheetId="9">#REF!</definedName>
    <definedName name="Excavating_ROCK" localSheetId="12">#REF!</definedName>
    <definedName name="Excavating_ROCK" localSheetId="15">#REF!</definedName>
    <definedName name="Excavating_ROCK" localSheetId="20">#REF!</definedName>
    <definedName name="Excavating_ROCK">#REF!</definedName>
    <definedName name="Excavation_1.5_3.0m_deep" localSheetId="9">#REF!</definedName>
    <definedName name="Excavation_1.5_3.0m_deep" localSheetId="12">#REF!</definedName>
    <definedName name="Excavation_1.5_3.0m_deep" localSheetId="15">#REF!</definedName>
    <definedName name="Excavation_1.5_3.0m_deep" localSheetId="20">#REF!</definedName>
    <definedName name="Excavation_1.5_3.0m_deep">#REF!</definedName>
    <definedName name="Excavation_1.5m_deep" localSheetId="9">#REF!</definedName>
    <definedName name="Excavation_1.5m_deep" localSheetId="12">#REF!</definedName>
    <definedName name="Excavation_1.5m_deep" localSheetId="15">#REF!</definedName>
    <definedName name="Excavation_1.5m_deep" localSheetId="20">#REF!</definedName>
    <definedName name="Excavation_1.5m_deep">#REF!</definedName>
    <definedName name="Excavation_Oversite_200mm_deep" localSheetId="9">#REF!</definedName>
    <definedName name="Excavation_Oversite_200mm_deep" localSheetId="12">#REF!</definedName>
    <definedName name="Excavation_Oversite_200mm_deep" localSheetId="15">#REF!</definedName>
    <definedName name="Excavation_Oversite_200mm_deep" localSheetId="20">#REF!</definedName>
    <definedName name="Excavation_Oversite_200mm_deep">#REF!</definedName>
    <definedName name="excavtn">#REF!</definedName>
    <definedName name="Excel_BuiltIn__FilterDatabase_5">#REF!</definedName>
    <definedName name="Excel_BuiltIn_Print_Area" localSheetId="0">'[3]Bill No.7 Mechanical'!#REF!</definedName>
    <definedName name="Excel_BuiltIn_Print_Area" localSheetId="9">'[4]Bill No.7 Mechanical'!#REF!</definedName>
    <definedName name="Excel_BuiltIn_Print_Area" localSheetId="12">'[4]Bill No.7 Mechanical'!#REF!</definedName>
    <definedName name="Excel_BuiltIn_Print_Area" localSheetId="15">'[4]Bill No.7 Mechanical'!#REF!</definedName>
    <definedName name="Excel_BuiltIn_Print_Area" localSheetId="20">'[4]Bill No.7 Mechanical'!#REF!</definedName>
    <definedName name="Excel_BuiltIn_Print_Area">'[4]Bill No.7 Mechanical'!#REF!</definedName>
    <definedName name="excvte">#REF!</definedName>
    <definedName name="fac" localSheetId="9">#REF!</definedName>
    <definedName name="fac" localSheetId="12">#REF!</definedName>
    <definedName name="fac" localSheetId="15">#REF!</definedName>
    <definedName name="fac" localSheetId="20">#REF!</definedName>
    <definedName name="fac">#REF!</definedName>
    <definedName name="fact" localSheetId="9">#REF!</definedName>
    <definedName name="fact" localSheetId="12">#REF!</definedName>
    <definedName name="fact" localSheetId="15">#REF!</definedName>
    <definedName name="fact" localSheetId="20">#REF!</definedName>
    <definedName name="fact">#REF!</definedName>
    <definedName name="facto" localSheetId="9">#REF!</definedName>
    <definedName name="facto" localSheetId="12">#REF!</definedName>
    <definedName name="facto" localSheetId="15">#REF!</definedName>
    <definedName name="facto" localSheetId="20">#REF!</definedName>
    <definedName name="facto">#REF!</definedName>
    <definedName name="factor" localSheetId="9">#REF!</definedName>
    <definedName name="factor" localSheetId="12">#REF!</definedName>
    <definedName name="factor" localSheetId="15">#REF!</definedName>
    <definedName name="factor" localSheetId="20">#REF!</definedName>
    <definedName name="factor">#REF!</definedName>
    <definedName name="factors" localSheetId="9">#REF!</definedName>
    <definedName name="factors" localSheetId="12">#REF!</definedName>
    <definedName name="factors" localSheetId="15">#REF!</definedName>
    <definedName name="factors" localSheetId="20">#REF!</definedName>
    <definedName name="factors">#REF!</definedName>
    <definedName name="Fascia_200x1.5mm" localSheetId="9">#REF!</definedName>
    <definedName name="Fascia_200x1.5mm" localSheetId="12">#REF!</definedName>
    <definedName name="Fascia_200x1.5mm" localSheetId="15">#REF!</definedName>
    <definedName name="Fascia_200x1.5mm" localSheetId="20">#REF!</definedName>
    <definedName name="Fascia_200x1.5mm">#REF!</definedName>
    <definedName name="fcde" localSheetId="9">#REF!</definedName>
    <definedName name="fcde" localSheetId="12">#REF!</definedName>
    <definedName name="fcde" localSheetId="15">#REF!</definedName>
    <definedName name="fcde" localSheetId="20">#REF!</definedName>
    <definedName name="fcde">#REF!</definedName>
    <definedName name="fde" localSheetId="9">#REF!</definedName>
    <definedName name="fde" localSheetId="12">#REF!</definedName>
    <definedName name="fde" localSheetId="15">#REF!</definedName>
    <definedName name="fde" localSheetId="20">#REF!</definedName>
    <definedName name="fde">#REF!</definedName>
    <definedName name="FF" localSheetId="9">#REF!</definedName>
    <definedName name="FF" localSheetId="12">#REF!</definedName>
    <definedName name="FF" localSheetId="15">#REF!</definedName>
    <definedName name="FF" localSheetId="20">#REF!</definedName>
    <definedName name="FF">#REF!</definedName>
    <definedName name="FFF">#REF!</definedName>
    <definedName name="FGGF" localSheetId="9">#REF!</definedName>
    <definedName name="FGGF" localSheetId="12">#REF!</definedName>
    <definedName name="FGGF" localSheetId="15">#REF!</definedName>
    <definedName name="FGGF" localSheetId="20">#REF!</definedName>
    <definedName name="FGGF">#REF!</definedName>
    <definedName name="Flangespig">#REF!</definedName>
    <definedName name="Fly" localSheetId="9">#REF!</definedName>
    <definedName name="Fly" localSheetId="12">#REF!</definedName>
    <definedName name="Fly" localSheetId="15">#REF!</definedName>
    <definedName name="Fly" localSheetId="20">#REF!</definedName>
    <definedName name="Fly">#REF!</definedName>
    <definedName name="Formwork_sides_150__225" localSheetId="9">#REF!</definedName>
    <definedName name="Formwork_sides_150__225" localSheetId="12">#REF!</definedName>
    <definedName name="Formwork_sides_150__225" localSheetId="15">#REF!</definedName>
    <definedName name="Formwork_sides_150__225" localSheetId="20">#REF!</definedName>
    <definedName name="Formwork_sides_150__225">#REF!</definedName>
    <definedName name="Formwork_sides_225___300" localSheetId="9">#REF!</definedName>
    <definedName name="Formwork_sides_225___300" localSheetId="12">#REF!</definedName>
    <definedName name="Formwork_sides_225___300" localSheetId="15">#REF!</definedName>
    <definedName name="Formwork_sides_225___300" localSheetId="20">#REF!</definedName>
    <definedName name="Formwork_sides_225___300">#REF!</definedName>
    <definedName name="Formwork_Sides_Beams" localSheetId="9">#REF!</definedName>
    <definedName name="Formwork_Sides_Beams" localSheetId="12">#REF!</definedName>
    <definedName name="Formwork_Sides_Beams" localSheetId="15">#REF!</definedName>
    <definedName name="Formwork_Sides_Beams" localSheetId="20">#REF!</definedName>
    <definedName name="Formwork_Sides_Beams">#REF!</definedName>
    <definedName name="Formwork_Sides_Columns" localSheetId="9">#REF!</definedName>
    <definedName name="Formwork_Sides_Columns" localSheetId="12">#REF!</definedName>
    <definedName name="Formwork_Sides_Columns" localSheetId="15">#REF!</definedName>
    <definedName name="Formwork_Sides_Columns" localSheetId="20">#REF!</definedName>
    <definedName name="Formwork_Sides_Columns">#REF!</definedName>
    <definedName name="Formwork_Soffits" localSheetId="9">#REF!</definedName>
    <definedName name="Formwork_Soffits" localSheetId="12">#REF!</definedName>
    <definedName name="Formwork_Soffits" localSheetId="15">#REF!</definedName>
    <definedName name="Formwork_Soffits" localSheetId="20">#REF!</definedName>
    <definedName name="Formwork_Soffits">#REF!</definedName>
    <definedName name="Formwork_Soffits_150___225" localSheetId="9">#REF!</definedName>
    <definedName name="Formwork_Soffits_150___225" localSheetId="12">#REF!</definedName>
    <definedName name="Formwork_Soffits_150___225" localSheetId="15">#REF!</definedName>
    <definedName name="Formwork_Soffits_150___225" localSheetId="20">#REF!</definedName>
    <definedName name="Formwork_Soffits_150___225">#REF!</definedName>
    <definedName name="Formwork_Soffits_225___300" localSheetId="9">#REF!</definedName>
    <definedName name="Formwork_Soffits_225___300" localSheetId="12">#REF!</definedName>
    <definedName name="Formwork_Soffits_225___300" localSheetId="15">#REF!</definedName>
    <definedName name="Formwork_Soffits_225___300" localSheetId="20">#REF!</definedName>
    <definedName name="Formwork_Soffits_225___300">#REF!</definedName>
    <definedName name="frgd" localSheetId="9">#REF!</definedName>
    <definedName name="frgd" localSheetId="12">#REF!</definedName>
    <definedName name="frgd" localSheetId="15">#REF!</definedName>
    <definedName name="frgd" localSheetId="20">#REF!</definedName>
    <definedName name="frgd">#REF!</definedName>
    <definedName name="frr" localSheetId="9">#REF!</definedName>
    <definedName name="frr" localSheetId="12">#REF!</definedName>
    <definedName name="frr" localSheetId="15">#REF!</definedName>
    <definedName name="frr" localSheetId="20">#REF!</definedName>
    <definedName name="frr">#REF!</definedName>
    <definedName name="ft" localSheetId="9">#REF!</definedName>
    <definedName name="ft" localSheetId="12">#REF!</definedName>
    <definedName name="ft" localSheetId="15">#REF!</definedName>
    <definedName name="ft" localSheetId="20">#REF!</definedName>
    <definedName name="ft">#REF!</definedName>
    <definedName name="Fulbora_100mm" localSheetId="9">#REF!</definedName>
    <definedName name="Fulbora_100mm" localSheetId="12">#REF!</definedName>
    <definedName name="Fulbora_100mm" localSheetId="15">#REF!</definedName>
    <definedName name="Fulbora_100mm" localSheetId="20">#REF!</definedName>
    <definedName name="Fulbora_100mm">#REF!</definedName>
    <definedName name="G" localSheetId="9">#REF!</definedName>
    <definedName name="G" localSheetId="12">#REF!</definedName>
    <definedName name="G" localSheetId="15">#REF!</definedName>
    <definedName name="G" localSheetId="20">#REF!</definedName>
    <definedName name="G">#REF!</definedName>
    <definedName name="Gate" localSheetId="9">#REF!</definedName>
    <definedName name="Gate" localSheetId="12">#REF!</definedName>
    <definedName name="Gate" localSheetId="15">#REF!</definedName>
    <definedName name="Gate" localSheetId="20">#REF!</definedName>
    <definedName name="Gate">#REF!</definedName>
    <definedName name="gatevalves">#REF!</definedName>
    <definedName name="GE" localSheetId="9">#REF!</definedName>
    <definedName name="GE" localSheetId="12">#REF!</definedName>
    <definedName name="GE" localSheetId="15">#REF!</definedName>
    <definedName name="GE" localSheetId="20">#REF!</definedName>
    <definedName name="GE">#REF!</definedName>
    <definedName name="GENETA" localSheetId="9">#REF!</definedName>
    <definedName name="GENETA" localSheetId="12">#REF!</definedName>
    <definedName name="GENETA" localSheetId="15">#REF!</definedName>
    <definedName name="GENETA" localSheetId="20">#REF!</definedName>
    <definedName name="GENETA">#REF!</definedName>
    <definedName name="gfd" localSheetId="9">#REF!</definedName>
    <definedName name="gfd" localSheetId="12">#REF!</definedName>
    <definedName name="gfd" localSheetId="15">#REF!</definedName>
    <definedName name="gfd" localSheetId="20">#REF!</definedName>
    <definedName name="gfd">#REF!</definedName>
    <definedName name="gfrf" localSheetId="9">#REF!</definedName>
    <definedName name="gfrf" localSheetId="12">#REF!</definedName>
    <definedName name="gfrf" localSheetId="15">#REF!</definedName>
    <definedName name="gfrf" localSheetId="20">#REF!</definedName>
    <definedName name="gfrf">#REF!</definedName>
    <definedName name="ggr" localSheetId="9">#REF!</definedName>
    <definedName name="ggr" localSheetId="12">#REF!</definedName>
    <definedName name="ggr" localSheetId="15">#REF!</definedName>
    <definedName name="ggr" localSheetId="20">#REF!</definedName>
    <definedName name="ggr">#REF!</definedName>
    <definedName name="ggygh" localSheetId="9">#REF!</definedName>
    <definedName name="ggygh" localSheetId="12">#REF!</definedName>
    <definedName name="ggygh" localSheetId="15">#REF!</definedName>
    <definedName name="ggygh" localSheetId="20">#REF!</definedName>
    <definedName name="ggygh">#REF!</definedName>
    <definedName name="gh" localSheetId="9">#REF!</definedName>
    <definedName name="gh" localSheetId="12">#REF!</definedName>
    <definedName name="gh" localSheetId="15">#REF!</definedName>
    <definedName name="gh" localSheetId="20">#REF!</definedName>
    <definedName name="gh">#REF!</definedName>
    <definedName name="GHANA34" localSheetId="9">#REF!</definedName>
    <definedName name="GHANA34" localSheetId="12">#REF!</definedName>
    <definedName name="GHANA34" localSheetId="15">#REF!</definedName>
    <definedName name="GHANA34" localSheetId="20">#REF!</definedName>
    <definedName name="GHANA34">#REF!</definedName>
    <definedName name="GHJKLDR77" localSheetId="9">#REF!</definedName>
    <definedName name="GHJKLDR77" localSheetId="12">#REF!</definedName>
    <definedName name="GHJKLDR77" localSheetId="15">#REF!</definedName>
    <definedName name="GHJKLDR77" localSheetId="20">#REF!</definedName>
    <definedName name="GHJKLDR77">#REF!</definedName>
    <definedName name="ght" localSheetId="9">#REF!</definedName>
    <definedName name="ght" localSheetId="12">#REF!</definedName>
    <definedName name="ght" localSheetId="15">#REF!</definedName>
    <definedName name="ght" localSheetId="20">#REF!</definedName>
    <definedName name="ght">#REF!</definedName>
    <definedName name="Glass_CLEAR_5mm" localSheetId="9">#REF!</definedName>
    <definedName name="Glass_CLEAR_5mm" localSheetId="12">#REF!</definedName>
    <definedName name="Glass_CLEAR_5mm" localSheetId="15">#REF!</definedName>
    <definedName name="Glass_CLEAR_5mm" localSheetId="20">#REF!</definedName>
    <definedName name="Glass_CLEAR_5mm">#REF!</definedName>
    <definedName name="grfdd" localSheetId="9">#REF!</definedName>
    <definedName name="grfdd" localSheetId="12">#REF!</definedName>
    <definedName name="grfdd" localSheetId="15">#REF!</definedName>
    <definedName name="grfdd" localSheetId="20">#REF!</definedName>
    <definedName name="grfdd">#REF!</definedName>
    <definedName name="gt" localSheetId="9">#REF!</definedName>
    <definedName name="gt" localSheetId="12">#REF!</definedName>
    <definedName name="gt" localSheetId="15">#REF!</definedName>
    <definedName name="gt" localSheetId="20">#REF!</definedName>
    <definedName name="gt">#REF!</definedName>
    <definedName name="GTY" localSheetId="9">#REF!</definedName>
    <definedName name="GTY" localSheetId="12">#REF!</definedName>
    <definedName name="GTY" localSheetId="15">#REF!</definedName>
    <definedName name="GTY" localSheetId="20">#REF!</definedName>
    <definedName name="GTY">#REF!</definedName>
    <definedName name="Gutter_150mm" localSheetId="9">#REF!</definedName>
    <definedName name="Gutter_150mm" localSheetId="12">#REF!</definedName>
    <definedName name="Gutter_150mm" localSheetId="15">#REF!</definedName>
    <definedName name="Gutter_150mm" localSheetId="20">#REF!</definedName>
    <definedName name="Gutter_150mm">#REF!</definedName>
    <definedName name="Gutter_ELBOW" localSheetId="9">#REF!</definedName>
    <definedName name="Gutter_ELBOW" localSheetId="12">#REF!</definedName>
    <definedName name="Gutter_ELBOW" localSheetId="15">#REF!</definedName>
    <definedName name="Gutter_ELBOW" localSheetId="20">#REF!</definedName>
    <definedName name="Gutter_ELBOW">#REF!</definedName>
    <definedName name="Gutter_STOPPED_END" localSheetId="9">#REF!</definedName>
    <definedName name="Gutter_STOPPED_END" localSheetId="12">#REF!</definedName>
    <definedName name="Gutter_STOPPED_END" localSheetId="15">#REF!</definedName>
    <definedName name="Gutter_STOPPED_END" localSheetId="20">#REF!</definedName>
    <definedName name="Gutter_STOPPED_END">#REF!</definedName>
    <definedName name="Gutter_STRAIGHT_OUTLET" localSheetId="9">#REF!</definedName>
    <definedName name="Gutter_STRAIGHT_OUTLET" localSheetId="12">#REF!</definedName>
    <definedName name="Gutter_STRAIGHT_OUTLET" localSheetId="15">#REF!</definedName>
    <definedName name="Gutter_STRAIGHT_OUTLET" localSheetId="20">#REF!</definedName>
    <definedName name="Gutter_STRAIGHT_OUTLET">#REF!</definedName>
    <definedName name="Gutter_UNIVERSAL_ANGLE__BEND" localSheetId="9">#REF!</definedName>
    <definedName name="Gutter_UNIVERSAL_ANGLE__BEND" localSheetId="12">#REF!</definedName>
    <definedName name="Gutter_UNIVERSAL_ANGLE__BEND" localSheetId="15">#REF!</definedName>
    <definedName name="Gutter_UNIVERSAL_ANGLE__BEND" localSheetId="20">#REF!</definedName>
    <definedName name="Gutter_UNIVERSAL_ANGLE__BEND">#REF!</definedName>
    <definedName name="Gutter_VALLEY_HOPPER" localSheetId="9">#REF!</definedName>
    <definedName name="Gutter_VALLEY_HOPPER" localSheetId="12">#REF!</definedName>
    <definedName name="Gutter_VALLEY_HOPPER" localSheetId="15">#REF!</definedName>
    <definedName name="Gutter_VALLEY_HOPPER" localSheetId="20">#REF!</definedName>
    <definedName name="Gutter_VALLEY_HOPPER">#REF!</definedName>
    <definedName name="guy" localSheetId="9">#REF!</definedName>
    <definedName name="guy" localSheetId="12">#REF!</definedName>
    <definedName name="guy" localSheetId="15">#REF!</definedName>
    <definedName name="guy" localSheetId="20">#REF!</definedName>
    <definedName name="guy">#REF!</definedName>
    <definedName name="H" localSheetId="9">#REF!</definedName>
    <definedName name="H" localSheetId="12">#REF!</definedName>
    <definedName name="H" localSheetId="15">#REF!</definedName>
    <definedName name="H" localSheetId="20">#REF!</definedName>
    <definedName name="H">#REF!</definedName>
    <definedName name="Handrail_Mild_Steel_50mm" localSheetId="9">#REF!</definedName>
    <definedName name="Handrail_Mild_Steel_50mm" localSheetId="12">#REF!</definedName>
    <definedName name="Handrail_Mild_Steel_50mm" localSheetId="15">#REF!</definedName>
    <definedName name="Handrail_Mild_Steel_50mm" localSheetId="20">#REF!</definedName>
    <definedName name="Handrail_Mild_Steel_50mm">#REF!</definedName>
    <definedName name="hc" localSheetId="9">#REF!</definedName>
    <definedName name="hc" localSheetId="12">#REF!</definedName>
    <definedName name="hc" localSheetId="15">#REF!</definedName>
    <definedName name="hc" localSheetId="20">#REF!</definedName>
    <definedName name="hc">#REF!</definedName>
    <definedName name="hghgh" localSheetId="9">#REF!</definedName>
    <definedName name="hghgh" localSheetId="12">#REF!</definedName>
    <definedName name="hghgh" localSheetId="15">#REF!</definedName>
    <definedName name="hghgh" localSheetId="20">#REF!</definedName>
    <definedName name="hghgh">#REF!</definedName>
    <definedName name="hgu" localSheetId="9">#REF!</definedName>
    <definedName name="hgu" localSheetId="12">#REF!</definedName>
    <definedName name="hgu" localSheetId="15">#REF!</definedName>
    <definedName name="hgu" localSheetId="20">#REF!</definedName>
    <definedName name="hgu">#REF!</definedName>
    <definedName name="HH" localSheetId="9">#REF!</definedName>
    <definedName name="HH" localSheetId="12">#REF!</definedName>
    <definedName name="HH" localSheetId="15">#REF!</definedName>
    <definedName name="HH" localSheetId="20">#REF!</definedName>
    <definedName name="HH">#REF!</definedName>
    <definedName name="High_Income_estimated_l_c_d">[5]Assumptions!$B$52:$S$52</definedName>
    <definedName name="High_Income_p_h">[5]Assumptions!$B$60:$IV$60</definedName>
    <definedName name="High_Income_tariff">[5]Assumptions!$B$39:$S$39</definedName>
    <definedName name="Hip_Tile_CLAY" localSheetId="9">#REF!</definedName>
    <definedName name="Hip_Tile_CLAY" localSheetId="12">#REF!</definedName>
    <definedName name="Hip_Tile_CLAY" localSheetId="15">#REF!</definedName>
    <definedName name="Hip_Tile_CLAY" localSheetId="20">#REF!</definedName>
    <definedName name="Hip_Tile_CLAY">#REF!</definedName>
    <definedName name="hjgyjg" localSheetId="9">#REF!</definedName>
    <definedName name="hjgyjg" localSheetId="12">#REF!</definedName>
    <definedName name="hjgyjg" localSheetId="15">#REF!</definedName>
    <definedName name="hjgyjg" localSheetId="20">#REF!</definedName>
    <definedName name="hjgyjg">#REF!</definedName>
    <definedName name="hju" localSheetId="9">#REF!</definedName>
    <definedName name="hju" localSheetId="12">#REF!</definedName>
    <definedName name="hju" localSheetId="15">#REF!</definedName>
    <definedName name="hju" localSheetId="20">#REF!</definedName>
    <definedName name="hju">#REF!</definedName>
    <definedName name="Hoop_iron_20_x450mm" localSheetId="9">#REF!</definedName>
    <definedName name="Hoop_iron_20_x450mm" localSheetId="12">#REF!</definedName>
    <definedName name="Hoop_iron_20_x450mm" localSheetId="15">#REF!</definedName>
    <definedName name="Hoop_iron_20_x450mm" localSheetId="20">#REF!</definedName>
    <definedName name="Hoop_iron_20_x450mm">#REF!</definedName>
    <definedName name="HSHSHSHS" localSheetId="9">#REF!</definedName>
    <definedName name="HSHSHSHS" localSheetId="12">#REF!</definedName>
    <definedName name="HSHSHSHS" localSheetId="15">#REF!</definedName>
    <definedName name="HSHSHSHS" localSheetId="20">#REF!</definedName>
    <definedName name="HSHSHSHS">#REF!</definedName>
    <definedName name="htgy" localSheetId="9">#REF!</definedName>
    <definedName name="htgy" localSheetId="12">#REF!</definedName>
    <definedName name="htgy" localSheetId="15">#REF!</definedName>
    <definedName name="htgy" localSheetId="20">#REF!</definedName>
    <definedName name="htgy">#REF!</definedName>
    <definedName name="hutfgh" localSheetId="9">#REF!</definedName>
    <definedName name="hutfgh" localSheetId="12">#REF!</definedName>
    <definedName name="hutfgh" localSheetId="15">#REF!</definedName>
    <definedName name="hutfgh" localSheetId="20">#REF!</definedName>
    <definedName name="hutfgh">#REF!</definedName>
    <definedName name="I" localSheetId="9">#REF!</definedName>
    <definedName name="I" localSheetId="12">#REF!</definedName>
    <definedName name="I" localSheetId="15">#REF!</definedName>
    <definedName name="I" localSheetId="20">#REF!</definedName>
    <definedName name="I">#REF!</definedName>
    <definedName name="inserts">#REF!</definedName>
    <definedName name="iou" localSheetId="9">#REF!</definedName>
    <definedName name="iou" localSheetId="12">#REF!</definedName>
    <definedName name="iou" localSheetId="15">#REF!</definedName>
    <definedName name="iou" localSheetId="20">#REF!</definedName>
    <definedName name="iou">#REF!</definedName>
    <definedName name="juht" localSheetId="9">#REF!</definedName>
    <definedName name="juht" localSheetId="12">#REF!</definedName>
    <definedName name="juht" localSheetId="15">#REF!</definedName>
    <definedName name="juht" localSheetId="20">#REF!</definedName>
    <definedName name="juht">#REF!</definedName>
    <definedName name="juhyy" localSheetId="9">#REF!</definedName>
    <definedName name="juhyy" localSheetId="12">#REF!</definedName>
    <definedName name="juhyy" localSheetId="15">#REF!</definedName>
    <definedName name="juhyy" localSheetId="20">#REF!</definedName>
    <definedName name="juhyy">#REF!</definedName>
    <definedName name="junctions">#REF!</definedName>
    <definedName name="jyyh" localSheetId="9">#REF!</definedName>
    <definedName name="jyyh" localSheetId="12">#REF!</definedName>
    <definedName name="jyyh" localSheetId="15">#REF!</definedName>
    <definedName name="jyyh" localSheetId="20">#REF!</definedName>
    <definedName name="jyyh">#REF!</definedName>
    <definedName name="K" localSheetId="9">#REF!</definedName>
    <definedName name="K" localSheetId="12">#REF!</definedName>
    <definedName name="K" localSheetId="15">#REF!</definedName>
    <definedName name="K" localSheetId="20">#REF!</definedName>
    <definedName name="K">#REF!</definedName>
    <definedName name="Kerbstones" localSheetId="9">#REF!</definedName>
    <definedName name="Kerbstones" localSheetId="12">#REF!</definedName>
    <definedName name="Kerbstones" localSheetId="15">#REF!</definedName>
    <definedName name="Kerbstones" localSheetId="20">#REF!</definedName>
    <definedName name="Kerbstones">#REF!</definedName>
    <definedName name="KIO" localSheetId="9">#REF!</definedName>
    <definedName name="KIO" localSheetId="12">#REF!</definedName>
    <definedName name="KIO" localSheetId="15">#REF!</definedName>
    <definedName name="KIO" localSheetId="20">#REF!</definedName>
    <definedName name="KIO">#REF!</definedName>
    <definedName name="KIU" localSheetId="9">#REF!</definedName>
    <definedName name="KIU" localSheetId="12">#REF!</definedName>
    <definedName name="KIU" localSheetId="15">#REF!</definedName>
    <definedName name="KIU" localSheetId="20">#REF!</definedName>
    <definedName name="KIU">#REF!</definedName>
    <definedName name="kjjuu" localSheetId="9">#REF!</definedName>
    <definedName name="kjjuu" localSheetId="12">#REF!</definedName>
    <definedName name="kjjuu" localSheetId="15">#REF!</definedName>
    <definedName name="kjjuu" localSheetId="20">#REF!</definedName>
    <definedName name="kjjuu">#REF!</definedName>
    <definedName name="kjuu" localSheetId="9">#REF!</definedName>
    <definedName name="kjuu" localSheetId="12">#REF!</definedName>
    <definedName name="kjuu" localSheetId="15">#REF!</definedName>
    <definedName name="kjuu" localSheetId="20">#REF!</definedName>
    <definedName name="kjuu">#REF!</definedName>
    <definedName name="KK" localSheetId="9">#REF!</definedName>
    <definedName name="KK" localSheetId="12">#REF!</definedName>
    <definedName name="KK" localSheetId="15">#REF!</definedName>
    <definedName name="KK" localSheetId="20">#REF!</definedName>
    <definedName name="KK">#REF!</definedName>
    <definedName name="kl" localSheetId="9">#REF!</definedName>
    <definedName name="kl" localSheetId="12">#REF!</definedName>
    <definedName name="kl" localSheetId="15">#REF!</definedName>
    <definedName name="kl" localSheetId="20">#REF!</definedName>
    <definedName name="kl">#REF!</definedName>
    <definedName name="KLO" localSheetId="9">#REF!</definedName>
    <definedName name="KLO" localSheetId="12">#REF!</definedName>
    <definedName name="KLO" localSheetId="15">#REF!</definedName>
    <definedName name="KLO" localSheetId="20">#REF!</definedName>
    <definedName name="KLO">#REF!</definedName>
    <definedName name="KOP" localSheetId="9">#REF!</definedName>
    <definedName name="KOP" localSheetId="12">#REF!</definedName>
    <definedName name="KOP" localSheetId="15">#REF!</definedName>
    <definedName name="KOP" localSheetId="20">#REF!</definedName>
    <definedName name="KOP">#REF!</definedName>
    <definedName name="L" localSheetId="9">#REF!</definedName>
    <definedName name="L" localSheetId="12">#REF!</definedName>
    <definedName name="L" localSheetId="15">#REF!</definedName>
    <definedName name="L" localSheetId="20">#REF!</definedName>
    <definedName name="L">#REF!</definedName>
    <definedName name="ladders">#REF!</definedName>
    <definedName name="Lintols_200x200mm" localSheetId="9">#REF!</definedName>
    <definedName name="Lintols_200x200mm" localSheetId="12">#REF!</definedName>
    <definedName name="Lintols_200x200mm" localSheetId="15">#REF!</definedName>
    <definedName name="Lintols_200x200mm" localSheetId="20">#REF!</definedName>
    <definedName name="Lintols_200x200mm">#REF!</definedName>
    <definedName name="LKI" localSheetId="9">#REF!</definedName>
    <definedName name="LKI" localSheetId="12">#REF!</definedName>
    <definedName name="LKI" localSheetId="15">#REF!</definedName>
    <definedName name="LKI" localSheetId="20">#REF!</definedName>
    <definedName name="LKI">#REF!</definedName>
    <definedName name="lo" localSheetId="9">#REF!</definedName>
    <definedName name="lo" localSheetId="12">#REF!</definedName>
    <definedName name="lo" localSheetId="15">#REF!</definedName>
    <definedName name="lo" localSheetId="20">#REF!</definedName>
    <definedName name="lo">#REF!</definedName>
    <definedName name="Load_and_cart_away" localSheetId="9">#REF!</definedName>
    <definedName name="Load_and_cart_away" localSheetId="12">#REF!</definedName>
    <definedName name="Load_and_cart_away" localSheetId="15">#REF!</definedName>
    <definedName name="Load_and_cart_away" localSheetId="20">#REF!</definedName>
    <definedName name="Load_and_cart_away">#REF!</definedName>
    <definedName name="lop" localSheetId="9">#REF!</definedName>
    <definedName name="lop" localSheetId="12">#REF!</definedName>
    <definedName name="lop" localSheetId="15">#REF!</definedName>
    <definedName name="lop" localSheetId="20">#REF!</definedName>
    <definedName name="lop">#REF!</definedName>
    <definedName name="M.O.S" localSheetId="9">#REF!</definedName>
    <definedName name="M.O.S" localSheetId="12">#REF!</definedName>
    <definedName name="M.O.S" localSheetId="15">#REF!</definedName>
    <definedName name="M.O.S" localSheetId="20">#REF!</definedName>
    <definedName name="M.O.S">#REF!</definedName>
    <definedName name="Masindi_conversion_rate">#REF!</definedName>
    <definedName name="MATERIALS" localSheetId="9">#REF!</definedName>
    <definedName name="MATERIALS" localSheetId="12">#REF!</definedName>
    <definedName name="MATERIALS" localSheetId="15">#REF!</definedName>
    <definedName name="MATERIALS" localSheetId="20">#REF!</definedName>
    <definedName name="MATERIALS">#REF!</definedName>
    <definedName name="Maxpan_Slab_225mm" localSheetId="9">#REF!</definedName>
    <definedName name="Maxpan_Slab_225mm" localSheetId="12">#REF!</definedName>
    <definedName name="Maxpan_Slab_225mm" localSheetId="15">#REF!</definedName>
    <definedName name="Maxpan_Slab_225mm" localSheetId="20">#REF!</definedName>
    <definedName name="Maxpan_Slab_225mm">#REF!</definedName>
    <definedName name="MCS" localSheetId="9">#REF!</definedName>
    <definedName name="MCS" localSheetId="12">#REF!</definedName>
    <definedName name="MCS" localSheetId="15">#REF!</definedName>
    <definedName name="MCS" localSheetId="20">#REF!</definedName>
    <definedName name="MCS">#REF!</definedName>
    <definedName name="mjhhg" localSheetId="9">#REF!</definedName>
    <definedName name="mjhhg" localSheetId="12">#REF!</definedName>
    <definedName name="mjhhg" localSheetId="15">#REF!</definedName>
    <definedName name="mjhhg" localSheetId="20">#REF!</definedName>
    <definedName name="mjhhg">#REF!</definedName>
    <definedName name="MJJ" localSheetId="9">#REF!</definedName>
    <definedName name="MJJ" localSheetId="12">#REF!</definedName>
    <definedName name="MJJ" localSheetId="15">#REF!</definedName>
    <definedName name="MJJ" localSheetId="20">#REF!</definedName>
    <definedName name="MJJ">#REF!</definedName>
    <definedName name="mjkh" localSheetId="9">#REF!</definedName>
    <definedName name="mjkh" localSheetId="12">#REF!</definedName>
    <definedName name="mjkh" localSheetId="15">#REF!</definedName>
    <definedName name="mjkh" localSheetId="20">#REF!</definedName>
    <definedName name="mjkh">#REF!</definedName>
    <definedName name="Murram_Fill_150mm_Layers" localSheetId="9">#REF!</definedName>
    <definedName name="Murram_Fill_150mm_Layers" localSheetId="12">#REF!</definedName>
    <definedName name="Murram_Fill_150mm_Layers" localSheetId="15">#REF!</definedName>
    <definedName name="Murram_Fill_150mm_Layers" localSheetId="20">#REF!</definedName>
    <definedName name="Murram_Fill_150mm_Layers">#REF!</definedName>
    <definedName name="name" localSheetId="9">#REF!</definedName>
    <definedName name="name" localSheetId="12">#REF!</definedName>
    <definedName name="name" localSheetId="15">#REF!</definedName>
    <definedName name="name" localSheetId="20">#REF!</definedName>
    <definedName name="name">#REF!</definedName>
    <definedName name="nh" localSheetId="9">#REF!</definedName>
    <definedName name="nh" localSheetId="12">#REF!</definedName>
    <definedName name="nh" localSheetId="15">#REF!</definedName>
    <definedName name="nh" localSheetId="20">#REF!</definedName>
    <definedName name="nh">#REF!</definedName>
    <definedName name="nhbgg" localSheetId="9">#REF!</definedName>
    <definedName name="nhbgg" localSheetId="12">#REF!</definedName>
    <definedName name="nhbgg" localSheetId="15">#REF!</definedName>
    <definedName name="nhbgg" localSheetId="20">#REF!</definedName>
    <definedName name="nhbgg">#REF!</definedName>
    <definedName name="NM" localSheetId="9">#REF!</definedName>
    <definedName name="NM" localSheetId="12">#REF!</definedName>
    <definedName name="NM" localSheetId="15">#REF!</definedName>
    <definedName name="NM" localSheetId="20">#REF!</definedName>
    <definedName name="NM">#REF!</definedName>
    <definedName name="nonreturnvalves">#REF!</definedName>
    <definedName name="number">[2]Summary!#REF!</definedName>
    <definedName name="nuy" localSheetId="9">#REF!</definedName>
    <definedName name="nuy" localSheetId="12">#REF!</definedName>
    <definedName name="nuy" localSheetId="15">#REF!</definedName>
    <definedName name="nuy" localSheetId="20">#REF!</definedName>
    <definedName name="nuy">#REF!</definedName>
    <definedName name="Paint_BITUMINOUS" localSheetId="9">#REF!</definedName>
    <definedName name="Paint_BITUMINOUS" localSheetId="12">#REF!</definedName>
    <definedName name="Paint_BITUMINOUS" localSheetId="15">#REF!</definedName>
    <definedName name="Paint_BITUMINOUS" localSheetId="20">#REF!</definedName>
    <definedName name="Paint_BITUMINOUS">#REF!</definedName>
    <definedName name="Paint_CEILING" localSheetId="9">#REF!</definedName>
    <definedName name="Paint_CEILING" localSheetId="12">#REF!</definedName>
    <definedName name="Paint_CEILING" localSheetId="15">#REF!</definedName>
    <definedName name="Paint_CEILING" localSheetId="20">#REF!</definedName>
    <definedName name="Paint_CEILING">#REF!</definedName>
    <definedName name="Paint_CEILING_100_200mm" localSheetId="9">#REF!</definedName>
    <definedName name="Paint_CEILING_100_200mm" localSheetId="12">#REF!</definedName>
    <definedName name="Paint_CEILING_100_200mm" localSheetId="15">#REF!</definedName>
    <definedName name="Paint_CEILING_100_200mm" localSheetId="20">#REF!</definedName>
    <definedName name="Paint_CEILING_100_200mm">#REF!</definedName>
    <definedName name="Paint_MARMORAN" localSheetId="9">#REF!</definedName>
    <definedName name="Paint_MARMORAN" localSheetId="12">#REF!</definedName>
    <definedName name="Paint_MARMORAN" localSheetId="15">#REF!</definedName>
    <definedName name="Paint_MARMORAN" localSheetId="20">#REF!</definedName>
    <definedName name="Paint_MARMORAN">#REF!</definedName>
    <definedName name="Paint_POLYURETHANE_VARNISH" localSheetId="9">#REF!</definedName>
    <definedName name="Paint_POLYURETHANE_VARNISH" localSheetId="12">#REF!</definedName>
    <definedName name="Paint_POLYURETHANE_VARNISH" localSheetId="15">#REF!</definedName>
    <definedName name="Paint_POLYURETHANE_VARNISH" localSheetId="20">#REF!</definedName>
    <definedName name="Paint_POLYURETHANE_VARNISH">#REF!</definedName>
    <definedName name="Paint_POLYURETHANE_VARNISH_100mm" localSheetId="9">#REF!</definedName>
    <definedName name="Paint_POLYURETHANE_VARNISH_100mm" localSheetId="12">#REF!</definedName>
    <definedName name="Paint_POLYURETHANE_VARNISH_100mm" localSheetId="15">#REF!</definedName>
    <definedName name="Paint_POLYURETHANE_VARNISH_100mm" localSheetId="20">#REF!</definedName>
    <definedName name="Paint_POLYURETHANE_VARNISH_100mm">#REF!</definedName>
    <definedName name="Paint_POLYURETHANE_VARNISH_200_300mm" localSheetId="9">#REF!</definedName>
    <definedName name="Paint_POLYURETHANE_VARNISH_200_300mm" localSheetId="12">#REF!</definedName>
    <definedName name="Paint_POLYURETHANE_VARNISH_200_300mm" localSheetId="15">#REF!</definedName>
    <definedName name="Paint_POLYURETHANE_VARNISH_200_300mm" localSheetId="20">#REF!</definedName>
    <definedName name="Paint_POLYURETHANE_VARNISH_200_300mm">#REF!</definedName>
    <definedName name="Paint_ROADMARKING" localSheetId="9">#REF!</definedName>
    <definedName name="Paint_ROADMARKING" localSheetId="12">#REF!</definedName>
    <definedName name="Paint_ROADMARKING" localSheetId="15">#REF!</definedName>
    <definedName name="Paint_ROADMARKING" localSheetId="20">#REF!</definedName>
    <definedName name="Paint_ROADMARKING">#REF!</definedName>
    <definedName name="Paint_STEEL_200_300mm" localSheetId="9">#REF!</definedName>
    <definedName name="Paint_STEEL_200_300mm" localSheetId="12">#REF!</definedName>
    <definedName name="Paint_STEEL_200_300mm" localSheetId="15">#REF!</definedName>
    <definedName name="Paint_STEEL_200_300mm" localSheetId="20">#REF!</definedName>
    <definedName name="Paint_STEEL_200_300mm">#REF!</definedName>
    <definedName name="Paint_STEELWORK" localSheetId="9">#REF!</definedName>
    <definedName name="Paint_STEELWORK" localSheetId="12">#REF!</definedName>
    <definedName name="Paint_STEELWORK" localSheetId="15">#REF!</definedName>
    <definedName name="Paint_STEELWORK" localSheetId="20">#REF!</definedName>
    <definedName name="Paint_STEELWORK">#REF!</definedName>
    <definedName name="Paint_TIMBER_200_300mm" localSheetId="9">#REF!</definedName>
    <definedName name="Paint_TIMBER_200_300mm" localSheetId="12">#REF!</definedName>
    <definedName name="Paint_TIMBER_200_300mm" localSheetId="15">#REF!</definedName>
    <definedName name="Paint_TIMBER_200_300mm" localSheetId="20">#REF!</definedName>
    <definedName name="Paint_TIMBER_200_300mm">#REF!</definedName>
    <definedName name="Paint_VINYL_SILK" localSheetId="9">#REF!</definedName>
    <definedName name="Paint_VINYL_SILK" localSheetId="12">#REF!</definedName>
    <definedName name="Paint_VINYL_SILK" localSheetId="15">#REF!</definedName>
    <definedName name="Paint_VINYL_SILK" localSheetId="20">#REF!</definedName>
    <definedName name="Paint_VINYL_SILK">#REF!</definedName>
    <definedName name="Paint_WEATHERGUARD" localSheetId="9">#REF!</definedName>
    <definedName name="Paint_WEATHERGUARD" localSheetId="12">#REF!</definedName>
    <definedName name="Paint_WEATHERGUARD" localSheetId="15">#REF!</definedName>
    <definedName name="Paint_WEATHERGUARD" localSheetId="20">#REF!</definedName>
    <definedName name="Paint_WEATHERGUARD">#REF!</definedName>
    <definedName name="paiting">#REF!</definedName>
    <definedName name="Pavers_60mm" localSheetId="9">#REF!</definedName>
    <definedName name="Pavers_60mm" localSheetId="12">#REF!</definedName>
    <definedName name="Pavers_60mm" localSheetId="15">#REF!</definedName>
    <definedName name="Pavers_60mm" localSheetId="20">#REF!</definedName>
    <definedName name="Pavers_60mm">#REF!</definedName>
    <definedName name="Pavers_80mm" localSheetId="9">#REF!</definedName>
    <definedName name="Pavers_80mm" localSheetId="12">#REF!</definedName>
    <definedName name="Pavers_80mm" localSheetId="15">#REF!</definedName>
    <definedName name="Pavers_80mm" localSheetId="20">#REF!</definedName>
    <definedName name="Pavers_80mm">#REF!</definedName>
    <definedName name="Pergola" localSheetId="9">#REF!</definedName>
    <definedName name="Pergola" localSheetId="12">#REF!</definedName>
    <definedName name="Pergola" localSheetId="15">#REF!</definedName>
    <definedName name="Pergola" localSheetId="20">#REF!</definedName>
    <definedName name="Pergola">#REF!</definedName>
    <definedName name="pipes">#REF!</definedName>
    <definedName name="Plain_GI_Sheet_32G" localSheetId="9">#REF!</definedName>
    <definedName name="Plain_GI_Sheet_32G" localSheetId="12">#REF!</definedName>
    <definedName name="Plain_GI_Sheet_32G" localSheetId="15">#REF!</definedName>
    <definedName name="Plain_GI_Sheet_32G" localSheetId="20">#REF!</definedName>
    <definedName name="Plain_GI_Sheet_32G">#REF!</definedName>
    <definedName name="Planting_GRASS" localSheetId="9">#REF!</definedName>
    <definedName name="Planting_GRASS" localSheetId="12">#REF!</definedName>
    <definedName name="Planting_GRASS" localSheetId="15">#REF!</definedName>
    <definedName name="Planting_GRASS" localSheetId="20">#REF!</definedName>
    <definedName name="Planting_GRASS">#REF!</definedName>
    <definedName name="Planting_SMALL_TREES" localSheetId="9">#REF!</definedName>
    <definedName name="Planting_SMALL_TREES" localSheetId="12">#REF!</definedName>
    <definedName name="Planting_SMALL_TREES" localSheetId="15">#REF!</definedName>
    <definedName name="Planting_SMALL_TREES" localSheetId="20">#REF!</definedName>
    <definedName name="Planting_SMALL_TREES">#REF!</definedName>
    <definedName name="POL" localSheetId="9">#REF!</definedName>
    <definedName name="POL" localSheetId="12">#REF!</definedName>
    <definedName name="POL" localSheetId="15">#REF!</definedName>
    <definedName name="POL" localSheetId="20">#REF!</definedName>
    <definedName name="POL">#REF!</definedName>
    <definedName name="PP" localSheetId="9">#REF!</definedName>
    <definedName name="PP" localSheetId="12">#REF!</definedName>
    <definedName name="PP" localSheetId="15">#REF!</definedName>
    <definedName name="PP" localSheetId="20">#REF!</definedName>
    <definedName name="PP">#REF!</definedName>
    <definedName name="pre" localSheetId="9">#REF!</definedName>
    <definedName name="pre" localSheetId="12">#REF!</definedName>
    <definedName name="pre" localSheetId="15">#REF!</definedName>
    <definedName name="pre" localSheetId="20">#REF!</definedName>
    <definedName name="pre">#REF!</definedName>
    <definedName name="_xlnm.Print_Area" localSheetId="7">'Bill No.4 Electrical Inst.'!$B$1:$H$671</definedName>
    <definedName name="_xlnm.Print_Area" localSheetId="13">'Bill No.6 Fire fighting Inst.'!$A$1:$H$322</definedName>
    <definedName name="_xlnm.Print_Area" localSheetId="18">'Bill No.8 Lift Inst.'!$B$1:$H$37</definedName>
    <definedName name="_xlnm.Print_Area" localSheetId="21">'Bill No.9 ICT Inst.'!$A$1:$H$300</definedName>
    <definedName name="_xlnm.Print_Area" localSheetId="0">'Cover Page '!$A$1:$E$26</definedName>
    <definedName name="_xlnm.Print_Area" localSheetId="5">#REF!</definedName>
    <definedName name="_xlnm.Print_Area" localSheetId="8">#REF!</definedName>
    <definedName name="_xlnm.Print_Area" localSheetId="11">#REF!</definedName>
    <definedName name="_xlnm.Print_Area" localSheetId="14">#REF!</definedName>
    <definedName name="_xlnm.Print_Area" localSheetId="17">#REF!</definedName>
    <definedName name="_xlnm.Print_Area" localSheetId="19">#REF!</definedName>
    <definedName name="_xlnm.Print_Area" localSheetId="1">#REF!</definedName>
    <definedName name="_xlnm.Print_Area" localSheetId="4">'Main Contract'!$A$1:$H$822</definedName>
    <definedName name="_xlnm.Print_Area" localSheetId="2">'Main Summary'!$A$1:$H$37</definedName>
    <definedName name="_xlnm.Print_Area" localSheetId="6">'Sum. Bill No.4'!$A$1:$F$28</definedName>
    <definedName name="_xlnm.Print_Area" localSheetId="9">'Sum. Bill No.5'!$A$1:$F$27</definedName>
    <definedName name="_xlnm.Print_Area" localSheetId="12">'Sum. Bill No.6'!$A$1:$F$27</definedName>
    <definedName name="_xlnm.Print_Area" localSheetId="15">'Sum. Bill No.7'!$A$1:$F$25</definedName>
    <definedName name="_xlnm.Print_Area" localSheetId="20">'Sum. Bill No.9'!$A$1:$F$25</definedName>
    <definedName name="_xlnm.Print_Area">#REF!</definedName>
    <definedName name="Print_Area1" localSheetId="9">#REF!</definedName>
    <definedName name="Print_Area1" localSheetId="12">#REF!</definedName>
    <definedName name="Print_Area1" localSheetId="15">#REF!</definedName>
    <definedName name="Print_Area1" localSheetId="20">#REF!</definedName>
    <definedName name="Print_Area1">#REF!</definedName>
    <definedName name="Print_Area2" localSheetId="9">#REF!</definedName>
    <definedName name="Print_Area2" localSheetId="12">#REF!</definedName>
    <definedName name="Print_Area2" localSheetId="15">#REF!</definedName>
    <definedName name="Print_Area2" localSheetId="20">#REF!</definedName>
    <definedName name="Print_Area2">#REF!</definedName>
    <definedName name="Print_Area3" localSheetId="9">#REF!</definedName>
    <definedName name="Print_Area3" localSheetId="12">#REF!</definedName>
    <definedName name="Print_Area3" localSheetId="15">#REF!</definedName>
    <definedName name="Print_Area3" localSheetId="20">#REF!</definedName>
    <definedName name="Print_Area3">#REF!</definedName>
    <definedName name="Print_area5" localSheetId="9">#REF!</definedName>
    <definedName name="Print_area5" localSheetId="12">#REF!</definedName>
    <definedName name="Print_area5" localSheetId="15">#REF!</definedName>
    <definedName name="Print_area5" localSheetId="20">#REF!</definedName>
    <definedName name="Print_area5">#REF!</definedName>
    <definedName name="_xlnm.Print_Titles" localSheetId="16">'Bill No 7 HVAC'!$1:$3</definedName>
    <definedName name="_xlnm.Print_Titles" localSheetId="7">'Bill No.4 Electrical Inst.'!$1:$2</definedName>
    <definedName name="_xlnm.Print_Titles" localSheetId="10">'Bill No.5 Mechanical Inst.'!$1:$2</definedName>
    <definedName name="_xlnm.Print_Titles" localSheetId="13">'Bill No.6 Fire fighting Inst.'!$1:$2</definedName>
    <definedName name="_xlnm.Print_Titles" localSheetId="18">'Bill No.8 Lift Inst.'!$1:$2</definedName>
    <definedName name="_xlnm.Print_Titles" localSheetId="21">'Bill No.9 ICT Inst.'!$1:$2</definedName>
    <definedName name="_xlnm.Print_Titles" localSheetId="4">'Main Contract'!$1:$2</definedName>
    <definedName name="_xlnm.Print_Titles">#REF!</definedName>
    <definedName name="protectivelayers">#REF!</definedName>
    <definedName name="PVC_Downpipe" localSheetId="9">#REF!</definedName>
    <definedName name="PVC_Downpipe" localSheetId="12">#REF!</definedName>
    <definedName name="PVC_Downpipe" localSheetId="15">#REF!</definedName>
    <definedName name="PVC_Downpipe" localSheetId="20">#REF!</definedName>
    <definedName name="PVC_Downpipe">#REF!</definedName>
    <definedName name="Quadrant_25mm" localSheetId="9">#REF!</definedName>
    <definedName name="Quadrant_25mm" localSheetId="12">#REF!</definedName>
    <definedName name="Quadrant_25mm" localSheetId="15">#REF!</definedName>
    <definedName name="Quadrant_25mm" localSheetId="20">#REF!</definedName>
    <definedName name="Quadrant_25mm">#REF!</definedName>
    <definedName name="qwww" localSheetId="9">#REF!</definedName>
    <definedName name="qwww" localSheetId="12">#REF!</definedName>
    <definedName name="qwww" localSheetId="15">#REF!</definedName>
    <definedName name="qwww" localSheetId="20">#REF!</definedName>
    <definedName name="qwww">#REF!</definedName>
    <definedName name="Rainwater_shoe" localSheetId="9">#REF!</definedName>
    <definedName name="Rainwater_shoe" localSheetId="12">#REF!</definedName>
    <definedName name="Rainwater_shoe" localSheetId="15">#REF!</definedName>
    <definedName name="Rainwater_shoe" localSheetId="20">#REF!</definedName>
    <definedName name="Rainwater_shoe">#REF!</definedName>
    <definedName name="rate">[6]Sheet2!$A$1:$B$35</definedName>
    <definedName name="Rebar_10_25mm" localSheetId="9">#REF!</definedName>
    <definedName name="Rebar_10_25mm" localSheetId="12">#REF!</definedName>
    <definedName name="Rebar_10_25mm" localSheetId="15">#REF!</definedName>
    <definedName name="Rebar_10_25mm" localSheetId="20">#REF!</definedName>
    <definedName name="Rebar_10_25mm">#REF!</definedName>
    <definedName name="Rebar_8mm" localSheetId="9">#REF!</definedName>
    <definedName name="Rebar_8mm" localSheetId="12">#REF!</definedName>
    <definedName name="Rebar_8mm" localSheetId="15">#REF!</definedName>
    <definedName name="Rebar_8mm" localSheetId="20">#REF!</definedName>
    <definedName name="Rebar_8mm">#REF!</definedName>
    <definedName name="red" localSheetId="9">#REF!</definedName>
    <definedName name="red" localSheetId="12">#REF!</definedName>
    <definedName name="red" localSheetId="15">#REF!</definedName>
    <definedName name="red" localSheetId="20">#REF!</definedName>
    <definedName name="red">#REF!</definedName>
    <definedName name="Render_15mm_walls" localSheetId="9">#REF!</definedName>
    <definedName name="Render_15mm_walls" localSheetId="12">#REF!</definedName>
    <definedName name="Render_15mm_walls" localSheetId="15">#REF!</definedName>
    <definedName name="Render_15mm_walls" localSheetId="20">#REF!</definedName>
    <definedName name="Render_15mm_walls">#REF!</definedName>
    <definedName name="rendering">#REF!</definedName>
    <definedName name="rer" localSheetId="9">#REF!</definedName>
    <definedName name="rer" localSheetId="12">#REF!</definedName>
    <definedName name="rer" localSheetId="15">#REF!</definedName>
    <definedName name="rer" localSheetId="20">#REF!</definedName>
    <definedName name="rer">#REF!</definedName>
    <definedName name="rerer">#REF!</definedName>
    <definedName name="Return_Fill_and_Ram" localSheetId="9">#REF!</definedName>
    <definedName name="Return_Fill_and_Ram" localSheetId="12">#REF!</definedName>
    <definedName name="Return_Fill_and_Ram" localSheetId="15">#REF!</definedName>
    <definedName name="Return_Fill_and_Ram" localSheetId="20">#REF!</definedName>
    <definedName name="Return_Fill_and_Ram">#REF!</definedName>
    <definedName name="rfe" localSheetId="9">#REF!</definedName>
    <definedName name="rfe" localSheetId="12">#REF!</definedName>
    <definedName name="rfe" localSheetId="15">#REF!</definedName>
    <definedName name="rfe" localSheetId="20">#REF!</definedName>
    <definedName name="rfe">#REF!</definedName>
    <definedName name="rgthy" localSheetId="9">#REF!</definedName>
    <definedName name="rgthy" localSheetId="12">#REF!</definedName>
    <definedName name="rgthy" localSheetId="15">#REF!</definedName>
    <definedName name="rgthy" localSheetId="20">#REF!</definedName>
    <definedName name="rgthy">#REF!</definedName>
    <definedName name="Ridge_CLAY" localSheetId="9">#REF!</definedName>
    <definedName name="Ridge_CLAY" localSheetId="12">#REF!</definedName>
    <definedName name="Ridge_CLAY" localSheetId="15">#REF!</definedName>
    <definedName name="Ridge_CLAY" localSheetId="20">#REF!</definedName>
    <definedName name="Ridge_CLAY">#REF!</definedName>
    <definedName name="RR" localSheetId="9">#REF!</definedName>
    <definedName name="RR" localSheetId="12">#REF!</definedName>
    <definedName name="RR" localSheetId="15">#REF!</definedName>
    <definedName name="RR" localSheetId="20">#REF!</definedName>
    <definedName name="RR">#REF!</definedName>
    <definedName name="RT" localSheetId="9">#REF!</definedName>
    <definedName name="RT" localSheetId="12">#REF!</definedName>
    <definedName name="RT" localSheetId="15">#REF!</definedName>
    <definedName name="RT" localSheetId="20">#REF!</definedName>
    <definedName name="RT">#REF!</definedName>
    <definedName name="S" localSheetId="9">#REF!</definedName>
    <definedName name="S" localSheetId="12">#REF!</definedName>
    <definedName name="S" localSheetId="15">#REF!</definedName>
    <definedName name="S" localSheetId="20">#REF!</definedName>
    <definedName name="S">#REF!</definedName>
    <definedName name="Sand_Blinding_50mm" localSheetId="9">#REF!</definedName>
    <definedName name="Sand_Blinding_50mm" localSheetId="12">#REF!</definedName>
    <definedName name="Sand_Blinding_50mm" localSheetId="15">#REF!</definedName>
    <definedName name="Sand_Blinding_50mm" localSheetId="20">#REF!</definedName>
    <definedName name="Sand_Blinding_50mm">#REF!</definedName>
    <definedName name="Screed_40mm" localSheetId="9">#REF!</definedName>
    <definedName name="Screed_40mm" localSheetId="12">#REF!</definedName>
    <definedName name="Screed_40mm" localSheetId="15">#REF!</definedName>
    <definedName name="Screed_40mm" localSheetId="20">#REF!</definedName>
    <definedName name="Screed_40mm">#REF!</definedName>
    <definedName name="Screed_40mm_150mm_wide" localSheetId="9">#REF!</definedName>
    <definedName name="Screed_40mm_150mm_wide" localSheetId="12">#REF!</definedName>
    <definedName name="Screed_40mm_150mm_wide" localSheetId="15">#REF!</definedName>
    <definedName name="Screed_40mm_150mm_wide" localSheetId="20">#REF!</definedName>
    <definedName name="Screed_40mm_150mm_wide">#REF!</definedName>
    <definedName name="Screed_40mm_300mm_wide" localSheetId="9">#REF!</definedName>
    <definedName name="Screed_40mm_300mm_wide" localSheetId="12">#REF!</definedName>
    <definedName name="Screed_40mm_300mm_wide" localSheetId="15">#REF!</definedName>
    <definedName name="Screed_40mm_300mm_wide" localSheetId="20">#REF!</definedName>
    <definedName name="Screed_40mm_300mm_wide">#REF!</definedName>
    <definedName name="Section" localSheetId="9">#REF!</definedName>
    <definedName name="Section" localSheetId="12">#REF!</definedName>
    <definedName name="Section" localSheetId="15">#REF!</definedName>
    <definedName name="Section" localSheetId="20">#REF!</definedName>
    <definedName name="Section">#REF!</definedName>
    <definedName name="Ser" localSheetId="9">#REF!</definedName>
    <definedName name="Ser" localSheetId="12">#REF!</definedName>
    <definedName name="Ser" localSheetId="15">#REF!</definedName>
    <definedName name="Ser" localSheetId="20">#REF!</definedName>
    <definedName name="Ser">#REF!</definedName>
    <definedName name="Site_Clearance" localSheetId="9">#REF!</definedName>
    <definedName name="Site_Clearance" localSheetId="12">#REF!</definedName>
    <definedName name="Site_Clearance" localSheetId="15">#REF!</definedName>
    <definedName name="Site_Clearance" localSheetId="20">#REF!</definedName>
    <definedName name="Site_Clearance">#REF!</definedName>
    <definedName name="Skirting_TILE_100mm" localSheetId="9">#REF!</definedName>
    <definedName name="Skirting_TILE_100mm" localSheetId="12">#REF!</definedName>
    <definedName name="Skirting_TILE_100mm" localSheetId="15">#REF!</definedName>
    <definedName name="Skirting_TILE_100mm" localSheetId="20">#REF!</definedName>
    <definedName name="Skirting_TILE_100mm">#REF!</definedName>
    <definedName name="SOROTINEW" localSheetId="9">#REF!</definedName>
    <definedName name="SOROTINEW" localSheetId="12">#REF!</definedName>
    <definedName name="SOROTINEW" localSheetId="15">#REF!</definedName>
    <definedName name="SOROTINEW" localSheetId="20">#REF!</definedName>
    <definedName name="SOROTINEW">#REF!</definedName>
    <definedName name="Splash_Apron" localSheetId="9">#REF!</definedName>
    <definedName name="Splash_Apron" localSheetId="12">#REF!</definedName>
    <definedName name="Splash_Apron" localSheetId="15">#REF!</definedName>
    <definedName name="Splash_Apron" localSheetId="20">#REF!</definedName>
    <definedName name="Splash_Apron">#REF!</definedName>
    <definedName name="Splash_Apron_DOWNSTAND" localSheetId="9">#REF!</definedName>
    <definedName name="Splash_Apron_DOWNSTAND" localSheetId="12">#REF!</definedName>
    <definedName name="Splash_Apron_DOWNSTAND" localSheetId="15">#REF!</definedName>
    <definedName name="Splash_Apron_DOWNSTAND" localSheetId="20">#REF!</definedName>
    <definedName name="Splash_Apron_DOWNSTAND">#REF!</definedName>
    <definedName name="sss">#REF!</definedName>
    <definedName name="Steel_Grille_600_x_2000mm" localSheetId="9">#REF!</definedName>
    <definedName name="Steel_Grille_600_x_2000mm" localSheetId="12">#REF!</definedName>
    <definedName name="Steel_Grille_600_x_2000mm" localSheetId="15">#REF!</definedName>
    <definedName name="Steel_Grille_600_x_2000mm" localSheetId="20">#REF!</definedName>
    <definedName name="Steel_Grille_600_x_2000mm">#REF!</definedName>
    <definedName name="Steel_Grille_720x2000mm" localSheetId="9">#REF!</definedName>
    <definedName name="Steel_Grille_720x2000mm" localSheetId="12">#REF!</definedName>
    <definedName name="Steel_Grille_720x2000mm" localSheetId="15">#REF!</definedName>
    <definedName name="Steel_Grille_720x2000mm" localSheetId="20">#REF!</definedName>
    <definedName name="Steel_Grille_720x2000mm">#REF!</definedName>
    <definedName name="Stone_Base_150mm" localSheetId="9">#REF!</definedName>
    <definedName name="Stone_Base_150mm" localSheetId="12">#REF!</definedName>
    <definedName name="Stone_Base_150mm" localSheetId="15">#REF!</definedName>
    <definedName name="Stone_Base_150mm" localSheetId="20">#REF!</definedName>
    <definedName name="Stone_Base_150mm">#REF!</definedName>
    <definedName name="Structural_Steelwork" localSheetId="9">#REF!</definedName>
    <definedName name="Structural_Steelwork" localSheetId="12">#REF!</definedName>
    <definedName name="Structural_Steelwork" localSheetId="15">#REF!</definedName>
    <definedName name="Structural_Steelwork" localSheetId="20">#REF!</definedName>
    <definedName name="Structural_Steelwork">#REF!</definedName>
    <definedName name="Summaryx" localSheetId="9">#REF!</definedName>
    <definedName name="Summaryx" localSheetId="12">#REF!</definedName>
    <definedName name="Summaryx" localSheetId="15">#REF!</definedName>
    <definedName name="Summaryx" localSheetId="20">#REF!</definedName>
    <definedName name="Summaryx">#REF!</definedName>
    <definedName name="sw" localSheetId="9">#REF!</definedName>
    <definedName name="sw" localSheetId="12">#REF!</definedName>
    <definedName name="sw" localSheetId="15">#REF!</definedName>
    <definedName name="sw" localSheetId="20">#REF!</definedName>
    <definedName name="sw">#REF!</definedName>
    <definedName name="Tapers">#REF!</definedName>
    <definedName name="Tariff_Charged">#REF!</definedName>
    <definedName name="Tarmc_50mm" localSheetId="9">#REF!</definedName>
    <definedName name="Tarmc_50mm" localSheetId="12">#REF!</definedName>
    <definedName name="Tarmc_50mm" localSheetId="15">#REF!</definedName>
    <definedName name="Tarmc_50mm" localSheetId="20">#REF!</definedName>
    <definedName name="Tarmc_50mm">#REF!</definedName>
    <definedName name="tghyj" localSheetId="9">#REF!</definedName>
    <definedName name="tghyj" localSheetId="12">#REF!</definedName>
    <definedName name="tghyj" localSheetId="15">#REF!</definedName>
    <definedName name="tghyj" localSheetId="20">#REF!</definedName>
    <definedName name="tghyj">#REF!</definedName>
    <definedName name="tghyy" localSheetId="9">#REF!</definedName>
    <definedName name="tghyy" localSheetId="12">#REF!</definedName>
    <definedName name="tghyy" localSheetId="15">#REF!</definedName>
    <definedName name="tghyy" localSheetId="20">#REF!</definedName>
    <definedName name="tghyy">#REF!</definedName>
    <definedName name="Tile_BORDER_150x75mm" localSheetId="9">#REF!</definedName>
    <definedName name="Tile_BORDER_150x75mm" localSheetId="12">#REF!</definedName>
    <definedName name="Tile_BORDER_150x75mm" localSheetId="15">#REF!</definedName>
    <definedName name="Tile_BORDER_150x75mm" localSheetId="20">#REF!</definedName>
    <definedName name="Tile_BORDER_150x75mm">#REF!</definedName>
    <definedName name="Tile_ROUNDED_TOP" localSheetId="9">#REF!</definedName>
    <definedName name="Tile_ROUNDED_TOP" localSheetId="12">#REF!</definedName>
    <definedName name="Tile_ROUNDED_TOP" localSheetId="15">#REF!</definedName>
    <definedName name="Tile_ROUNDED_TOP" localSheetId="20">#REF!</definedName>
    <definedName name="Tile_ROUNDED_TOP">#REF!</definedName>
    <definedName name="Tile_WALLING" localSheetId="9">#REF!</definedName>
    <definedName name="Tile_WALLING" localSheetId="12">#REF!</definedName>
    <definedName name="Tile_WALLING" localSheetId="15">#REF!</definedName>
    <definedName name="Tile_WALLING" localSheetId="20">#REF!</definedName>
    <definedName name="Tile_WALLING">#REF!</definedName>
    <definedName name="Tiles_CERAMIC_FLOOR_150mm" localSheetId="9">#REF!</definedName>
    <definedName name="Tiles_CERAMIC_FLOOR_150mm" localSheetId="12">#REF!</definedName>
    <definedName name="Tiles_CERAMIC_FLOOR_150mm" localSheetId="15">#REF!</definedName>
    <definedName name="Tiles_CERAMIC_FLOOR_150mm" localSheetId="20">#REF!</definedName>
    <definedName name="Tiles_CERAMIC_FLOOR_150mm">#REF!</definedName>
    <definedName name="Tiles_CERAMIC_FLOOR_300mm" localSheetId="9">#REF!</definedName>
    <definedName name="Tiles_CERAMIC_FLOOR_300mm" localSheetId="12">#REF!</definedName>
    <definedName name="Tiles_CERAMIC_FLOOR_300mm" localSheetId="15">#REF!</definedName>
    <definedName name="Tiles_CERAMIC_FLOOR_300mm" localSheetId="20">#REF!</definedName>
    <definedName name="Tiles_CERAMIC_FLOOR_300mm">#REF!</definedName>
    <definedName name="Tiles_CERAMIC_FLOOR_300x300mm" localSheetId="9">#REF!</definedName>
    <definedName name="Tiles_CERAMIC_FLOOR_300x300mm" localSheetId="12">#REF!</definedName>
    <definedName name="Tiles_CERAMIC_FLOOR_300x300mm" localSheetId="15">#REF!</definedName>
    <definedName name="Tiles_CERAMIC_FLOOR_300x300mm" localSheetId="20">#REF!</definedName>
    <definedName name="Tiles_CERAMIC_FLOOR_300x300mm">#REF!</definedName>
    <definedName name="Tiles_CERAMIC_FLOOR_450x450mm" localSheetId="9">#REF!</definedName>
    <definedName name="Tiles_CERAMIC_FLOOR_450x450mm" localSheetId="12">#REF!</definedName>
    <definedName name="Tiles_CERAMIC_FLOOR_450x450mm" localSheetId="15">#REF!</definedName>
    <definedName name="Tiles_CERAMIC_FLOOR_450x450mm" localSheetId="20">#REF!</definedName>
    <definedName name="Tiles_CERAMIC_FLOOR_450x450mm">#REF!</definedName>
    <definedName name="Timber_Battens_50x25mm" localSheetId="9">#REF!</definedName>
    <definedName name="Timber_Battens_50x25mm" localSheetId="12">#REF!</definedName>
    <definedName name="Timber_Battens_50x25mm" localSheetId="15">#REF!</definedName>
    <definedName name="Timber_Battens_50x25mm" localSheetId="20">#REF!</definedName>
    <definedName name="Timber_Battens_50x25mm">#REF!</definedName>
    <definedName name="TREW" localSheetId="9">#REF!</definedName>
    <definedName name="TREW" localSheetId="12">#REF!</definedName>
    <definedName name="TREW" localSheetId="15">#REF!</definedName>
    <definedName name="TREW" localSheetId="20">#REF!</definedName>
    <definedName name="TREW">#REF!</definedName>
    <definedName name="tugh" localSheetId="9">#REF!</definedName>
    <definedName name="tugh" localSheetId="12">#REF!</definedName>
    <definedName name="tugh" localSheetId="15">#REF!</definedName>
    <definedName name="tugh" localSheetId="20">#REF!</definedName>
    <definedName name="tugh">#REF!</definedName>
    <definedName name="tyutut" localSheetId="9">#REF!</definedName>
    <definedName name="tyutut" localSheetId="12">#REF!</definedName>
    <definedName name="tyutut" localSheetId="15">#REF!</definedName>
    <definedName name="tyutut" localSheetId="20">#REF!</definedName>
    <definedName name="tyutut">#REF!</definedName>
    <definedName name="tyuuit" localSheetId="9">#REF!</definedName>
    <definedName name="tyuuit" localSheetId="12">#REF!</definedName>
    <definedName name="tyuuit" localSheetId="15">#REF!</definedName>
    <definedName name="tyuuit" localSheetId="20">#REF!</definedName>
    <definedName name="tyuuit">#REF!</definedName>
    <definedName name="U" localSheetId="9">#REF!</definedName>
    <definedName name="U" localSheetId="12">#REF!</definedName>
    <definedName name="U" localSheetId="15">#REF!</definedName>
    <definedName name="U" localSheetId="20">#REF!</definedName>
    <definedName name="U">#REF!</definedName>
    <definedName name="UIYTTR" localSheetId="9">#REF!</definedName>
    <definedName name="UIYTTR" localSheetId="12">#REF!</definedName>
    <definedName name="UIYTTR" localSheetId="15">#REF!</definedName>
    <definedName name="UIYTTR" localSheetId="20">#REF!</definedName>
    <definedName name="UIYTTR">#REF!</definedName>
    <definedName name="utuy" localSheetId="9">#REF!</definedName>
    <definedName name="utuy" localSheetId="12">#REF!</definedName>
    <definedName name="utuy" localSheetId="15">#REF!</definedName>
    <definedName name="utuy" localSheetId="20">#REF!</definedName>
    <definedName name="utuy">#REF!</definedName>
    <definedName name="UY" localSheetId="9">#REF!</definedName>
    <definedName name="UY" localSheetId="12">#REF!</definedName>
    <definedName name="UY" localSheetId="15">#REF!</definedName>
    <definedName name="UY" localSheetId="20">#REF!</definedName>
    <definedName name="UY">#REF!</definedName>
    <definedName name="uyut" localSheetId="9">#REF!</definedName>
    <definedName name="uyut" localSheetId="12">#REF!</definedName>
    <definedName name="uyut" localSheetId="15">#REF!</definedName>
    <definedName name="uyut" localSheetId="20">#REF!</definedName>
    <definedName name="uyut">#REF!</definedName>
    <definedName name="Valley_sheet_24G_500mm" localSheetId="9">#REF!</definedName>
    <definedName name="Valley_sheet_24G_500mm" localSheetId="12">#REF!</definedName>
    <definedName name="Valley_sheet_24G_500mm" localSheetId="15">#REF!</definedName>
    <definedName name="Valley_sheet_24G_500mm" localSheetId="20">#REF!</definedName>
    <definedName name="Valley_sheet_24G_500mm">#REF!</definedName>
    <definedName name="valves">#REF!</definedName>
    <definedName name="VARIATION" localSheetId="9">#REF!</definedName>
    <definedName name="VARIATION" localSheetId="12">#REF!</definedName>
    <definedName name="VARIATION" localSheetId="15">#REF!</definedName>
    <definedName name="VARIATION" localSheetId="20">#REF!</definedName>
    <definedName name="VARIATION">#REF!</definedName>
    <definedName name="variations" localSheetId="9">#REF!</definedName>
    <definedName name="variations" localSheetId="12">#REF!</definedName>
    <definedName name="variations" localSheetId="15">#REF!</definedName>
    <definedName name="variations" localSheetId="20">#REF!</definedName>
    <definedName name="variations">#REF!</definedName>
    <definedName name="vcd" localSheetId="9">#REF!</definedName>
    <definedName name="vcd" localSheetId="12">#REF!</definedName>
    <definedName name="vcd" localSheetId="15">#REF!</definedName>
    <definedName name="vcd" localSheetId="20">#REF!</definedName>
    <definedName name="vcd">#REF!</definedName>
    <definedName name="W" localSheetId="9">#REF!</definedName>
    <definedName name="W" localSheetId="12">#REF!</definedName>
    <definedName name="W" localSheetId="15">#REF!</definedName>
    <definedName name="W" localSheetId="20">#REF!</definedName>
    <definedName name="W">#REF!</definedName>
    <definedName name="Waterbar">#REF!</definedName>
    <definedName name="watermeter">#REF!</definedName>
    <definedName name="waterproofing">#REF!</definedName>
    <definedName name="Waterproofing_4mm_thick" localSheetId="9">#REF!</definedName>
    <definedName name="Waterproofing_4mm_thick" localSheetId="12">#REF!</definedName>
    <definedName name="Waterproofing_4mm_thick" localSheetId="15">#REF!</definedName>
    <definedName name="Waterproofing_4mm_thick" localSheetId="20">#REF!</definedName>
    <definedName name="Waterproofing_4mm_thick">#REF!</definedName>
    <definedName name="wd" localSheetId="9">#REF!</definedName>
    <definedName name="wd" localSheetId="12">#REF!</definedName>
    <definedName name="wd" localSheetId="15">#REF!</definedName>
    <definedName name="wd" localSheetId="20">#REF!</definedName>
    <definedName name="wd">#REF!</definedName>
    <definedName name="wedw">#REF!</definedName>
    <definedName name="wefrfff" localSheetId="9">#REF!</definedName>
    <definedName name="wefrfff" localSheetId="12">#REF!</definedName>
    <definedName name="wefrfff" localSheetId="15">#REF!</definedName>
    <definedName name="wefrfff" localSheetId="20">#REF!</definedName>
    <definedName name="wefrfff">#REF!</definedName>
    <definedName name="Window_Boards_150x25mm" localSheetId="9">#REF!</definedName>
    <definedName name="Window_Boards_150x25mm" localSheetId="12">#REF!</definedName>
    <definedName name="Window_Boards_150x25mm" localSheetId="15">#REF!</definedName>
    <definedName name="Window_Boards_150x25mm" localSheetId="20">#REF!</definedName>
    <definedName name="Window_Boards_150x25mm">#REF!</definedName>
    <definedName name="Window_cill_275x50mm" localSheetId="9">#REF!</definedName>
    <definedName name="Window_cill_275x50mm" localSheetId="12">#REF!</definedName>
    <definedName name="Window_cill_275x50mm" localSheetId="15">#REF!</definedName>
    <definedName name="Window_cill_275x50mm" localSheetId="20">#REF!</definedName>
    <definedName name="Window_cill_275x50mm">#REF!</definedName>
    <definedName name="Windows_ALUMINIUM" localSheetId="9">#REF!</definedName>
    <definedName name="Windows_ALUMINIUM" localSheetId="12">#REF!</definedName>
    <definedName name="Windows_ALUMINIUM" localSheetId="15">#REF!</definedName>
    <definedName name="Windows_ALUMINIUM" localSheetId="20">#REF!</definedName>
    <definedName name="Windows_ALUMINIUM">#REF!</definedName>
    <definedName name="Windows_ALUMINIUM_FIXED_LIGHT" localSheetId="9">#REF!</definedName>
    <definedName name="Windows_ALUMINIUM_FIXED_LIGHT" localSheetId="12">#REF!</definedName>
    <definedName name="Windows_ALUMINIUM_FIXED_LIGHT" localSheetId="15">#REF!</definedName>
    <definedName name="Windows_ALUMINIUM_FIXED_LIGHT" localSheetId="20">#REF!</definedName>
    <definedName name="Windows_ALUMINIUM_FIXED_LIGHT">#REF!</definedName>
    <definedName name="wsder" localSheetId="9">#REF!</definedName>
    <definedName name="wsder" localSheetId="12">#REF!</definedName>
    <definedName name="wsder" localSheetId="15">#REF!</definedName>
    <definedName name="wsder" localSheetId="20">#REF!</definedName>
    <definedName name="wsder">#REF!</definedName>
    <definedName name="wsedd" localSheetId="9">#REF!</definedName>
    <definedName name="wsedd" localSheetId="12">#REF!</definedName>
    <definedName name="wsedd" localSheetId="15">#REF!</definedName>
    <definedName name="wsedd" localSheetId="20">#REF!</definedName>
    <definedName name="wsedd">#REF!</definedName>
    <definedName name="wsq" localSheetId="9">#REF!</definedName>
    <definedName name="wsq" localSheetId="12">#REF!</definedName>
    <definedName name="wsq" localSheetId="15">#REF!</definedName>
    <definedName name="wsq" localSheetId="20">#REF!</definedName>
    <definedName name="wsq">#REF!</definedName>
    <definedName name="www">'[7]H2O TREATMENT PLANT SITE(4.1)'!#REF!</definedName>
    <definedName name="XXX" localSheetId="9">#REF!</definedName>
    <definedName name="XXX" localSheetId="12">#REF!</definedName>
    <definedName name="XXX" localSheetId="15">#REF!</definedName>
    <definedName name="XXX" localSheetId="20">#REF!</definedName>
    <definedName name="XXX">#REF!</definedName>
    <definedName name="y" localSheetId="9">#REF!</definedName>
    <definedName name="y" localSheetId="12">#REF!</definedName>
    <definedName name="y" localSheetId="15">#REF!</definedName>
    <definedName name="y" localSheetId="20">#REF!</definedName>
    <definedName name="y">#REF!</definedName>
    <definedName name="YA" localSheetId="9">#REF!</definedName>
    <definedName name="YA" localSheetId="12">#REF!</definedName>
    <definedName name="YA" localSheetId="15">#REF!</definedName>
    <definedName name="YA" localSheetId="20">#REF!</definedName>
    <definedName name="YA">#REF!</definedName>
    <definedName name="ytr" localSheetId="9">#REF!</definedName>
    <definedName name="ytr" localSheetId="12">#REF!</definedName>
    <definedName name="ytr" localSheetId="15">#REF!</definedName>
    <definedName name="ytr" localSheetId="20">#REF!</definedName>
    <definedName name="ytr">#REF!</definedName>
    <definedName name="yufth" localSheetId="9">#REF!</definedName>
    <definedName name="yufth" localSheetId="12">#REF!</definedName>
    <definedName name="yufth" localSheetId="15">#REF!</definedName>
    <definedName name="yufth" localSheetId="20">#REF!</definedName>
    <definedName name="yufth">#REF!</definedName>
    <definedName name="yuo" localSheetId="9">#REF!</definedName>
    <definedName name="yuo" localSheetId="12">#REF!</definedName>
    <definedName name="yuo" localSheetId="15">#REF!</definedName>
    <definedName name="yuo" localSheetId="20">#REF!</definedName>
    <definedName name="yuo">#REF!</definedName>
    <definedName name="yutu" localSheetId="9">#REF!</definedName>
    <definedName name="yutu" localSheetId="12">#REF!</definedName>
    <definedName name="yutu" localSheetId="15">#REF!</definedName>
    <definedName name="yutu" localSheetId="20">#REF!</definedName>
    <definedName name="yutu">#REF!</definedName>
    <definedName name="yutuyu" localSheetId="9">#REF!</definedName>
    <definedName name="yutuyu" localSheetId="12">#REF!</definedName>
    <definedName name="yutuyu" localSheetId="15">#REF!</definedName>
    <definedName name="yutuyu" localSheetId="20">#REF!</definedName>
    <definedName name="yutuyu">#REF!</definedName>
    <definedName name="yyjhg" localSheetId="9">#REF!</definedName>
    <definedName name="yyjhg" localSheetId="12">#REF!</definedName>
    <definedName name="yyjhg" localSheetId="15">#REF!</definedName>
    <definedName name="yyjhg" localSheetId="20">#REF!</definedName>
    <definedName name="yyjhg">#REF!</definedName>
    <definedName name="Z" localSheetId="9">#REF!</definedName>
    <definedName name="Z" localSheetId="12">#REF!</definedName>
    <definedName name="Z" localSheetId="15">#REF!</definedName>
    <definedName name="Z" localSheetId="20">#REF!</definedName>
    <definedName name="Z">#REF!</definedName>
    <definedName name="Z_Purins_125x50x2mm" localSheetId="9">#REF!</definedName>
    <definedName name="Z_Purins_125x50x2mm" localSheetId="12">#REF!</definedName>
    <definedName name="Z_Purins_125x50x2mm" localSheetId="15">#REF!</definedName>
    <definedName name="Z_Purins_125x50x2mm" localSheetId="20">#REF!</definedName>
    <definedName name="Z_Purins_125x50x2mm">#REF!</definedName>
    <definedName name="zcvnxz">#REF!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9" i="436" l="1"/>
  <c r="F588" i="436"/>
  <c r="F587" i="436"/>
  <c r="F586" i="436"/>
  <c r="F585" i="436"/>
  <c r="F584" i="436"/>
  <c r="F583" i="436"/>
  <c r="F582" i="436"/>
  <c r="F580" i="436"/>
  <c r="F578" i="436"/>
  <c r="F577" i="436"/>
  <c r="F576" i="436"/>
  <c r="F574" i="436"/>
  <c r="F573" i="436"/>
  <c r="F572" i="436"/>
  <c r="F570" i="436"/>
  <c r="F569" i="436"/>
  <c r="F568" i="436"/>
  <c r="F567" i="436"/>
  <c r="F566" i="436"/>
  <c r="F565" i="436"/>
  <c r="F564" i="436"/>
  <c r="F563" i="436"/>
  <c r="F549" i="436"/>
  <c r="F548" i="436"/>
  <c r="F547" i="436"/>
  <c r="F546" i="436"/>
  <c r="F543" i="436"/>
  <c r="F542" i="436"/>
  <c r="F535" i="436"/>
  <c r="F534" i="436"/>
  <c r="F532" i="436"/>
  <c r="F531" i="436"/>
  <c r="F530" i="436"/>
  <c r="F529" i="436"/>
  <c r="F528" i="436"/>
  <c r="F527" i="436"/>
  <c r="F526" i="436"/>
  <c r="F525" i="436"/>
  <c r="F495" i="436"/>
  <c r="F494" i="436"/>
  <c r="F493" i="436"/>
  <c r="F492" i="436"/>
  <c r="F491" i="436"/>
  <c r="F490" i="436"/>
  <c r="F489" i="436"/>
  <c r="F488" i="436"/>
  <c r="F486" i="436"/>
  <c r="F484" i="436"/>
  <c r="F483" i="436"/>
  <c r="F482" i="436"/>
  <c r="F480" i="436"/>
  <c r="F479" i="436"/>
  <c r="F478" i="436"/>
  <c r="F476" i="436"/>
  <c r="F475" i="436"/>
  <c r="F474" i="436"/>
  <c r="F473" i="436"/>
  <c r="F472" i="436"/>
  <c r="F471" i="436"/>
  <c r="F470" i="436"/>
  <c r="F469" i="436"/>
  <c r="F455" i="436"/>
  <c r="F454" i="436"/>
  <c r="F453" i="436"/>
  <c r="F452" i="436"/>
  <c r="F449" i="436"/>
  <c r="F448" i="436"/>
  <c r="F441" i="436"/>
  <c r="F440" i="436"/>
  <c r="F438" i="436"/>
  <c r="F437" i="436"/>
  <c r="F436" i="436"/>
  <c r="F435" i="436"/>
  <c r="F434" i="436"/>
  <c r="F433" i="436"/>
  <c r="F432" i="436"/>
  <c r="F431" i="436"/>
  <c r="G443" i="423"/>
  <c r="F239" i="436"/>
  <c r="F238" i="436"/>
  <c r="F237" i="436"/>
  <c r="F235" i="436"/>
  <c r="F234" i="436"/>
  <c r="F233" i="436"/>
  <c r="F231" i="436"/>
  <c r="F230" i="436"/>
  <c r="F229" i="436"/>
  <c r="F228" i="436"/>
  <c r="F227" i="436"/>
  <c r="F226" i="436"/>
  <c r="F225" i="436"/>
  <c r="F224" i="436"/>
  <c r="F223" i="436"/>
  <c r="F222" i="436"/>
  <c r="F212" i="436"/>
  <c r="F211" i="436"/>
  <c r="F210" i="436"/>
  <c r="F209" i="436"/>
  <c r="F206" i="436"/>
  <c r="F205" i="436"/>
  <c r="F198" i="436"/>
  <c r="F197" i="436"/>
  <c r="F195" i="436"/>
  <c r="F194" i="436"/>
  <c r="F193" i="436"/>
  <c r="F192" i="436"/>
  <c r="F191" i="436"/>
  <c r="F174" i="436"/>
  <c r="F173" i="436"/>
  <c r="F172" i="436"/>
  <c r="F170" i="436"/>
  <c r="F169" i="436"/>
  <c r="F168" i="436"/>
  <c r="F166" i="436"/>
  <c r="F165" i="436"/>
  <c r="F164" i="436"/>
  <c r="F163" i="436"/>
  <c r="F162" i="436"/>
  <c r="F161" i="436"/>
  <c r="F160" i="436"/>
  <c r="F159" i="436"/>
  <c r="F157" i="436"/>
  <c r="F156" i="436"/>
  <c r="F155" i="436"/>
  <c r="F154" i="436"/>
  <c r="F151" i="436"/>
  <c r="F150" i="436"/>
  <c r="F112" i="436"/>
  <c r="F111" i="436"/>
  <c r="F110" i="436"/>
  <c r="F109" i="436"/>
  <c r="F108" i="436"/>
  <c r="F107" i="436"/>
  <c r="F105" i="436"/>
  <c r="F104" i="436"/>
  <c r="F103" i="436"/>
  <c r="E13" i="385"/>
  <c r="E12" i="385"/>
  <c r="G24" i="422"/>
  <c r="G23" i="422"/>
  <c r="G26" i="422"/>
  <c r="G149" i="426"/>
  <c r="G148" i="426"/>
  <c r="G147" i="426"/>
  <c r="G146" i="426"/>
  <c r="G145" i="426"/>
  <c r="G144" i="426"/>
  <c r="G143" i="426"/>
  <c r="G142" i="426"/>
  <c r="G141" i="426"/>
  <c r="G140" i="426"/>
  <c r="G139" i="426"/>
  <c r="G137" i="426"/>
  <c r="G136" i="426"/>
  <c r="G135" i="426"/>
  <c r="G134" i="426"/>
  <c r="G133" i="426"/>
  <c r="G132" i="426"/>
  <c r="G130" i="426"/>
  <c r="G129" i="426"/>
  <c r="G178" i="426"/>
  <c r="G177" i="426"/>
  <c r="G176" i="426"/>
  <c r="G175" i="426"/>
  <c r="G174" i="426"/>
  <c r="G173" i="426"/>
  <c r="G172" i="426"/>
  <c r="G171" i="426"/>
  <c r="G170" i="426"/>
  <c r="G169" i="426"/>
  <c r="G168" i="426"/>
  <c r="G166" i="426"/>
  <c r="G165" i="426"/>
  <c r="G164" i="426"/>
  <c r="G163" i="426"/>
  <c r="G162" i="426"/>
  <c r="G161" i="426"/>
  <c r="G159" i="426"/>
  <c r="G158" i="426"/>
  <c r="G179" i="426" s="1"/>
  <c r="E12" i="425" s="1"/>
  <c r="G354" i="423"/>
  <c r="G353" i="423"/>
  <c r="G352" i="423"/>
  <c r="G351" i="423"/>
  <c r="G350" i="423"/>
  <c r="G344" i="423"/>
  <c r="G343" i="423"/>
  <c r="G342" i="423"/>
  <c r="G341" i="423"/>
  <c r="G340" i="423"/>
  <c r="G339" i="423"/>
  <c r="G338" i="423"/>
  <c r="G337" i="423"/>
  <c r="G336" i="423"/>
  <c r="G335" i="423"/>
  <c r="G334" i="423"/>
  <c r="G333" i="423"/>
  <c r="G332" i="423"/>
  <c r="G331" i="423"/>
  <c r="G330" i="423"/>
  <c r="G329" i="423"/>
  <c r="G328" i="423"/>
  <c r="G325" i="423"/>
  <c r="G324" i="423"/>
  <c r="G323" i="423"/>
  <c r="G322" i="423"/>
  <c r="G319" i="423"/>
  <c r="G318" i="423"/>
  <c r="G317" i="423"/>
  <c r="G316" i="423"/>
  <c r="G315" i="423"/>
  <c r="G314" i="423"/>
  <c r="G313" i="423"/>
  <c r="G312" i="423"/>
  <c r="G311" i="423"/>
  <c r="G310" i="423"/>
  <c r="G309" i="423"/>
  <c r="G427" i="423"/>
  <c r="G426" i="423"/>
  <c r="G425" i="423"/>
  <c r="G424" i="423"/>
  <c r="G423" i="423"/>
  <c r="G420" i="423"/>
  <c r="G419" i="423"/>
  <c r="G418" i="423"/>
  <c r="G417" i="423"/>
  <c r="G416" i="423"/>
  <c r="G415" i="423"/>
  <c r="G414" i="423"/>
  <c r="G413" i="423"/>
  <c r="G412" i="423"/>
  <c r="G411" i="423"/>
  <c r="G410" i="423"/>
  <c r="G409" i="423"/>
  <c r="G408" i="423"/>
  <c r="G407" i="423"/>
  <c r="G406" i="423"/>
  <c r="G405" i="423"/>
  <c r="G404" i="423"/>
  <c r="G401" i="423"/>
  <c r="G400" i="423"/>
  <c r="G399" i="423"/>
  <c r="G398" i="423"/>
  <c r="G395" i="423"/>
  <c r="G394" i="423"/>
  <c r="G393" i="423"/>
  <c r="G392" i="423"/>
  <c r="G391" i="423"/>
  <c r="G390" i="423"/>
  <c r="G389" i="423"/>
  <c r="G388" i="423"/>
  <c r="G387" i="423"/>
  <c r="G386" i="423"/>
  <c r="G385" i="423"/>
  <c r="G354" i="422"/>
  <c r="G352" i="422"/>
  <c r="G350" i="422"/>
  <c r="G348" i="422"/>
  <c r="G347" i="422"/>
  <c r="G346" i="422"/>
  <c r="G345" i="422"/>
  <c r="G343" i="422"/>
  <c r="G342" i="422"/>
  <c r="G341" i="422"/>
  <c r="G340" i="422"/>
  <c r="G339" i="422"/>
  <c r="G337" i="422"/>
  <c r="G336" i="422"/>
  <c r="G335" i="422"/>
  <c r="G334" i="422"/>
  <c r="G333" i="422"/>
  <c r="G332" i="422"/>
  <c r="G331" i="422"/>
  <c r="G330" i="422"/>
  <c r="G329" i="422"/>
  <c r="G328" i="422"/>
  <c r="G327" i="422"/>
  <c r="G326" i="422"/>
  <c r="G325" i="422"/>
  <c r="G324" i="422"/>
  <c r="G323" i="422"/>
  <c r="G321" i="422"/>
  <c r="G320" i="422"/>
  <c r="G319" i="422"/>
  <c r="G318" i="422"/>
  <c r="G317" i="422"/>
  <c r="G314" i="422"/>
  <c r="G313" i="422"/>
  <c r="G312" i="422"/>
  <c r="G311" i="422"/>
  <c r="G310" i="422"/>
  <c r="G309" i="422"/>
  <c r="G308" i="422"/>
  <c r="G307" i="422"/>
  <c r="G306" i="422"/>
  <c r="G305" i="422"/>
  <c r="G304" i="422"/>
  <c r="G303" i="422"/>
  <c r="G302" i="422"/>
  <c r="G418" i="422"/>
  <c r="G416" i="422"/>
  <c r="G414" i="422"/>
  <c r="G412" i="422"/>
  <c r="G411" i="422"/>
  <c r="G410" i="422"/>
  <c r="G409" i="422"/>
  <c r="G407" i="422"/>
  <c r="G406" i="422"/>
  <c r="G405" i="422"/>
  <c r="G404" i="422"/>
  <c r="G403" i="422"/>
  <c r="G401" i="422"/>
  <c r="G400" i="422"/>
  <c r="G399" i="422"/>
  <c r="G398" i="422"/>
  <c r="G397" i="422"/>
  <c r="G396" i="422"/>
  <c r="G395" i="422"/>
  <c r="G394" i="422"/>
  <c r="G393" i="422"/>
  <c r="G392" i="422"/>
  <c r="G391" i="422"/>
  <c r="G390" i="422"/>
  <c r="G389" i="422"/>
  <c r="G388" i="422"/>
  <c r="G387" i="422"/>
  <c r="G385" i="422"/>
  <c r="G384" i="422"/>
  <c r="G383" i="422"/>
  <c r="G382" i="422"/>
  <c r="G381" i="422"/>
  <c r="G378" i="422"/>
  <c r="G377" i="422"/>
  <c r="G376" i="422"/>
  <c r="G375" i="422"/>
  <c r="G374" i="422"/>
  <c r="G373" i="422"/>
  <c r="G372" i="422"/>
  <c r="G371" i="422"/>
  <c r="G370" i="422"/>
  <c r="G369" i="422"/>
  <c r="G368" i="422"/>
  <c r="G367" i="422"/>
  <c r="G366" i="422"/>
  <c r="C362" i="422"/>
  <c r="F263" i="436" l="1"/>
  <c r="E9" i="428" s="1"/>
  <c r="F598" i="436"/>
  <c r="E13" i="428" s="1"/>
  <c r="F515" i="436"/>
  <c r="E12" i="428" s="1"/>
  <c r="F181" i="436"/>
  <c r="E8" i="428" s="1"/>
  <c r="G150" i="426"/>
  <c r="E11" i="425" s="1"/>
  <c r="G378" i="423"/>
  <c r="E11" i="404" s="1"/>
  <c r="G360" i="422"/>
  <c r="G424" i="422"/>
  <c r="G429" i="423"/>
  <c r="E12" i="404" s="1"/>
  <c r="F401" i="436"/>
  <c r="F400" i="436"/>
  <c r="F399" i="436"/>
  <c r="F398" i="436"/>
  <c r="F397" i="436"/>
  <c r="F396" i="436"/>
  <c r="F395" i="436"/>
  <c r="F394" i="436"/>
  <c r="F392" i="436"/>
  <c r="F390" i="436"/>
  <c r="F389" i="436"/>
  <c r="F388" i="436"/>
  <c r="F386" i="436"/>
  <c r="F385" i="436"/>
  <c r="F384" i="436"/>
  <c r="F382" i="436"/>
  <c r="F381" i="436"/>
  <c r="F380" i="436"/>
  <c r="F379" i="436"/>
  <c r="F378" i="436"/>
  <c r="F377" i="436"/>
  <c r="F376" i="436"/>
  <c r="F375" i="436"/>
  <c r="F365" i="436"/>
  <c r="F364" i="436"/>
  <c r="F363" i="436"/>
  <c r="F362" i="436"/>
  <c r="F359" i="436"/>
  <c r="F358" i="436"/>
  <c r="F351" i="436"/>
  <c r="F350" i="436"/>
  <c r="F348" i="436"/>
  <c r="F347" i="436"/>
  <c r="F346" i="436"/>
  <c r="F345" i="436"/>
  <c r="F344" i="436"/>
  <c r="F343" i="436"/>
  <c r="F342" i="436"/>
  <c r="F341" i="436"/>
  <c r="F322" i="436"/>
  <c r="F321" i="436"/>
  <c r="F320" i="436"/>
  <c r="F318" i="436"/>
  <c r="F317" i="436"/>
  <c r="F316" i="436"/>
  <c r="F314" i="436"/>
  <c r="F313" i="436"/>
  <c r="F312" i="436"/>
  <c r="F311" i="436"/>
  <c r="F310" i="436"/>
  <c r="F309" i="436"/>
  <c r="F308" i="436"/>
  <c r="F307" i="436"/>
  <c r="F306" i="436"/>
  <c r="F305" i="436"/>
  <c r="F304" i="436"/>
  <c r="F303" i="436"/>
  <c r="F295" i="436"/>
  <c r="F294" i="436"/>
  <c r="F293" i="436"/>
  <c r="F292" i="436"/>
  <c r="F289" i="436"/>
  <c r="F288" i="436"/>
  <c r="F281" i="436"/>
  <c r="F280" i="436"/>
  <c r="F278" i="436"/>
  <c r="F277" i="436"/>
  <c r="F276" i="436"/>
  <c r="F275" i="436"/>
  <c r="F274" i="436"/>
  <c r="F273" i="436"/>
  <c r="F65" i="436"/>
  <c r="F63" i="436"/>
  <c r="F60" i="436"/>
  <c r="F59" i="436"/>
  <c r="F58" i="436"/>
  <c r="F57" i="436"/>
  <c r="F44" i="436"/>
  <c r="F43" i="436"/>
  <c r="F42" i="436"/>
  <c r="F39" i="436"/>
  <c r="F37" i="436"/>
  <c r="F36" i="436"/>
  <c r="F34" i="436"/>
  <c r="F33" i="436"/>
  <c r="F32" i="436"/>
  <c r="F31" i="436"/>
  <c r="F30" i="436"/>
  <c r="F29" i="436"/>
  <c r="F28" i="436"/>
  <c r="F26" i="436"/>
  <c r="F25" i="436"/>
  <c r="F24" i="436"/>
  <c r="F23" i="436"/>
  <c r="F20" i="436"/>
  <c r="F19" i="436"/>
  <c r="F12" i="436"/>
  <c r="F11" i="436"/>
  <c r="F330" i="436" l="1"/>
  <c r="E10" i="428" s="1"/>
  <c r="F421" i="436"/>
  <c r="E11" i="428" s="1"/>
  <c r="F93" i="436"/>
  <c r="E7" i="428" s="1"/>
  <c r="G94" i="423"/>
  <c r="G93" i="423"/>
  <c r="D430" i="422"/>
  <c r="G443" i="422"/>
  <c r="G442" i="422"/>
  <c r="G441" i="422"/>
  <c r="G440" i="422"/>
  <c r="G439" i="422"/>
  <c r="G438" i="422"/>
  <c r="D7" i="385"/>
  <c r="G31" i="422"/>
  <c r="G29" i="422"/>
  <c r="G28" i="422"/>
  <c r="G25" i="422"/>
  <c r="G22" i="422"/>
  <c r="G21" i="422"/>
  <c r="G19" i="422"/>
  <c r="G18" i="422"/>
  <c r="G17" i="422"/>
  <c r="G16" i="422"/>
  <c r="G15" i="422"/>
  <c r="G14" i="422"/>
  <c r="G13" i="422"/>
  <c r="G12" i="422"/>
  <c r="G11" i="422"/>
  <c r="D10" i="422"/>
  <c r="G10" i="422" s="1"/>
  <c r="G273" i="422"/>
  <c r="G272" i="422"/>
  <c r="G271" i="422"/>
  <c r="G270" i="422"/>
  <c r="G269" i="422"/>
  <c r="G268" i="422"/>
  <c r="G267" i="422"/>
  <c r="G266" i="422"/>
  <c r="G265" i="422"/>
  <c r="G264" i="422"/>
  <c r="G263" i="422"/>
  <c r="G262" i="422"/>
  <c r="G261" i="422"/>
  <c r="G260" i="422"/>
  <c r="G259" i="422"/>
  <c r="G84" i="422"/>
  <c r="G83" i="422"/>
  <c r="G90" i="422"/>
  <c r="G142" i="422"/>
  <c r="G206" i="422"/>
  <c r="D173" i="422"/>
  <c r="G208" i="422"/>
  <c r="G207" i="422"/>
  <c r="G205" i="422"/>
  <c r="G204" i="422"/>
  <c r="G203" i="422"/>
  <c r="G202" i="422"/>
  <c r="G201" i="422"/>
  <c r="G200" i="422"/>
  <c r="G199" i="422"/>
  <c r="G198" i="422"/>
  <c r="G197" i="422"/>
  <c r="G196" i="422"/>
  <c r="G195" i="422"/>
  <c r="G194" i="422"/>
  <c r="G135" i="422"/>
  <c r="D110" i="422"/>
  <c r="G144" i="422"/>
  <c r="G143" i="422"/>
  <c r="G141" i="422"/>
  <c r="G140" i="422"/>
  <c r="G139" i="422"/>
  <c r="G138" i="422"/>
  <c r="G137" i="422"/>
  <c r="G136" i="422"/>
  <c r="G134" i="422"/>
  <c r="G133" i="422"/>
  <c r="G132" i="422"/>
  <c r="G131" i="422"/>
  <c r="G130" i="422"/>
  <c r="D47" i="422"/>
  <c r="G89" i="422"/>
  <c r="G88" i="422"/>
  <c r="D254" i="434"/>
  <c r="D57" i="434"/>
  <c r="D40" i="434"/>
  <c r="G589" i="422"/>
  <c r="G556" i="422"/>
  <c r="G554" i="422"/>
  <c r="G552" i="422"/>
  <c r="G550" i="422"/>
  <c r="G548" i="422"/>
  <c r="D10" i="425"/>
  <c r="C10" i="425"/>
  <c r="C9" i="425"/>
  <c r="G120" i="426"/>
  <c r="G119" i="426"/>
  <c r="G118" i="426"/>
  <c r="G117" i="426"/>
  <c r="G116" i="426"/>
  <c r="G115" i="426"/>
  <c r="G114" i="426"/>
  <c r="G113" i="426"/>
  <c r="G112" i="426"/>
  <c r="G111" i="426"/>
  <c r="G110" i="426"/>
  <c r="G108" i="426"/>
  <c r="G107" i="426"/>
  <c r="G106" i="426"/>
  <c r="G105" i="426"/>
  <c r="G104" i="426"/>
  <c r="G103" i="426"/>
  <c r="G101" i="426"/>
  <c r="G100" i="426"/>
  <c r="G188" i="422"/>
  <c r="G189" i="422"/>
  <c r="G215" i="434"/>
  <c r="G216" i="434"/>
  <c r="G214" i="434"/>
  <c r="G213" i="434"/>
  <c r="G519" i="422"/>
  <c r="G518" i="422"/>
  <c r="G121" i="426" l="1"/>
  <c r="E10" i="425" s="1"/>
  <c r="G38" i="422"/>
  <c r="E7" i="385" s="1"/>
  <c r="G516" i="422"/>
  <c r="G515" i="422"/>
  <c r="G513" i="422"/>
  <c r="G514" i="422" s="1"/>
  <c r="G512" i="422"/>
  <c r="G511" i="422"/>
  <c r="G510" i="422"/>
  <c r="G489" i="422"/>
  <c r="G488" i="422"/>
  <c r="G485" i="422"/>
  <c r="G484" i="422"/>
  <c r="G483" i="422"/>
  <c r="G482" i="422"/>
  <c r="G480" i="422"/>
  <c r="G479" i="422"/>
  <c r="G478" i="422"/>
  <c r="G476" i="422"/>
  <c r="G474" i="422"/>
  <c r="G473" i="422"/>
  <c r="G472" i="422"/>
  <c r="G471" i="422"/>
  <c r="G470" i="422"/>
  <c r="G469" i="422"/>
  <c r="G447" i="422"/>
  <c r="G445" i="422"/>
  <c r="G436" i="422"/>
  <c r="G435" i="422"/>
  <c r="G434" i="422"/>
  <c r="G433" i="422"/>
  <c r="G432" i="422"/>
  <c r="G431" i="422"/>
  <c r="G430" i="422"/>
  <c r="G290" i="422"/>
  <c r="G288" i="422"/>
  <c r="G286" i="422"/>
  <c r="G284" i="422"/>
  <c r="G283" i="422"/>
  <c r="G282" i="422"/>
  <c r="G281" i="422"/>
  <c r="G279" i="422"/>
  <c r="G278" i="422"/>
  <c r="G277" i="422"/>
  <c r="G276" i="422"/>
  <c r="G275" i="422"/>
  <c r="G257" i="422"/>
  <c r="G256" i="422"/>
  <c r="G255" i="422"/>
  <c r="G254" i="422"/>
  <c r="G253" i="422"/>
  <c r="G250" i="422"/>
  <c r="G249" i="422"/>
  <c r="G248" i="422"/>
  <c r="G247" i="422"/>
  <c r="G246" i="422"/>
  <c r="G245" i="422"/>
  <c r="G244" i="422"/>
  <c r="G243" i="422"/>
  <c r="G242" i="422"/>
  <c r="G241" i="422"/>
  <c r="G240" i="422"/>
  <c r="G239" i="422"/>
  <c r="G238" i="422"/>
  <c r="G225" i="422"/>
  <c r="G223" i="422"/>
  <c r="G221" i="422"/>
  <c r="G219" i="422"/>
  <c r="G218" i="422"/>
  <c r="G217" i="422"/>
  <c r="G216" i="422"/>
  <c r="G214" i="422"/>
  <c r="G213" i="422"/>
  <c r="G212" i="422"/>
  <c r="G211" i="422"/>
  <c r="G210" i="422"/>
  <c r="G192" i="422"/>
  <c r="G191" i="422"/>
  <c r="G190" i="422"/>
  <c r="G185" i="422"/>
  <c r="G184" i="422"/>
  <c r="G183" i="422"/>
  <c r="G182" i="422"/>
  <c r="G181" i="422"/>
  <c r="G180" i="422"/>
  <c r="G179" i="422"/>
  <c r="G178" i="422"/>
  <c r="G177" i="422"/>
  <c r="G176" i="422"/>
  <c r="G175" i="422"/>
  <c r="G174" i="422"/>
  <c r="G173" i="422"/>
  <c r="G161" i="422"/>
  <c r="G159" i="422"/>
  <c r="G157" i="422"/>
  <c r="G155" i="422"/>
  <c r="G154" i="422"/>
  <c r="G153" i="422"/>
  <c r="G152" i="422"/>
  <c r="G150" i="422"/>
  <c r="G149" i="422"/>
  <c r="G148" i="422"/>
  <c r="G147" i="422"/>
  <c r="G146" i="422"/>
  <c r="G128" i="422"/>
  <c r="G127" i="422"/>
  <c r="G126" i="422"/>
  <c r="G125" i="422"/>
  <c r="G124" i="422"/>
  <c r="G122" i="422"/>
  <c r="G121" i="422"/>
  <c r="G120" i="422"/>
  <c r="G119" i="422"/>
  <c r="G118" i="422"/>
  <c r="G117" i="422"/>
  <c r="G116" i="422"/>
  <c r="G115" i="422"/>
  <c r="G114" i="422"/>
  <c r="G113" i="422"/>
  <c r="G112" i="422"/>
  <c r="G111" i="422"/>
  <c r="G110" i="422"/>
  <c r="G98" i="422"/>
  <c r="G97" i="422"/>
  <c r="G96" i="422"/>
  <c r="G94" i="422"/>
  <c r="G93" i="422"/>
  <c r="G92" i="422"/>
  <c r="G87" i="422"/>
  <c r="G86" i="422"/>
  <c r="G85" i="422"/>
  <c r="G82" i="422"/>
  <c r="G81" i="422"/>
  <c r="G80" i="422"/>
  <c r="G79" i="422"/>
  <c r="G78" i="422"/>
  <c r="G59" i="422"/>
  <c r="G58" i="422"/>
  <c r="G57" i="422"/>
  <c r="G56" i="422"/>
  <c r="G55" i="422"/>
  <c r="G54" i="422"/>
  <c r="G53" i="422"/>
  <c r="G52" i="422"/>
  <c r="G51" i="422"/>
  <c r="G50" i="422"/>
  <c r="G49" i="422"/>
  <c r="G48" i="422"/>
  <c r="G47" i="422"/>
  <c r="G541" i="422" l="1"/>
  <c r="E16" i="385" s="1"/>
  <c r="G503" i="422"/>
  <c r="E15" i="385" s="1"/>
  <c r="G462" i="422"/>
  <c r="G296" i="422"/>
  <c r="G232" i="422"/>
  <c r="G167" i="422"/>
  <c r="G104" i="422"/>
  <c r="F17" i="161" l="1"/>
  <c r="D14" i="433"/>
  <c r="D13" i="433"/>
  <c r="D12" i="433"/>
  <c r="D11" i="433"/>
  <c r="D10" i="433"/>
  <c r="D9" i="433"/>
  <c r="D8" i="433"/>
  <c r="D7" i="433"/>
  <c r="G290" i="434"/>
  <c r="G291" i="434"/>
  <c r="G292" i="434"/>
  <c r="G293" i="434"/>
  <c r="G294" i="434"/>
  <c r="G295" i="434"/>
  <c r="G296" i="434"/>
  <c r="G297" i="434"/>
  <c r="G298" i="434"/>
  <c r="G288" i="434"/>
  <c r="G266" i="434"/>
  <c r="G267" i="434"/>
  <c r="G268" i="434"/>
  <c r="G269" i="434"/>
  <c r="G270" i="434"/>
  <c r="G271" i="434"/>
  <c r="G272" i="434"/>
  <c r="G273" i="434"/>
  <c r="G274" i="434"/>
  <c r="G275" i="434"/>
  <c r="G265" i="434"/>
  <c r="G243" i="434"/>
  <c r="G244" i="434"/>
  <c r="G245" i="434"/>
  <c r="G246" i="434"/>
  <c r="G247" i="434"/>
  <c r="G248" i="434"/>
  <c r="G249" i="434"/>
  <c r="G250" i="434"/>
  <c r="G251" i="434"/>
  <c r="G252" i="434"/>
  <c r="G253" i="434"/>
  <c r="G254" i="434"/>
  <c r="G255" i="434"/>
  <c r="G256" i="434"/>
  <c r="G257" i="434"/>
  <c r="G242" i="434"/>
  <c r="G201" i="434"/>
  <c r="G202" i="434"/>
  <c r="G203" i="434"/>
  <c r="G204" i="434"/>
  <c r="G206" i="434"/>
  <c r="G207" i="434"/>
  <c r="G208" i="434"/>
  <c r="G209" i="434"/>
  <c r="G210" i="434"/>
  <c r="G211" i="434"/>
  <c r="G219" i="434"/>
  <c r="G220" i="434"/>
  <c r="G221" i="434"/>
  <c r="G223" i="434"/>
  <c r="G225" i="434"/>
  <c r="G226" i="434"/>
  <c r="G228" i="434"/>
  <c r="G230" i="434"/>
  <c r="G231" i="434"/>
  <c r="G232" i="434"/>
  <c r="G233" i="434"/>
  <c r="G200" i="434"/>
  <c r="G167" i="434"/>
  <c r="G168" i="434"/>
  <c r="G166" i="434"/>
  <c r="G87" i="434"/>
  <c r="G88" i="434"/>
  <c r="G89" i="434"/>
  <c r="G90" i="434"/>
  <c r="G92" i="434"/>
  <c r="G93" i="434"/>
  <c r="G94" i="434"/>
  <c r="G95" i="434"/>
  <c r="G96" i="434"/>
  <c r="G97" i="434"/>
  <c r="G98" i="434"/>
  <c r="G99" i="434"/>
  <c r="G100" i="434"/>
  <c r="G101" i="434"/>
  <c r="G103" i="434"/>
  <c r="G104" i="434"/>
  <c r="G106" i="434"/>
  <c r="G107" i="434"/>
  <c r="G108" i="434"/>
  <c r="G111" i="434"/>
  <c r="G112" i="434"/>
  <c r="G113" i="434"/>
  <c r="G118" i="434"/>
  <c r="G119" i="434"/>
  <c r="G120" i="434"/>
  <c r="G121" i="434"/>
  <c r="G122" i="434"/>
  <c r="G123" i="434"/>
  <c r="G124" i="434"/>
  <c r="G125" i="434"/>
  <c r="G127" i="434"/>
  <c r="G128" i="434"/>
  <c r="G50" i="434"/>
  <c r="G51" i="434"/>
  <c r="G52" i="434"/>
  <c r="G53" i="434"/>
  <c r="G54" i="434"/>
  <c r="G55" i="434"/>
  <c r="G56" i="434"/>
  <c r="G57" i="434"/>
  <c r="G58" i="434"/>
  <c r="G59" i="434"/>
  <c r="G60" i="434"/>
  <c r="G49" i="434"/>
  <c r="G28" i="434"/>
  <c r="G32" i="434"/>
  <c r="G33" i="434"/>
  <c r="G34" i="434"/>
  <c r="G35" i="434"/>
  <c r="G36" i="434"/>
  <c r="G37" i="434"/>
  <c r="G38" i="434"/>
  <c r="G39" i="434"/>
  <c r="G40" i="434"/>
  <c r="G41" i="434"/>
  <c r="G12" i="434"/>
  <c r="C5" i="433"/>
  <c r="C4" i="433"/>
  <c r="F16" i="161"/>
  <c r="G32" i="430"/>
  <c r="G33" i="430"/>
  <c r="G34" i="430"/>
  <c r="G15" i="430"/>
  <c r="F15" i="161"/>
  <c r="D11" i="428"/>
  <c r="D10" i="428"/>
  <c r="D9" i="428"/>
  <c r="D8" i="428"/>
  <c r="D7" i="428"/>
  <c r="C5" i="428"/>
  <c r="C4" i="428"/>
  <c r="F14" i="161"/>
  <c r="D15" i="425"/>
  <c r="C15" i="425"/>
  <c r="D14" i="425"/>
  <c r="C14" i="425"/>
  <c r="D13" i="425"/>
  <c r="C13" i="425"/>
  <c r="D9" i="425"/>
  <c r="D8" i="425"/>
  <c r="C8" i="425"/>
  <c r="D7" i="425"/>
  <c r="C7" i="425"/>
  <c r="G258" i="426"/>
  <c r="G259" i="426"/>
  <c r="G260" i="426"/>
  <c r="G261" i="426"/>
  <c r="G263" i="426"/>
  <c r="G264" i="426"/>
  <c r="G265" i="426"/>
  <c r="G266" i="426"/>
  <c r="G267" i="426"/>
  <c r="G268" i="426"/>
  <c r="G269" i="426"/>
  <c r="G270" i="426"/>
  <c r="G272" i="426"/>
  <c r="G273" i="426"/>
  <c r="G274" i="426"/>
  <c r="G275" i="426"/>
  <c r="G277" i="426"/>
  <c r="G279" i="426"/>
  <c r="G280" i="426"/>
  <c r="G282" i="426"/>
  <c r="G283" i="426"/>
  <c r="G284" i="426"/>
  <c r="G285" i="426"/>
  <c r="G286" i="426"/>
  <c r="G289" i="426"/>
  <c r="G290" i="426"/>
  <c r="G291" i="426"/>
  <c r="G293" i="426"/>
  <c r="G294" i="426"/>
  <c r="G295" i="426"/>
  <c r="G296" i="426"/>
  <c r="G256" i="426"/>
  <c r="G212" i="426"/>
  <c r="G213" i="426"/>
  <c r="G214" i="426"/>
  <c r="G215" i="426"/>
  <c r="G216" i="426"/>
  <c r="G217" i="426"/>
  <c r="G219" i="426"/>
  <c r="G220" i="426"/>
  <c r="G221" i="426"/>
  <c r="G222" i="426"/>
  <c r="G223" i="426"/>
  <c r="G226" i="426"/>
  <c r="G228" i="426"/>
  <c r="G229" i="426"/>
  <c r="G230" i="426"/>
  <c r="G231" i="426"/>
  <c r="G187" i="426"/>
  <c r="G189" i="426"/>
  <c r="G190" i="426"/>
  <c r="G191" i="426"/>
  <c r="G192" i="426"/>
  <c r="G193" i="426"/>
  <c r="G194" i="426"/>
  <c r="G196" i="426"/>
  <c r="G197" i="426"/>
  <c r="G198" i="426"/>
  <c r="G199" i="426"/>
  <c r="G200" i="426"/>
  <c r="G201" i="426"/>
  <c r="G202" i="426"/>
  <c r="G203" i="426"/>
  <c r="G186" i="426"/>
  <c r="G72" i="426"/>
  <c r="G74" i="426"/>
  <c r="G75" i="426"/>
  <c r="G76" i="426"/>
  <c r="G77" i="426"/>
  <c r="G78" i="426"/>
  <c r="G79" i="426"/>
  <c r="G81" i="426"/>
  <c r="G82" i="426"/>
  <c r="G83" i="426"/>
  <c r="G84" i="426"/>
  <c r="G85" i="426"/>
  <c r="G86" i="426"/>
  <c r="G87" i="426"/>
  <c r="G88" i="426"/>
  <c r="G89" i="426"/>
  <c r="G90" i="426"/>
  <c r="G91" i="426"/>
  <c r="G71" i="426"/>
  <c r="G43" i="426"/>
  <c r="G45" i="426"/>
  <c r="G46" i="426"/>
  <c r="G47" i="426"/>
  <c r="G48" i="426"/>
  <c r="G49" i="426"/>
  <c r="G50" i="426"/>
  <c r="G52" i="426"/>
  <c r="G53" i="426"/>
  <c r="G54" i="426"/>
  <c r="G55" i="426"/>
  <c r="G56" i="426"/>
  <c r="G57" i="426"/>
  <c r="G58" i="426"/>
  <c r="G59" i="426"/>
  <c r="G60" i="426"/>
  <c r="G61" i="426"/>
  <c r="G62" i="426"/>
  <c r="G42" i="426"/>
  <c r="G12" i="426"/>
  <c r="G13" i="426"/>
  <c r="G14" i="426"/>
  <c r="G15" i="426"/>
  <c r="G16" i="426"/>
  <c r="G17" i="426"/>
  <c r="G18" i="426"/>
  <c r="G19" i="426"/>
  <c r="G21" i="426"/>
  <c r="G22" i="426"/>
  <c r="G23" i="426"/>
  <c r="G24" i="426"/>
  <c r="G25" i="426"/>
  <c r="G26" i="426"/>
  <c r="G27" i="426"/>
  <c r="G28" i="426"/>
  <c r="G29" i="426"/>
  <c r="G30" i="426"/>
  <c r="G31" i="426"/>
  <c r="G11" i="426"/>
  <c r="C5" i="425"/>
  <c r="D14" i="161" s="1"/>
  <c r="C4" i="425"/>
  <c r="D15" i="404"/>
  <c r="D14" i="404"/>
  <c r="D13" i="404"/>
  <c r="D10" i="404"/>
  <c r="D9" i="404"/>
  <c r="D8" i="404"/>
  <c r="D7" i="404"/>
  <c r="G476" i="423"/>
  <c r="G477" i="423"/>
  <c r="G478" i="423"/>
  <c r="G479" i="423"/>
  <c r="G480" i="423"/>
  <c r="G475" i="423"/>
  <c r="G459" i="423"/>
  <c r="G460" i="423"/>
  <c r="G461" i="423"/>
  <c r="G463" i="423"/>
  <c r="G464" i="423"/>
  <c r="G465" i="423"/>
  <c r="G458" i="423"/>
  <c r="G436" i="423"/>
  <c r="G437" i="423"/>
  <c r="G438" i="423"/>
  <c r="G439" i="423"/>
  <c r="G440" i="423"/>
  <c r="G441" i="423"/>
  <c r="G442" i="423"/>
  <c r="G435" i="423"/>
  <c r="G234" i="423"/>
  <c r="G235" i="423"/>
  <c r="G236" i="423"/>
  <c r="G237" i="423"/>
  <c r="G238" i="423"/>
  <c r="G239" i="423"/>
  <c r="G240" i="423"/>
  <c r="G241" i="423"/>
  <c r="G242" i="423"/>
  <c r="G243" i="423"/>
  <c r="G246" i="423"/>
  <c r="G247" i="423"/>
  <c r="G248" i="423"/>
  <c r="G249" i="423"/>
  <c r="G252" i="423"/>
  <c r="G253" i="423"/>
  <c r="G254" i="423"/>
  <c r="G255" i="423"/>
  <c r="G256" i="423"/>
  <c r="G257" i="423"/>
  <c r="G258" i="423"/>
  <c r="G259" i="423"/>
  <c r="G260" i="423"/>
  <c r="G261" i="423"/>
  <c r="G262" i="423"/>
  <c r="G263" i="423"/>
  <c r="G264" i="423"/>
  <c r="G265" i="423"/>
  <c r="G266" i="423"/>
  <c r="G267" i="423"/>
  <c r="G268" i="423"/>
  <c r="G274" i="423"/>
  <c r="G275" i="423"/>
  <c r="G276" i="423"/>
  <c r="G277" i="423"/>
  <c r="G278" i="423"/>
  <c r="G233" i="423"/>
  <c r="G155" i="423"/>
  <c r="G156" i="423"/>
  <c r="G157" i="423"/>
  <c r="G158" i="423"/>
  <c r="G159" i="423"/>
  <c r="G160" i="423"/>
  <c r="G161" i="423"/>
  <c r="G162" i="423"/>
  <c r="G163" i="423"/>
  <c r="G164" i="423"/>
  <c r="G167" i="423"/>
  <c r="G168" i="423"/>
  <c r="G169" i="423"/>
  <c r="G172" i="423"/>
  <c r="G173" i="423"/>
  <c r="G174" i="423"/>
  <c r="G175" i="423"/>
  <c r="G176" i="423"/>
  <c r="G177" i="423"/>
  <c r="G178" i="423"/>
  <c r="G179" i="423"/>
  <c r="G180" i="423"/>
  <c r="G181" i="423"/>
  <c r="G182" i="423"/>
  <c r="G183" i="423"/>
  <c r="G184" i="423"/>
  <c r="G185" i="423"/>
  <c r="G186" i="423"/>
  <c r="G187" i="423"/>
  <c r="G188" i="423"/>
  <c r="G191" i="423"/>
  <c r="G192" i="423"/>
  <c r="G195" i="423"/>
  <c r="G196" i="423"/>
  <c r="G197" i="423"/>
  <c r="G154" i="423"/>
  <c r="G79" i="423"/>
  <c r="G80" i="423"/>
  <c r="G81" i="423"/>
  <c r="G82" i="423"/>
  <c r="G83" i="423"/>
  <c r="G84" i="423"/>
  <c r="G85" i="423"/>
  <c r="G86" i="423"/>
  <c r="G87" i="423"/>
  <c r="G90" i="423"/>
  <c r="G91" i="423"/>
  <c r="G92" i="423"/>
  <c r="G95" i="423"/>
  <c r="G98" i="423"/>
  <c r="G99" i="423"/>
  <c r="G100" i="423"/>
  <c r="G101" i="423"/>
  <c r="G102" i="423"/>
  <c r="G103" i="423"/>
  <c r="G104" i="423"/>
  <c r="G105" i="423"/>
  <c r="G106" i="423"/>
  <c r="G107" i="423"/>
  <c r="G108" i="423"/>
  <c r="G109" i="423"/>
  <c r="G110" i="423"/>
  <c r="G111" i="423"/>
  <c r="G112" i="423"/>
  <c r="G113" i="423"/>
  <c r="G114" i="423"/>
  <c r="G120" i="423"/>
  <c r="G121" i="423"/>
  <c r="G122" i="423"/>
  <c r="G123" i="423"/>
  <c r="G124" i="423"/>
  <c r="G78" i="423"/>
  <c r="G11" i="423"/>
  <c r="G12" i="423"/>
  <c r="G13" i="423"/>
  <c r="G14" i="423"/>
  <c r="G15" i="423"/>
  <c r="G16" i="423"/>
  <c r="G17" i="423"/>
  <c r="G18" i="423"/>
  <c r="G19" i="423"/>
  <c r="G20" i="423"/>
  <c r="G21" i="423"/>
  <c r="G22" i="423"/>
  <c r="G23" i="423"/>
  <c r="G26" i="423"/>
  <c r="G27" i="423"/>
  <c r="G28" i="423"/>
  <c r="G29" i="423"/>
  <c r="G30" i="423"/>
  <c r="G31" i="423"/>
  <c r="G32" i="423"/>
  <c r="G33" i="423"/>
  <c r="G34" i="423"/>
  <c r="G35" i="423"/>
  <c r="G36" i="423"/>
  <c r="G37" i="423"/>
  <c r="G38" i="423"/>
  <c r="G39" i="423"/>
  <c r="G40" i="423"/>
  <c r="G41" i="423"/>
  <c r="G42" i="423"/>
  <c r="G45" i="423"/>
  <c r="G46" i="423"/>
  <c r="G47" i="423"/>
  <c r="G48" i="423"/>
  <c r="G49" i="423"/>
  <c r="G10" i="423"/>
  <c r="D19" i="385"/>
  <c r="D18" i="385"/>
  <c r="D17" i="385"/>
  <c r="D16" i="385"/>
  <c r="D15" i="385"/>
  <c r="D14" i="385"/>
  <c r="D11" i="385"/>
  <c r="D10" i="385"/>
  <c r="D9" i="385"/>
  <c r="D8" i="385"/>
  <c r="G638" i="422"/>
  <c r="G639" i="422"/>
  <c r="G640" i="422"/>
  <c r="G641" i="422"/>
  <c r="G642" i="422"/>
  <c r="G643" i="422"/>
  <c r="G644" i="422"/>
  <c r="G645" i="422"/>
  <c r="G637" i="422"/>
  <c r="G605" i="422"/>
  <c r="G606" i="422"/>
  <c r="G604" i="422"/>
  <c r="G560" i="422"/>
  <c r="G562" i="422"/>
  <c r="G564" i="422"/>
  <c r="G566" i="422"/>
  <c r="G567" i="422"/>
  <c r="G568" i="422"/>
  <c r="G569" i="422"/>
  <c r="G570" i="422"/>
  <c r="G571" i="422"/>
  <c r="G572" i="422"/>
  <c r="G573" i="422"/>
  <c r="G575" i="422"/>
  <c r="G577" i="422"/>
  <c r="G578" i="422"/>
  <c r="G579" i="422"/>
  <c r="G580" i="422"/>
  <c r="G582" i="422"/>
  <c r="G583" i="422"/>
  <c r="G584" i="422"/>
  <c r="G585" i="422"/>
  <c r="G586" i="422"/>
  <c r="G587" i="422"/>
  <c r="G590" i="422"/>
  <c r="G591" i="422"/>
  <c r="G592" i="422"/>
  <c r="G593" i="422"/>
  <c r="G594" i="422"/>
  <c r="G595" i="422"/>
  <c r="G558" i="422"/>
  <c r="C4" i="422"/>
  <c r="C3" i="422"/>
  <c r="C107" i="422" l="1"/>
  <c r="C170" i="422" s="1"/>
  <c r="C41" i="422"/>
  <c r="C106" i="422"/>
  <c r="C169" i="422" s="1"/>
  <c r="C40" i="422"/>
  <c r="G598" i="422"/>
  <c r="E17" i="385" s="1"/>
  <c r="G37" i="430"/>
  <c r="G16" i="161" s="1"/>
  <c r="G321" i="426"/>
  <c r="E15" i="425" s="1"/>
  <c r="G299" i="434"/>
  <c r="E14" i="433" s="1"/>
  <c r="G280" i="434"/>
  <c r="E13" i="433" s="1"/>
  <c r="G258" i="434"/>
  <c r="E12" i="433" s="1"/>
  <c r="G235" i="434"/>
  <c r="E11" i="433" s="1"/>
  <c r="G194" i="434"/>
  <c r="E10" i="433" s="1"/>
  <c r="G160" i="434"/>
  <c r="E9" i="433" s="1"/>
  <c r="G77" i="434"/>
  <c r="E8" i="433" s="1"/>
  <c r="G43" i="434"/>
  <c r="E7" i="433" s="1"/>
  <c r="G249" i="426"/>
  <c r="E14" i="425" s="1"/>
  <c r="G204" i="426"/>
  <c r="E13" i="425" s="1"/>
  <c r="G92" i="426"/>
  <c r="E9" i="425" s="1"/>
  <c r="G63" i="426"/>
  <c r="E8" i="425" s="1"/>
  <c r="G34" i="426"/>
  <c r="E7" i="425" s="1"/>
  <c r="G491" i="423"/>
  <c r="E15" i="404" s="1"/>
  <c r="G469" i="423"/>
  <c r="E14" i="404" s="1"/>
  <c r="G452" i="423"/>
  <c r="E13" i="404" s="1"/>
  <c r="G302" i="423"/>
  <c r="E10" i="404" s="1"/>
  <c r="G226" i="423"/>
  <c r="E9" i="404" s="1"/>
  <c r="G147" i="423"/>
  <c r="E8" i="404" s="1"/>
  <c r="G71" i="423"/>
  <c r="E7" i="404" s="1"/>
  <c r="G670" i="422"/>
  <c r="E19" i="385" s="1"/>
  <c r="G631" i="422"/>
  <c r="E18" i="385" s="1"/>
  <c r="E14" i="385"/>
  <c r="E11" i="385"/>
  <c r="E10" i="385"/>
  <c r="E9" i="385"/>
  <c r="E8" i="385"/>
  <c r="C235" i="422" l="1"/>
  <c r="C427" i="422" s="1"/>
  <c r="C465" i="422" s="1"/>
  <c r="C506" i="422" s="1"/>
  <c r="C544" i="422" s="1"/>
  <c r="C601" i="422" s="1"/>
  <c r="C634" i="422" s="1"/>
  <c r="C299" i="422"/>
  <c r="C234" i="422"/>
  <c r="C363" i="422" s="1"/>
  <c r="C298" i="422"/>
  <c r="E26" i="425"/>
  <c r="G14" i="161" s="1"/>
  <c r="E27" i="385"/>
  <c r="E26" i="404"/>
  <c r="E24" i="428"/>
  <c r="G15" i="161" s="1"/>
  <c r="E24" i="433"/>
  <c r="G17" i="161" s="1"/>
  <c r="C426" i="422" l="1"/>
  <c r="C464" i="422" s="1"/>
  <c r="C505" i="422" s="1"/>
  <c r="C543" i="422" s="1"/>
  <c r="C600" i="422" s="1"/>
  <c r="C633" i="422" s="1"/>
  <c r="D5" i="161"/>
  <c r="F13" i="161" l="1"/>
  <c r="C5" i="404" l="1"/>
  <c r="C4" i="404"/>
  <c r="G13" i="161" l="1"/>
  <c r="C5" i="385" l="1"/>
  <c r="C4" i="385"/>
  <c r="G452" i="392" l="1"/>
  <c r="G816" i="392"/>
  <c r="G815" i="392"/>
  <c r="G812" i="392"/>
  <c r="G811" i="392"/>
  <c r="F808" i="392"/>
  <c r="G808" i="392" s="1"/>
  <c r="G807" i="392"/>
  <c r="G797" i="392"/>
  <c r="G794" i="392"/>
  <c r="G791" i="392"/>
  <c r="D772" i="392"/>
  <c r="G772" i="392" s="1"/>
  <c r="G769" i="392"/>
  <c r="G767" i="392"/>
  <c r="D764" i="392"/>
  <c r="G764" i="392" s="1"/>
  <c r="D763" i="392"/>
  <c r="G763" i="392" s="1"/>
  <c r="D761" i="392"/>
  <c r="G761" i="392" s="1"/>
  <c r="G755" i="392"/>
  <c r="G753" i="392"/>
  <c r="G751" i="392"/>
  <c r="G750" i="392"/>
  <c r="F749" i="392"/>
  <c r="G749" i="392" s="1"/>
  <c r="G747" i="392"/>
  <c r="G746" i="392"/>
  <c r="G744" i="392"/>
  <c r="G742" i="392"/>
  <c r="G740" i="392"/>
  <c r="G715" i="392"/>
  <c r="D713" i="392"/>
  <c r="G713" i="392" s="1"/>
  <c r="G710" i="392"/>
  <c r="D709" i="392"/>
  <c r="G709" i="392" s="1"/>
  <c r="G705" i="392"/>
  <c r="G704" i="392"/>
  <c r="G702" i="392"/>
  <c r="G699" i="392"/>
  <c r="D697" i="392"/>
  <c r="G697" i="392" s="1"/>
  <c r="F696" i="392"/>
  <c r="D696" i="392"/>
  <c r="G693" i="392"/>
  <c r="G692" i="392"/>
  <c r="G691" i="392"/>
  <c r="G690" i="392"/>
  <c r="G689" i="392"/>
  <c r="D657" i="392"/>
  <c r="G657" i="392" s="1"/>
  <c r="G655" i="392"/>
  <c r="D648" i="392"/>
  <c r="G648" i="392" s="1"/>
  <c r="D647" i="392"/>
  <c r="G647" i="392" s="1"/>
  <c r="F645" i="392"/>
  <c r="G645" i="392" s="1"/>
  <c r="G644" i="392"/>
  <c r="F642" i="392"/>
  <c r="G642" i="392" s="1"/>
  <c r="G640" i="392"/>
  <c r="G616" i="392"/>
  <c r="G613" i="392"/>
  <c r="G611" i="392"/>
  <c r="G603" i="392"/>
  <c r="G601" i="392"/>
  <c r="G600" i="392"/>
  <c r="G599" i="392"/>
  <c r="G598" i="392"/>
  <c r="G597" i="392"/>
  <c r="G596" i="392"/>
  <c r="G595" i="392"/>
  <c r="G594" i="392"/>
  <c r="G593" i="392"/>
  <c r="G592" i="392"/>
  <c r="G571" i="392"/>
  <c r="G570" i="392"/>
  <c r="G569" i="392"/>
  <c r="G568" i="392"/>
  <c r="G566" i="392"/>
  <c r="G564" i="392"/>
  <c r="G562" i="392"/>
  <c r="G560" i="392"/>
  <c r="G550" i="392"/>
  <c r="G549" i="392"/>
  <c r="G548" i="392"/>
  <c r="G547" i="392"/>
  <c r="G546" i="392"/>
  <c r="G545" i="392"/>
  <c r="G543" i="392"/>
  <c r="G540" i="392"/>
  <c r="G539" i="392"/>
  <c r="G538" i="392"/>
  <c r="G537" i="392"/>
  <c r="G536" i="392"/>
  <c r="G535" i="392"/>
  <c r="G529" i="392"/>
  <c r="G526" i="392"/>
  <c r="G525" i="392"/>
  <c r="G524" i="392"/>
  <c r="G523" i="392"/>
  <c r="G520" i="392"/>
  <c r="G518" i="392"/>
  <c r="G517" i="392"/>
  <c r="G516" i="392"/>
  <c r="G515" i="392"/>
  <c r="G505" i="392"/>
  <c r="G504" i="392"/>
  <c r="G503" i="392"/>
  <c r="G502" i="392"/>
  <c r="G501" i="392"/>
  <c r="G500" i="392"/>
  <c r="G499" i="392"/>
  <c r="G498" i="392"/>
  <c r="G497" i="392"/>
  <c r="G465" i="392"/>
  <c r="G466" i="392" s="1"/>
  <c r="G473" i="392" s="1"/>
  <c r="G459" i="392"/>
  <c r="G458" i="392"/>
  <c r="G456" i="392"/>
  <c r="D455" i="392"/>
  <c r="G455" i="392" s="1"/>
  <c r="G451" i="392"/>
  <c r="F448" i="392"/>
  <c r="G448" i="392"/>
  <c r="G447" i="392"/>
  <c r="G446" i="392"/>
  <c r="G445" i="392"/>
  <c r="G444" i="392"/>
  <c r="G435" i="392"/>
  <c r="G434" i="392"/>
  <c r="G431" i="392"/>
  <c r="G429" i="392"/>
  <c r="G428" i="392"/>
  <c r="G427" i="392"/>
  <c r="G426" i="392"/>
  <c r="G425" i="392"/>
  <c r="G424" i="392"/>
  <c r="G392" i="392"/>
  <c r="G393" i="392" s="1"/>
  <c r="G399" i="392" s="1"/>
  <c r="G383" i="392"/>
  <c r="G380" i="392"/>
  <c r="G379" i="392"/>
  <c r="G377" i="392"/>
  <c r="G376" i="392"/>
  <c r="G375" i="392"/>
  <c r="G372" i="392"/>
  <c r="G371" i="392"/>
  <c r="D347" i="392"/>
  <c r="D350" i="392" s="1"/>
  <c r="G350" i="392" s="1"/>
  <c r="G345" i="392"/>
  <c r="G342" i="392"/>
  <c r="D341" i="392"/>
  <c r="G341" i="392" s="1"/>
  <c r="G340" i="392"/>
  <c r="D339" i="392"/>
  <c r="G339" i="392" s="1"/>
  <c r="G333" i="392"/>
  <c r="G332" i="392"/>
  <c r="G331" i="392"/>
  <c r="G328" i="392"/>
  <c r="G327" i="392"/>
  <c r="G326" i="392"/>
  <c r="G324" i="392"/>
  <c r="G321" i="392"/>
  <c r="G320" i="392"/>
  <c r="G319" i="392"/>
  <c r="G318" i="392"/>
  <c r="G317" i="392"/>
  <c r="G316" i="392"/>
  <c r="C310" i="392"/>
  <c r="G288" i="392"/>
  <c r="D286" i="392"/>
  <c r="G286" i="392" s="1"/>
  <c r="G279" i="392"/>
  <c r="G277" i="392"/>
  <c r="F275" i="392"/>
  <c r="G275" i="392" s="1"/>
  <c r="G274" i="392"/>
  <c r="D271" i="392"/>
  <c r="G271" i="392" s="1"/>
  <c r="G267" i="392"/>
  <c r="D266" i="392"/>
  <c r="G261" i="392"/>
  <c r="F259" i="392"/>
  <c r="F260" i="392" s="1"/>
  <c r="G260" i="392" s="1"/>
  <c r="G258" i="392"/>
  <c r="G256" i="392"/>
  <c r="G255" i="392"/>
  <c r="G251" i="392"/>
  <c r="G250" i="392"/>
  <c r="G249" i="392"/>
  <c r="G248" i="392"/>
  <c r="D247" i="392"/>
  <c r="G247" i="392" s="1"/>
  <c r="G245" i="392"/>
  <c r="G244" i="392"/>
  <c r="G241" i="392"/>
  <c r="G240" i="392"/>
  <c r="G213" i="392"/>
  <c r="G211" i="392"/>
  <c r="G210" i="392"/>
  <c r="G209" i="392"/>
  <c r="G208" i="392"/>
  <c r="G207" i="392"/>
  <c r="G206" i="392"/>
  <c r="D205" i="392"/>
  <c r="G205" i="392" s="1"/>
  <c r="G204" i="392"/>
  <c r="D200" i="392"/>
  <c r="G200" i="392" s="1"/>
  <c r="G198" i="392"/>
  <c r="G197" i="392"/>
  <c r="G196" i="392"/>
  <c r="G195" i="392"/>
  <c r="G194" i="392"/>
  <c r="G193" i="392"/>
  <c r="G191" i="392"/>
  <c r="G188" i="392"/>
  <c r="F180" i="392"/>
  <c r="F181" i="392" s="1"/>
  <c r="F182" i="392" s="1"/>
  <c r="G179" i="392"/>
  <c r="D137" i="392"/>
  <c r="G137" i="392" s="1"/>
  <c r="G133" i="392"/>
  <c r="G131" i="392"/>
  <c r="G130" i="392"/>
  <c r="G129" i="392"/>
  <c r="G128" i="392"/>
  <c r="D126" i="392"/>
  <c r="G126" i="392" s="1"/>
  <c r="G124" i="392"/>
  <c r="G123" i="392"/>
  <c r="G122" i="392"/>
  <c r="G121" i="392"/>
  <c r="G119" i="392"/>
  <c r="G116" i="392"/>
  <c r="G110" i="392"/>
  <c r="G109" i="392"/>
  <c r="G108" i="392"/>
  <c r="G106" i="392"/>
  <c r="G104" i="392"/>
  <c r="G101" i="392"/>
  <c r="D100" i="392"/>
  <c r="G100" i="392" s="1"/>
  <c r="G99" i="392"/>
  <c r="G98" i="392"/>
  <c r="G97" i="392"/>
  <c r="G96" i="392"/>
  <c r="G95" i="392"/>
  <c r="G94" i="392"/>
  <c r="G93" i="392"/>
  <c r="C87" i="392"/>
  <c r="C174" i="392" s="1"/>
  <c r="C235" i="392" s="1"/>
  <c r="C367" i="392" s="1"/>
  <c r="C418" i="392" s="1"/>
  <c r="C492" i="392" s="1"/>
  <c r="C587" i="392" s="1"/>
  <c r="C636" i="392" s="1"/>
  <c r="C684" i="392" s="1"/>
  <c r="C736" i="392" s="1"/>
  <c r="C785" i="392" s="1"/>
  <c r="D62" i="392"/>
  <c r="D63" i="392" s="1"/>
  <c r="G63" i="392" s="1"/>
  <c r="D60" i="392"/>
  <c r="D65" i="392" s="1"/>
  <c r="G65" i="392" s="1"/>
  <c r="G59" i="392"/>
  <c r="D58" i="392"/>
  <c r="G58" i="392" s="1"/>
  <c r="D52" i="392"/>
  <c r="G52" i="392" s="1"/>
  <c r="G50" i="392"/>
  <c r="D49" i="392"/>
  <c r="G49" i="392" s="1"/>
  <c r="G48" i="392"/>
  <c r="G46" i="392"/>
  <c r="G45" i="392"/>
  <c r="G42" i="392"/>
  <c r="G41" i="392"/>
  <c r="D39" i="392"/>
  <c r="G39" i="392" s="1"/>
  <c r="G36" i="392"/>
  <c r="G35" i="392"/>
  <c r="G34" i="392"/>
  <c r="G33" i="392"/>
  <c r="G32" i="392"/>
  <c r="C27" i="392"/>
  <c r="G22" i="392"/>
  <c r="G21" i="392"/>
  <c r="G19" i="392"/>
  <c r="G18" i="392"/>
  <c r="D16" i="392"/>
  <c r="G16" i="392" s="1"/>
  <c r="G15" i="392"/>
  <c r="D13" i="392"/>
  <c r="G13" i="392" s="1"/>
  <c r="G12" i="392"/>
  <c r="G10" i="392"/>
  <c r="G9" i="392"/>
  <c r="C3" i="392"/>
  <c r="F12" i="161"/>
  <c r="G716" i="392" l="1"/>
  <c r="G720" i="392" s="1"/>
  <c r="G215" i="392"/>
  <c r="G219" i="392" s="1"/>
  <c r="G181" i="392"/>
  <c r="G112" i="392"/>
  <c r="G148" i="392" s="1"/>
  <c r="G347" i="392"/>
  <c r="G54" i="392"/>
  <c r="G70" i="392" s="1"/>
  <c r="D254" i="392"/>
  <c r="G254" i="392" s="1"/>
  <c r="G262" i="392" s="1"/>
  <c r="G294" i="392" s="1"/>
  <c r="G510" i="392"/>
  <c r="G575" i="392" s="1"/>
  <c r="G572" i="392"/>
  <c r="G578" i="392" s="1"/>
  <c r="G652" i="392"/>
  <c r="G661" i="392" s="1"/>
  <c r="G658" i="392"/>
  <c r="G662" i="392" s="1"/>
  <c r="G60" i="392"/>
  <c r="G67" i="392" s="1"/>
  <c r="G71" i="392" s="1"/>
  <c r="D139" i="392"/>
  <c r="G139" i="392" s="1"/>
  <c r="G530" i="392"/>
  <c r="G576" i="392" s="1"/>
  <c r="G696" i="392"/>
  <c r="G706" i="392" s="1"/>
  <c r="G719" i="392" s="1"/>
  <c r="G733" i="392" s="1"/>
  <c r="G62" i="392"/>
  <c r="D135" i="392"/>
  <c r="G135" i="392" s="1"/>
  <c r="G141" i="392" s="1"/>
  <c r="G149" i="392" s="1"/>
  <c r="G259" i="392"/>
  <c r="G607" i="392"/>
  <c r="G620" i="392" s="1"/>
  <c r="G617" i="392"/>
  <c r="G621" i="392" s="1"/>
  <c r="G633" i="392" s="1"/>
  <c r="G803" i="392"/>
  <c r="G819" i="392" s="1"/>
  <c r="G821" i="392" s="1"/>
  <c r="G773" i="392"/>
  <c r="G778" i="392" s="1"/>
  <c r="G440" i="392"/>
  <c r="G471" i="392" s="1"/>
  <c r="G289" i="392"/>
  <c r="G296" i="392" s="1"/>
  <c r="G336" i="392"/>
  <c r="G353" i="392" s="1"/>
  <c r="G388" i="392"/>
  <c r="G398" i="392" s="1"/>
  <c r="G415" i="392" s="1"/>
  <c r="G461" i="392"/>
  <c r="G472" i="392" s="1"/>
  <c r="C309" i="392"/>
  <c r="C26" i="392"/>
  <c r="C86" i="392"/>
  <c r="C173" i="392" s="1"/>
  <c r="C234" i="392" s="1"/>
  <c r="C366" i="392" s="1"/>
  <c r="C417" i="392" s="1"/>
  <c r="C491" i="392" s="1"/>
  <c r="C586" i="392" s="1"/>
  <c r="C635" i="392" s="1"/>
  <c r="C683" i="392" s="1"/>
  <c r="C735" i="392" s="1"/>
  <c r="C784" i="392" s="1"/>
  <c r="G758" i="392"/>
  <c r="G777" i="392" s="1"/>
  <c r="G817" i="392"/>
  <c r="G820" i="392" s="1"/>
  <c r="G24" i="392"/>
  <c r="F185" i="392"/>
  <c r="F183" i="392"/>
  <c r="G183" i="392" s="1"/>
  <c r="G182" i="392"/>
  <c r="F184" i="392"/>
  <c r="G184" i="392" s="1"/>
  <c r="D270" i="392"/>
  <c r="G270" i="392" s="1"/>
  <c r="G266" i="392"/>
  <c r="G351" i="392"/>
  <c r="G354" i="392" s="1"/>
  <c r="G555" i="392"/>
  <c r="G577" i="392" s="1"/>
  <c r="G180" i="392"/>
  <c r="D265" i="392"/>
  <c r="G584" i="392" l="1"/>
  <c r="G171" i="392"/>
  <c r="G681" i="392"/>
  <c r="G84" i="392"/>
  <c r="G782" i="392"/>
  <c r="G489" i="392"/>
  <c r="G364" i="392"/>
  <c r="D269" i="392"/>
  <c r="G269" i="392" s="1"/>
  <c r="G265" i="392"/>
  <c r="F186" i="392"/>
  <c r="G186" i="392" s="1"/>
  <c r="G185" i="392"/>
  <c r="G201" i="392" s="1"/>
  <c r="G218" i="392" s="1"/>
  <c r="G232" i="392" s="1"/>
  <c r="G282" i="392" l="1"/>
  <c r="G295" i="392" s="1"/>
  <c r="G307" i="392" s="1"/>
  <c r="G12" i="161" l="1"/>
  <c r="G22" i="161" l="1"/>
  <c r="G23" i="161" l="1"/>
  <c r="G24" i="161" s="1"/>
  <c r="G25" i="161" l="1"/>
  <c r="G26" i="161" s="1"/>
  <c r="J26" i="161" s="1"/>
  <c r="J28" i="161" s="1"/>
</calcChain>
</file>

<file path=xl/sharedStrings.xml><?xml version="1.0" encoding="utf-8"?>
<sst xmlns="http://schemas.openxmlformats.org/spreadsheetml/2006/main" count="5326" uniqueCount="1246">
  <si>
    <t>STEEL REINFORCEMENT as described including cutting to length, bending, hoisting and fixing and including all necessary tying wire and spacing blocks</t>
  </si>
  <si>
    <t>KG</t>
  </si>
  <si>
    <t>Vertical sides of columns</t>
  </si>
  <si>
    <t>8mm diameter bars</t>
  </si>
  <si>
    <t>12mm diameter bars</t>
  </si>
  <si>
    <t>16mm diameter bars</t>
  </si>
  <si>
    <t xml:space="preserve">Beams </t>
  </si>
  <si>
    <t>Sides and soffittes of beams</t>
  </si>
  <si>
    <t xml:space="preserve">No. A 142 Fabric Mesh reinforcement weighing 2.22 Kg. per square meter fixed in slab; </t>
  </si>
  <si>
    <t>HOLLOW BLOCK CONSTRUCTION</t>
  </si>
  <si>
    <t>Staircases</t>
  </si>
  <si>
    <t>Sloping soffittes of staircase</t>
  </si>
  <si>
    <t>FINISHES</t>
  </si>
  <si>
    <t>CEMENT AND SAND (1:4) SCREEDS : finished to receive floor tiles</t>
  </si>
  <si>
    <t>PVC  Key terrain fixed in accordance with manufacturer's instructions</t>
  </si>
  <si>
    <t>J</t>
  </si>
  <si>
    <t>K</t>
  </si>
  <si>
    <t>M</t>
  </si>
  <si>
    <t>CM</t>
  </si>
  <si>
    <t>RETAINING WALL</t>
  </si>
  <si>
    <t>Excavate for retaining wall commencing at reduced level but not exceeding 1.5m deep.</t>
  </si>
  <si>
    <t>Retaining wall footings</t>
  </si>
  <si>
    <t>Vertical sides of retaining wall footings</t>
  </si>
  <si>
    <t>TANKING</t>
  </si>
  <si>
    <t>Walls : externally</t>
  </si>
  <si>
    <t>Walls : internally</t>
  </si>
  <si>
    <t>40 x 40mm Triangular fillet</t>
  </si>
  <si>
    <t>"Sika Swell" T-Profile joint at junctions of wall and floor</t>
  </si>
  <si>
    <t>PROTECTIVE LAYER</t>
  </si>
  <si>
    <t>FORMWORK to:-</t>
  </si>
  <si>
    <t>PAGE NO.</t>
  </si>
  <si>
    <t>A</t>
  </si>
  <si>
    <t>B</t>
  </si>
  <si>
    <t>C</t>
  </si>
  <si>
    <t>D</t>
  </si>
  <si>
    <t>E</t>
  </si>
  <si>
    <t>F</t>
  </si>
  <si>
    <t>ITEM</t>
  </si>
  <si>
    <t>DESCRIPTION</t>
  </si>
  <si>
    <t>H</t>
  </si>
  <si>
    <t>I</t>
  </si>
  <si>
    <t>PREPARE AND APPLY ONE MIST COAT AND THREE COATS silk vinyl emulsion paint internally on:</t>
  </si>
  <si>
    <t>WALL FINISHES</t>
  </si>
  <si>
    <t>PAINTING AND DECORATING</t>
  </si>
  <si>
    <t>MAIN SUMMARY</t>
  </si>
  <si>
    <t>…………………………………….………………</t>
  </si>
  <si>
    <t>Signature of Employer</t>
  </si>
  <si>
    <t>Signature of the Contractor</t>
  </si>
  <si>
    <t>Date: ………………..………………..</t>
  </si>
  <si>
    <t>Date: ………………………………...……….</t>
  </si>
  <si>
    <t>ELEMENT</t>
  </si>
  <si>
    <t>ELEMENT NO.1</t>
  </si>
  <si>
    <t>SUMMARY</t>
  </si>
  <si>
    <t xml:space="preserve"> </t>
  </si>
  <si>
    <t>UNIT</t>
  </si>
  <si>
    <t>TO SUMMARY</t>
  </si>
  <si>
    <t>TO COLLECTION</t>
  </si>
  <si>
    <t>EXTERNAL WALL FINISHES</t>
  </si>
  <si>
    <t>INTERNAL WALL FINISHES</t>
  </si>
  <si>
    <t>IRON MONGERY</t>
  </si>
  <si>
    <t>COLLECTION</t>
  </si>
  <si>
    <t>BILL NO.</t>
  </si>
  <si>
    <t>DATE:</t>
  </si>
  <si>
    <t>LOCATION:</t>
  </si>
  <si>
    <t>EMPLOYER:</t>
  </si>
  <si>
    <t>PROJECT:</t>
  </si>
  <si>
    <t>Witness:     ______________________________</t>
  </si>
  <si>
    <t xml:space="preserve">                ______________________________</t>
  </si>
  <si>
    <t>…………………….……………………….</t>
  </si>
  <si>
    <t xml:space="preserve">                ___________________________</t>
  </si>
  <si>
    <t>Witness:     ___________________________</t>
  </si>
  <si>
    <t>ELEMENT NO.2</t>
  </si>
  <si>
    <t>G/S</t>
  </si>
  <si>
    <t>QTY</t>
  </si>
  <si>
    <t xml:space="preserve">R.C. FRAME </t>
  </si>
  <si>
    <t xml:space="preserve">LM </t>
  </si>
  <si>
    <t>Plastered wall and concrete surfaces</t>
  </si>
  <si>
    <t xml:space="preserve">FLOOR FINISHES </t>
  </si>
  <si>
    <t>CEMENT AND SAND (1:4) SCREEDS FINISHED to receive wall tiles</t>
  </si>
  <si>
    <t>Wall surfaces</t>
  </si>
  <si>
    <t>Extra over for PVC corner strip</t>
  </si>
  <si>
    <t>ELEMENT NO.3</t>
  </si>
  <si>
    <t>No. A 142 Fabric Mesh reinforcement weighing 2.22 Kg. per square meter fixed in slab.</t>
  </si>
  <si>
    <t>Rendered wall surfaces</t>
  </si>
  <si>
    <t>ELEMENT NO.7</t>
  </si>
  <si>
    <t>INTERNAL LIME PLASTER first coat of cement, lime putty and sand (1:2:9), second coat of cement, lime putty and sand (1:1:6) Steel trowelled smooth</t>
  </si>
  <si>
    <t>Ditto but sloping soffittes of staircase</t>
  </si>
  <si>
    <t>Steel trowelled plastered soffittes of landing</t>
  </si>
  <si>
    <t>O</t>
  </si>
  <si>
    <t>L</t>
  </si>
  <si>
    <t>N</t>
  </si>
  <si>
    <t>CONCRETE WORK</t>
  </si>
  <si>
    <t>Columns</t>
  </si>
  <si>
    <t xml:space="preserve">Soffittes of suspended landing </t>
  </si>
  <si>
    <t>Landing</t>
  </si>
  <si>
    <t>100 x 10mm skirting</t>
  </si>
  <si>
    <t>CEMENT SAND (1:4) SCREED finished smooth</t>
  </si>
  <si>
    <t>STAIRCASES AND BALUSTRADING</t>
  </si>
  <si>
    <t>SUNDRIES</t>
  </si>
  <si>
    <t>SUBSTRUCTURES</t>
  </si>
  <si>
    <t>The work in this element includes all works up to and including the ground floor slab</t>
  </si>
  <si>
    <t>Allow for maintaining and upholding sides of excavation : clear off all fallen material, rubbish.</t>
  </si>
  <si>
    <t>Allow for keeping the whole of the excavation free from general water.</t>
  </si>
  <si>
    <t>Excavate for column bases commencing at reduced level but not exceeding 1.5m deep.</t>
  </si>
  <si>
    <t>Extra over excavation for excavating in rock.</t>
  </si>
  <si>
    <t>Return fill and ram selected excavated material around foundations.</t>
  </si>
  <si>
    <t>Load and remove from site surplus excavated materials</t>
  </si>
  <si>
    <t>Approved murram fill : well compacted in 150mm thick layers.</t>
  </si>
  <si>
    <t>50mm thick dust blinding over surfaces of hardcore</t>
  </si>
  <si>
    <t>Insecticide treatment to surfaces of hardcore, top of foundation walling and bottom of excavation.</t>
  </si>
  <si>
    <t>Column bases</t>
  </si>
  <si>
    <t>SM</t>
  </si>
  <si>
    <t>LM</t>
  </si>
  <si>
    <t>NO</t>
  </si>
  <si>
    <t>G</t>
  </si>
  <si>
    <t>DOORS</t>
  </si>
  <si>
    <t>WINDOWS</t>
  </si>
  <si>
    <t>1000 Gauge polythene sheeting laid on blinded hardcore</t>
  </si>
  <si>
    <t>TWO COATS EXTERNAL CEMENT RENDER (1:4) finished with wood float</t>
  </si>
  <si>
    <t>TWO COATS BLACK BITUMASTIC paint on:</t>
  </si>
  <si>
    <t>Floors</t>
  </si>
  <si>
    <t>250mm Thick layer of stone sieve, handpacked along the retaining wall</t>
  </si>
  <si>
    <t>DRAINAGE</t>
  </si>
  <si>
    <t>150mm diameter porous PVC pipe lain in granular fill</t>
  </si>
  <si>
    <t xml:space="preserve"> TO SUMMARY</t>
  </si>
  <si>
    <t>STEEL FABRIC REINFORCEMENT TO BS 4483 as described</t>
  </si>
  <si>
    <t>20 SWG Hoop Iron wall tie 25mm wide x 450mm long cast 75mm into concrete and built into joint of blockwalling.</t>
  </si>
  <si>
    <t>DAMP PROOF MEMBRANE</t>
  </si>
  <si>
    <t>FORMWORK TO:-</t>
  </si>
  <si>
    <t>WALLING</t>
  </si>
  <si>
    <t>PRECAST CONCRETE CLASS 20; finished fair on all exposed surfaces including bedding and jointing in cement sand (1:3) mortar</t>
  </si>
  <si>
    <t>BLOCK WORK</t>
  </si>
  <si>
    <t>General surfaces</t>
  </si>
  <si>
    <t>Surfaces not exceeding 100mm girth</t>
  </si>
  <si>
    <t>PRS</t>
  </si>
  <si>
    <t>50 x 25mm Architrave : splayed</t>
  </si>
  <si>
    <t>25mm Quadrant : ditto</t>
  </si>
  <si>
    <t xml:space="preserve">SITE CLEARANCE </t>
  </si>
  <si>
    <t xml:space="preserve">Excavate average 200mm deep to remove top soil: remove from site </t>
  </si>
  <si>
    <t xml:space="preserve"> TO COLLECTION</t>
  </si>
  <si>
    <t>CEILING FINISHES</t>
  </si>
  <si>
    <t>Insecticide treatment to bottom of excavation.</t>
  </si>
  <si>
    <t>FORMWORK to;</t>
  </si>
  <si>
    <t>INTERNAL LIME PLASTER first coat of cement lime and sand (1:2:9) second coat of cement, lime putty and sand (1:1:6) Steel trowelled smooth</t>
  </si>
  <si>
    <t>TIMBER DOORS</t>
  </si>
  <si>
    <t>WROT MAHOGANY FRAMES AND LININGS, selected, treated and kept clean: to Architects detail.</t>
  </si>
  <si>
    <t>PREPARE AND APPLY THREE coats of polyurathane varnish: in accordance with manufacturer's instructions : on wood: to</t>
  </si>
  <si>
    <t>Surfaces 100 - 300mm</t>
  </si>
  <si>
    <t>Prime back of frame before fixing 100 - 300mm girth</t>
  </si>
  <si>
    <t>HINGES</t>
  </si>
  <si>
    <t>LOCKSETS</t>
  </si>
  <si>
    <t>HANDLES</t>
  </si>
  <si>
    <t>DOOR STOPS</t>
  </si>
  <si>
    <t xml:space="preserve">40mm thick floor screed to receive floor tiles </t>
  </si>
  <si>
    <t>VIBRATED REINFORCED CONCRETE CLASS 25 (25Mpa/ 19mm concrete with 20mm max. aggregate size) IN:</t>
  </si>
  <si>
    <t>50mm Thick blinding layer under column bases</t>
  </si>
  <si>
    <t>Risers of steps 75 to 150mm high</t>
  </si>
  <si>
    <t>Edges of open string of Staircases</t>
  </si>
  <si>
    <t>Soffittes of horizontal suspended slabs</t>
  </si>
  <si>
    <t>2/3/1</t>
  </si>
  <si>
    <t>CEMENT AND WASHED SAND (1:3) render trowelled smooth</t>
  </si>
  <si>
    <t>Rendered surfaces</t>
  </si>
  <si>
    <t>SITE CLEARANCE AND EARTHWORKS</t>
  </si>
  <si>
    <t>2/1/1</t>
  </si>
  <si>
    <t>2/2/1</t>
  </si>
  <si>
    <t>2/2/2</t>
  </si>
  <si>
    <t>Total carried forward from Page 2/2/1</t>
  </si>
  <si>
    <t>Total carried forward from Page 2/2/2</t>
  </si>
  <si>
    <t>Total carried forward from Page 2/3/1</t>
  </si>
  <si>
    <t>Total carried forward from Page 2/3/2</t>
  </si>
  <si>
    <t>2/3/2</t>
  </si>
  <si>
    <t>2/4/1</t>
  </si>
  <si>
    <t>Total carried forward from Page 2/4/1</t>
  </si>
  <si>
    <t>Total carried forward from Page 2/4/2</t>
  </si>
  <si>
    <t>ELEMENT NO.6</t>
  </si>
  <si>
    <t>2/8/1</t>
  </si>
  <si>
    <t>2/10/1</t>
  </si>
  <si>
    <t>VIBRATED REINFORCED CONCRETE CLASS 25 (25Mpa/19mm with 20mm max. aggregate size)</t>
  </si>
  <si>
    <t>PLAIN CONCRETE CLASS 15 (15Mpa/19mm concrete with 20mm max. aggregate size)</t>
  </si>
  <si>
    <t>RIBBED BARS  to BS 5950</t>
  </si>
  <si>
    <t>MILD STEEL ROUND BARS TO BS 4449</t>
  </si>
  <si>
    <t>Excavate for foundation trench commencing at reduced level but not exceeding 1.5m deep.</t>
  </si>
  <si>
    <t>Vertical sides of column bases</t>
  </si>
  <si>
    <t>150mm Thick Bed of handpacked stone base, well rolled and  compacted</t>
  </si>
  <si>
    <t>Strip foundation</t>
  </si>
  <si>
    <t>SUB-WALLING</t>
  </si>
  <si>
    <t>Edges of floor bed 75 - 150mm high</t>
  </si>
  <si>
    <t>20 SWG Hoop Iron wall tie 25mm wide x 450mm long cast 75mm into concrete and built into joints of brickwalling.</t>
  </si>
  <si>
    <t>HANDRAIL</t>
  </si>
  <si>
    <t>ELEMENT NO.5</t>
  </si>
  <si>
    <t>2/6/1</t>
  </si>
  <si>
    <t>2/5/1</t>
  </si>
  <si>
    <t>2/12/1</t>
  </si>
  <si>
    <t>EARTHWORKS</t>
  </si>
  <si>
    <t>CART AWAY AND FILLING</t>
  </si>
  <si>
    <t>Load from spoil heaps and and spread on site, compact levelled murram in 150mm thick layers to the Engineer's satisfaction cart away excavated material from site.</t>
  </si>
  <si>
    <t>Load from spoil heaps and remove surplus excavated materials from site</t>
  </si>
  <si>
    <t xml:space="preserve">Clear site of all trees, bushes, shrubs and under growth including grubbing up roots and removing away from site </t>
  </si>
  <si>
    <t>JOINERY FITTINGS</t>
  </si>
  <si>
    <t>Ditto but 1.5 - 3.0 meters deep;</t>
  </si>
  <si>
    <t>DESIGN AND INSTALLATION OF LATERAL SUPPORT</t>
  </si>
  <si>
    <t>Mechanical excavation to reduce levels not exceeding 1.5m deep commencing from stripped level</t>
  </si>
  <si>
    <t>Balcony balustrading</t>
  </si>
  <si>
    <t xml:space="preserve">Supply and fix the following Joinery fittings: including all labour and materials: painting and decoration: iron mongery and accessories where applicable; in;- </t>
  </si>
  <si>
    <t>Vertical sides of retaining walls</t>
  </si>
  <si>
    <t>Extra over formwork for fair facing</t>
  </si>
  <si>
    <t xml:space="preserve">150mm thick ground floor slab </t>
  </si>
  <si>
    <t>2/3/3</t>
  </si>
  <si>
    <t>ELEMENT NO. 4</t>
  </si>
  <si>
    <t>2/4/2</t>
  </si>
  <si>
    <t>WATERPROOFING</t>
  </si>
  <si>
    <t xml:space="preserve">CEMENT SAND SCREED (1:4) finished to receive waterproofing material </t>
  </si>
  <si>
    <t xml:space="preserve">Ditto to lining of 110mm diameter fulbora outlets </t>
  </si>
  <si>
    <t>Slabs; laid to falls</t>
  </si>
  <si>
    <t>25mm Thick to slabs; laid to falls</t>
  </si>
  <si>
    <t>175mm thick Landing</t>
  </si>
  <si>
    <t>ALUMINIUM DOORS</t>
  </si>
  <si>
    <t>ALUMINIUM WINDOWS</t>
  </si>
  <si>
    <t>PREPARE AND APPLY ONE MIST COAT AND THREE COATS ceiling matt emulsion paint internally on:</t>
  </si>
  <si>
    <t>Plastered surfaces</t>
  </si>
  <si>
    <t>Total carried forward from Page 2/5/1</t>
  </si>
  <si>
    <t>Total carried forward from Page 2/5/2</t>
  </si>
  <si>
    <t>2/5/2</t>
  </si>
  <si>
    <t>ELEMENT NO.8</t>
  </si>
  <si>
    <t>ELEMENT NO.13</t>
  </si>
  <si>
    <t>2/13/1</t>
  </si>
  <si>
    <t>LIFT SHAFT</t>
  </si>
  <si>
    <t>Excavate for lift shaft bases commencing at reduced level but not exceeding 1.5m deep.</t>
  </si>
  <si>
    <t>Ditto but 1.5 - 3.0 meters deep; ditto</t>
  </si>
  <si>
    <t>Insecticide treatment to  bottom of excavation.</t>
  </si>
  <si>
    <t>PLAIN CONCRETE CLASS 10 (10Mpa/ 19mm concrete with 20mm max. aggregate size) IN:</t>
  </si>
  <si>
    <t>50mm Thick blinding layer under lift shaft bases</t>
  </si>
  <si>
    <t>Lift shaft base</t>
  </si>
  <si>
    <t>200mm thick sub-walls</t>
  </si>
  <si>
    <t>200mm thick super-walls</t>
  </si>
  <si>
    <t>RIBBED BARS  to BS 4461</t>
  </si>
  <si>
    <t>10mm diameter bars</t>
  </si>
  <si>
    <t>Vertical sides of lift shaft base</t>
  </si>
  <si>
    <t>Vertical sides of walls</t>
  </si>
  <si>
    <t>Door opening edges 150 to 225mm high</t>
  </si>
  <si>
    <t>INTERNAL LIME PLASTER First coat of cement lime and sand (1:2:9) : second coat of cement, lime putty and sand (1:1.6) Steel trowelled smooth</t>
  </si>
  <si>
    <t>Total carried forward from Page 2/6/1</t>
  </si>
  <si>
    <t>Total carried forward from Page 2/6/2</t>
  </si>
  <si>
    <t>2/6/2</t>
  </si>
  <si>
    <t>ELEMENT NO.9</t>
  </si>
  <si>
    <t>ELEMENT NO.10</t>
  </si>
  <si>
    <t>INCLUDED</t>
  </si>
  <si>
    <t xml:space="preserve">25mm thick two coat work to soffittes of suspended landing </t>
  </si>
  <si>
    <t>25mm Thick two coat work to walls.</t>
  </si>
  <si>
    <t>25mm Thick three layer work to Walls</t>
  </si>
  <si>
    <t>25mm Thick wall screed to receive tiles</t>
  </si>
  <si>
    <t>P</t>
  </si>
  <si>
    <t>20mm diameter bars</t>
  </si>
  <si>
    <t>25mm diameter bars</t>
  </si>
  <si>
    <t>VIBRATED REINFORCED CONCRETE CLASS 30 (30Mpa/19mm with 20mm max. aggregate size)</t>
  </si>
  <si>
    <t>Q</t>
  </si>
  <si>
    <t>200mm Thick walls.</t>
  </si>
  <si>
    <t>200mm Thick Parapet walls.</t>
  </si>
  <si>
    <t>100mm Thick walls.</t>
  </si>
  <si>
    <t>200mm Wide</t>
  </si>
  <si>
    <t>100mm Wide</t>
  </si>
  <si>
    <t>DEMOLITIONS</t>
  </si>
  <si>
    <t>Carefully demolish and pull down to ground including grubbing up foundations of the following buildings; comprising of: galvanised iron sheet roof covering on existing roof structure, solid walls, concrete floor slab with and including all doors, windows, fittings, electrical and mechanical installations, and including all other existing sundries; allow for keeping andhanding over all salvaged materials to the project manager, or remove from site as directed; make good areas disturbed and remove debris arising from site</t>
  </si>
  <si>
    <t>100mm Thick "Dry stacked" interlocking blocks to vertical sides of retaining wall</t>
  </si>
  <si>
    <t>SIKA CEMFLEX Waterproofing Membrane or other approved equal waterproofing Membrane: applied in accordance with manufacturer's instructions : to</t>
  </si>
  <si>
    <t>PREPARE AND APPLY ONE MIST COAT AND THREE COATS silk vinyl emulsion paint internally onto:</t>
  </si>
  <si>
    <t xml:space="preserve">Fair faced retaining wall surfaces </t>
  </si>
  <si>
    <t>MASS CONCRETE CLASS 15 (15Mpa/19mm concrete with 20mm max. aggregate size)</t>
  </si>
  <si>
    <t>Solid Concrete Blockwork of minimum compressive strength of 2.8N/mm2 and mortar designation of (iii) jointed and pointed in cement sand (1:3) mortar : with and including hoop iron wall ties every two courses to BS 1243, 1978: in</t>
  </si>
  <si>
    <t>Vertical sides of strip foundations</t>
  </si>
  <si>
    <t>25mm thick to both sides of plinth walls surfaces</t>
  </si>
  <si>
    <t xml:space="preserve">200mm Thick composite suspended slab consisting of reinforced concrete Class 25 in 50mm topping and 100mm wide ribs at 480mm centers : Maxspan size 300mm long x 300mm wide x 150mm high including filling ends of composite slabs with concrete class 25 </t>
  </si>
  <si>
    <t>Ditto; but to edges of landing</t>
  </si>
  <si>
    <t>50mm thick blinding layer under retaining wall footings</t>
  </si>
  <si>
    <t>200mm thick retaining walls</t>
  </si>
  <si>
    <t>200mm thick suspended solid slab</t>
  </si>
  <si>
    <t>Edges of slab 75 - 150mm high</t>
  </si>
  <si>
    <t>Ditto; but 150 - 225mm high</t>
  </si>
  <si>
    <t>PREPARE SURFACE AND APPLY ETCHING PRIMER; apply one coat primer, one undercoat and two Gloss finishing coats; on metal work : to</t>
  </si>
  <si>
    <t>APARTMENTS BLOCK</t>
  </si>
  <si>
    <t>150mm thick suspended solid roof slab</t>
  </si>
  <si>
    <t>Ditto but to risers; 171.43mm wide</t>
  </si>
  <si>
    <t>Ditto but to treads; 265mm wide</t>
  </si>
  <si>
    <t>SUPPLY AND FIX 8mm THICK  APPROVED NON-SLIP PORCELAIN FLOOR TILES: bedded and jointed  in approved adhesive : pointed with approved coloured cement : to</t>
  </si>
  <si>
    <t>Treads 265mm wide; with and including non-slip grooves</t>
  </si>
  <si>
    <t>Risers 171.43mm high</t>
  </si>
  <si>
    <t>42mm Thick screed to landing</t>
  </si>
  <si>
    <t>Staircase balustrading</t>
  </si>
  <si>
    <t>Balcony handrail</t>
  </si>
  <si>
    <t>RATE (US$.)</t>
  </si>
  <si>
    <t>AMOUNT (US$.)</t>
  </si>
  <si>
    <t>Open string edge of staircase 325mm (extreme) including cutting to profile of treads and risers</t>
  </si>
  <si>
    <t>Arches</t>
  </si>
  <si>
    <t xml:space="preserve">Ditto but; to lining of 110mm diameter fulbora outlets </t>
  </si>
  <si>
    <t>HIGH LEVEL UNITS</t>
  </si>
  <si>
    <t xml:space="preserve">High level Kitchen unit overall size 300mm wide x 600mm high </t>
  </si>
  <si>
    <t>Low level Kitchen unit overall size 600mm wide x 900mm high</t>
  </si>
  <si>
    <t>LOW LEVEL KITCHEN UNITS</t>
  </si>
  <si>
    <t>WARDROBES</t>
  </si>
  <si>
    <t xml:space="preserve">Wardrobe overall size 600mm deep x 2400mm high; to Architect's detailed drawing </t>
  </si>
  <si>
    <t>25mm Thick two coat work to slab soffites</t>
  </si>
  <si>
    <t>Plaster board surfaces</t>
  </si>
  <si>
    <t>SUPPLY AND FIX 6mm thick COLOURED GLAZED CERAMIC WALL TILES; bedded and jointed with approved adhesive; pointed in approved waterproof grout : to</t>
  </si>
  <si>
    <t>Ditto; but to concrete surfaces.</t>
  </si>
  <si>
    <t>Extra over plaster (Minimum thickness of 20mm) for grooves to walls and concrete surfaces as per Architect's detailed drawing</t>
  </si>
  <si>
    <t>Ditto; but to concrete surfaces</t>
  </si>
  <si>
    <t>2/9/1</t>
  </si>
  <si>
    <t>15 x 15mm beading</t>
  </si>
  <si>
    <t>2/9/2</t>
  </si>
  <si>
    <t>Total carried forward from Page 2/9/1</t>
  </si>
  <si>
    <t>Total carried forward from Page 2/9/2</t>
  </si>
  <si>
    <t>Total carried forward from Page 2/9/3</t>
  </si>
  <si>
    <t>2/9/3</t>
  </si>
  <si>
    <t>TIMBER FLUSH DOORS</t>
  </si>
  <si>
    <t>200mm thick horizontal solid suspended slab bands &amp; slab beams</t>
  </si>
  <si>
    <t>190mm thick suspended solid slab</t>
  </si>
  <si>
    <t>Ringbeams</t>
  </si>
  <si>
    <t>Sides and soffittes of ringbeams</t>
  </si>
  <si>
    <t>GLASS BALUSTRADING</t>
  </si>
  <si>
    <t>Voids balustrading</t>
  </si>
  <si>
    <t>HAND RAIL</t>
  </si>
  <si>
    <t>Supply and fix 950mm high  balustrading comprising of: 6.38mm thick clear laminated glass fixed onto 50mm diameter stainless steel tube hand rail welded to 25mm dia stainless steel newel posts at 1000mm centres cast into concrete upstand; complete with and including all fixing accessories and decorations; as per Architect's detailed drawing L[02]08 in;</t>
  </si>
  <si>
    <t>50mm diameter x 2mm thick stainless steel tube hand rail welded to 40mm dia. stainless steel tube fixed by 4 no. 5mm dia. screw holes &amp; screws onto 40 x 10mm mild steel flat bar welded with angle bracket: including all fixing accessories and decorations; as per manufacturer's specification and Architect's detail drawing L[02]11</t>
  </si>
  <si>
    <t>SUPPLY AND FIX 10mm THICK APPROVED  GRANITE FLOOR TILES with and including nosings, dividing strips and all accessories; bedded and jointed in and including approved adhesive : pointed with and including approved coloured grout : to</t>
  </si>
  <si>
    <t>Supply and fix 900mm high  balustrading comprising of: 2No. 25mm diameter mild steel tube bars horizontal intermediate rails at 730mm centres, welded to 10mm diameter mild steel balustrades and 25mm diameter mild steel vertical newels welded onto mildsteel base plate screwed onto concrete upstand; 50 x 5mm mild steel flat bar to take handrail (M/S): including all fixing accessories and decorations; as per Architect's detailed drawing L[03]04&amp;05</t>
  </si>
  <si>
    <t>75 x 10mm skirting</t>
  </si>
  <si>
    <t>Supply and fix 75mm x 50mm Hardwood hand rail screwed and glued to 30mm x 6mm mild steel flat bars (m.s): including all fixing accessories and decorations; as per Architect's detail drawing L[03]05</t>
  </si>
  <si>
    <t>Total carried forward from Page 2/5/3</t>
  </si>
  <si>
    <t xml:space="preserve">Supply and fix 1000mm high precast concrete balustrading comprising of; 800mm high precast moulded concrete balusters cast into concrete upstand with an including 150 x 100mm weathered and throated in situ top and bottom copings complete with 100x50mm thick concrete curb: complete with and including all fixing accessories, painting and decorations; as per Architect's detailed drawing L[03]01&amp;03; in </t>
  </si>
  <si>
    <t>2/5/3</t>
  </si>
  <si>
    <t>Solid concrete blockwork of minimum compressive strength of 2.8N/mm2 and mortar designation of (iii) jointed and pointed in cement sand (1:3) mortar : with and including hoop iron wall ties every two courses to BS 1243, 1978: in</t>
  </si>
  <si>
    <t>400 x 200mm thick weathered and throated coping as per architect's detailed drawing; L[05]03</t>
  </si>
  <si>
    <t>350 x 50mm thick weathered and throated window cills</t>
  </si>
  <si>
    <t>MILD STEEL GRILLE SCREEN WALL</t>
  </si>
  <si>
    <t>DAMP PROOF COURSE OF BITUMEN FELT TO B.S. 743 Type A with 150mm laps including cement and sand (1:3) levelling bed</t>
  </si>
  <si>
    <t>MS Grille Screen wall</t>
  </si>
  <si>
    <t>PURPOSE MADE GRILLE SCREEN: MILD STEEL GRILLE SCEREEN comprising of; 100 x 50 x 3mm top, bottom and vertical framing; 50mm diameter mild steel flat bars welded onto mild steel frames at 150mm centres; complete with and including all fixing accessories, painting and decorations; as per Architect's drawing L[08]01</t>
  </si>
  <si>
    <t>9 x 225mm thick PVC  fascia board; fastened onto timber truss</t>
  </si>
  <si>
    <t>METAL WORK</t>
  </si>
  <si>
    <t>MILD STEEL GRADE GJ</t>
  </si>
  <si>
    <t>30-Gauge galvanised plain iron roofing sheets : fixed under timber battens</t>
  </si>
  <si>
    <t>ROOF COVERING</t>
  </si>
  <si>
    <t xml:space="preserve">APPROVED PORTUGUESE ROOFING TILES fixed in accordance with manufucturers instructions </t>
  </si>
  <si>
    <t>Ridge cap to match</t>
  </si>
  <si>
    <t>Hip tile to ditto</t>
  </si>
  <si>
    <t>Extra over tiles for cutting along hips</t>
  </si>
  <si>
    <t>Extra over tiles for Eaves trimming</t>
  </si>
  <si>
    <t>80 x 40 x 3mm Common Rafters</t>
  </si>
  <si>
    <t>80 x 40 x 3mm RHS Top Chord</t>
  </si>
  <si>
    <t>80 x 40 x 3mm RHS Bottom Chord</t>
  </si>
  <si>
    <t>50 x 50 x 3mm SHS Internal members</t>
  </si>
  <si>
    <t>25 x 25 x 3mm battens</t>
  </si>
  <si>
    <t>80 x 40 x 3mm Underpurlins</t>
  </si>
  <si>
    <t xml:space="preserve">Structural Steelwork  </t>
  </si>
  <si>
    <t>THE RATES FOR STRUCTURAL STEEL WORK SHOULD INCLUDE ALL PLATES, STIFFENERS, BOLTS, WELDED JOINTS,  ALL CONNECTIONS AND ACCESSORIES; PAINTING AND DECORATIONS; AS PER THE ARCHITECT’S AND STRUCTURAL ENGINEERS DRAWINGS; THE CONTRACTOR  MUST STUDY THE DRAWINGS AND ENSURE THAT HIS PRICE INCLUDES ALL ITEMS AS SHOWN ON THE DRAWINGS</t>
  </si>
  <si>
    <t>STRUCTURAL STEELWORK AND ROOF COVERING</t>
  </si>
  <si>
    <t>Structural Steelwork : framed; prepare and apply primer, water based Intumescent layers (R60) and top coat airless spray paint (this has to be strictly applied off site/workshop AND CERTIFIED): to</t>
  </si>
  <si>
    <t>Portugues roofing tiles laid sloping not exceeding 23 degrees from horizontal</t>
  </si>
  <si>
    <t>EAVES TREATMENT</t>
  </si>
  <si>
    <t>450mm wide x 250mm thick mass concrete molding complete with and including steel anchor rods min 100mm into masonry at 1500mm centres and plaster-formed drip in external walls as per Architect's detailed drawing L[05]01</t>
  </si>
  <si>
    <t xml:space="preserve">500mm wide Gauge 16 galvanised mild steel wall flashing bent to shape : overlapping roof covering and dressed into block work; Architect's detailed drawing </t>
  </si>
  <si>
    <t>2/8/2</t>
  </si>
  <si>
    <t>Total carried forward from Page 2/8/1</t>
  </si>
  <si>
    <t>Total carried forward from Page 2/8/2</t>
  </si>
  <si>
    <t xml:space="preserve">12mm thick profiled ceiling in horizontal and vertical suspended gypsum weatherproof plasterboard ceiling: taped and filled joints : on and including pressed metal suspended brandering system at 600 x 600mm or 450 x 450mm centres as specified : allow for all timber brearers and MDF end trims as necessary including all cutting and trimming to light fittings, AC unit or other equipments as required (all quantities measured flat overall over light fittings): with and including inspection trap 600 x 600 Proprietary doors by "KNAUF" where directed: allow for all vertical trims : to approval : </t>
  </si>
  <si>
    <t>2/8/3</t>
  </si>
  <si>
    <t>Double leaf door D5 overall size 3000 x 2100mm high comprising of; 2No. 750 x 2100mm high openable side hung panels and 2No. 750 x 2100mm high fixed glass panels</t>
  </si>
  <si>
    <t>Sliding door D8 overall size 1500 x 2400mm high complete with 300mm high L-Aluminum louvres</t>
  </si>
  <si>
    <t>Sliding door D13 overall size 2400 x 2400mm high complete with 300mm high L-Aluminum louvres</t>
  </si>
  <si>
    <t>Single leaf door D14 size 800 x 2100mm high complete with and including 500 x 1200mm high fixed window with 300mm high L-Aluminum louvres</t>
  </si>
  <si>
    <t>Sliding door D15 overall size 1500 x 2400mm high  complete with 350mm high fixed glass vent on top</t>
  </si>
  <si>
    <t>Sliding door D16 overall size 1500 x 2400mm high complete with 300mm high L-Aluminum louvres</t>
  </si>
  <si>
    <t>Sliding door D20 overall size 3000 x 2400mm high with frosted glass glazing complete with 300mm high L-Aluminum louvres</t>
  </si>
  <si>
    <t>Sliding door D21 overall size 1800 x 2400mm high with frosted glass glazing complete with 350mm high fixed glass vent on top</t>
  </si>
  <si>
    <t>Sliding door D22 overall size 1800 x 2400mm high with frosted glass glazing complete with 300mm high L-Aluminum louvres</t>
  </si>
  <si>
    <t>STEEL DOORS</t>
  </si>
  <si>
    <t xml:space="preserve">PURPOSE MADE ALUMINIUM CASEMENT DOORS: with 100 x 50mm Powder coated aluminium frame sections for single glazing, 6.5mm thick clear laminated reflective sheet glass and glazing with and including weather striping and all necessary; mosquito gauze in louvered vents and other accessories and approved door hardware set, iron mongery to "ASSA ABLOY Manufacture or approved equal"; as per Architect's drawings </t>
  </si>
  <si>
    <t>STEEL CASEMENT DOORS</t>
  </si>
  <si>
    <t xml:space="preserve">Double leaf door D1, overall size 2100 x 2800mm high </t>
  </si>
  <si>
    <t>Metal casement in panes 0.1 to 0.5 square meters</t>
  </si>
  <si>
    <t>6.5mm thick Laminated Reflective sheet glass and glazing as described : to</t>
  </si>
  <si>
    <t>Double leaf door D2, overall size 2500 x 6400mm high comprising of; 2No. 1250 x 1925mm high openable side hung leaves and 1No. 2500 x 4475mm high fixed glass panel</t>
  </si>
  <si>
    <t>PURPOSE MADE CASEMENT DOOR comprising of;  40mm thick RHS standard steel frame sections for glazing with putty : including burglar proofing bars, T-bar hood and insect gauze : including all iron mongery and mild steel flats burglar proofing welded to RHS : one coat red oxide etching primer</t>
  </si>
  <si>
    <t xml:space="preserve">Single leaf door D10 size 900 x 2400mm high complete with and including 1100 x 1500mm high fixed glass window </t>
  </si>
  <si>
    <t xml:space="preserve">Single leaf door D3 size 900 x 2400mm high complete with and including 2400 x 1500mm high fixed louvred window </t>
  </si>
  <si>
    <t>STEEL PANELLED DOORS</t>
  </si>
  <si>
    <t xml:space="preserve">PURPOSE MADE COLD PRESSED STEEL PANELLED DOORS COMPRISING OF: 100 x 50mm bottom, middle, top and vertical rails; 2mm thick mild steel plate on both sides welded to the rails, with 135 x 45 x 3mm thick mild steel frame sections with and including weather strips and all necessary accessories and approved door hardware set, iron mongery to "ASSA ABLOY Manufacture or approved equal"; with one coat red oxide as per Architect's drawings </t>
  </si>
  <si>
    <t xml:space="preserve">Single leaf door D4, overall size 900 x 1000mm high complete with chevron patterned steel panel </t>
  </si>
  <si>
    <t xml:space="preserve">Bi-fold door D6, overall size 700 x 1100mm high </t>
  </si>
  <si>
    <t xml:space="preserve">Bi-fold door D17, overall size 400 x 1100mm high </t>
  </si>
  <si>
    <t>Steel door surfaces</t>
  </si>
  <si>
    <t>PREPARE AND APPLY ONE COAT "MORAN MASONRY PRIMER" and one coat of "MORAN MARBLE STONE TEXTURED PAINT" in accordance with the manufacturer's instructions to be executed by an approved applicator : on</t>
  </si>
  <si>
    <t>Single leaf door D23, overall size 900 x 2100mm high complete with and including 2No. 10mm thick fixed glass vision panels measuring 200 x 890mm high and 200 x 770mm high</t>
  </si>
  <si>
    <t>50mm THICK MAHOGANY HARDWOOD PANELLED TIMBER DOOR: to Architect's detailed drawing</t>
  </si>
  <si>
    <t>Single leaf door D7 overall size 700 x 2400mm high complete with and including 260mm high fixed glass vent on top</t>
  </si>
  <si>
    <t>Single leaf door D9 overall size 1500 x 2400mm high comprising of; an openable side hung leaf measuring 900 x 2100mm high &amp; 600 x 2100mm high fixed louvred vent</t>
  </si>
  <si>
    <t>Single leaf door D11 overall size 800 x 2100mm high</t>
  </si>
  <si>
    <t>Double leaf door D12 overall size 1000 x 2100mm high</t>
  </si>
  <si>
    <t>Single leaf door D18 overall size 900 x 2100mm high</t>
  </si>
  <si>
    <t>Single leaf door D24 overall size 1500 x 2400mm high comprising of; an openable side hung leaf measuring 900 x 2100mm high, 2No. 300 x 2100mm high fixed glass panels and 300mm high fixed glass vent on top</t>
  </si>
  <si>
    <t>TIMBER PANELLED DOORS</t>
  </si>
  <si>
    <t xml:space="preserve">45mm THICK HOLLOW CORE FLUSH DOORS faced both sides with 6mm thick internal quality prepainted mahogany veneered facing with hardwood edge lipping all round, complete with all necessary accessories and approved door hardware set (M/S) to "UNION" Manufacture or equal approved"; as per Architect's drawings </t>
  </si>
  <si>
    <t xml:space="preserve">Double leaf door D19 overall size 900 x 2100mm high </t>
  </si>
  <si>
    <t>250 x 50mm Frames; two labours, plugged.</t>
  </si>
  <si>
    <t>150 x 50mm Frames; two labours, plugged.</t>
  </si>
  <si>
    <t>250 x 50mm transomes; two labours</t>
  </si>
  <si>
    <t>100mm long stainless steel 2Ball Bearing Butt hinges complete with screws</t>
  </si>
  <si>
    <t>Supply and fix the following iron mongery : locks and furniture where applicable are to be equal to those manufactured by "UNION" and approved by the Architect</t>
  </si>
  <si>
    <t>3-turn Mortise lock complete with and including a euro profile cylinder, flanged striking plate and deadbolt pocket</t>
  </si>
  <si>
    <t>Stainless steel Lever handles with and including 1 pair of short CB backplates</t>
  </si>
  <si>
    <t>Floor mounted Rubber door stop</t>
  </si>
  <si>
    <t>Total carried forward from Page 2/9/4</t>
  </si>
  <si>
    <t>2/9/4</t>
  </si>
  <si>
    <t>PURPOSE MADE WINDOWS: POWDER COATED ALUMINIUM WINDOWS COMPRISING OF; 100 x 50mm ALUMINIUM FRAME AND TRANSOMES; comprising of; 6.5mm thick laminated tinted sheet glass in 50 x 20mm frame; with and including an openable aluminium mosquito proof gauze in 50 x 20mm frame; complete with and including all iron mongery comprising hinges, locks, stays and fasteners as per iron mongery schedule, and all necessary accessories to "Union Manufacture or approved equal"; as per Architect's Drawings</t>
  </si>
  <si>
    <t>STEEL CASEMENT WINDOWS</t>
  </si>
  <si>
    <t>PURPOSE MADE CASEMENT DOOR comprising of;  40mm thick RHS standard steel frame sections for glazing with putty : standard transomes and mullions, stays and fasteners, one coat red oxide etching primer :  including burglar proofing : including all iron mongery and mild steel flats burglar proofing welded to RHS : one coat red oxide etching primer</t>
  </si>
  <si>
    <t>Mahogany wooden vent comprising of; CNC softwood screen panel fixed onto 40mm mahogany framing finished with 3 coats of polyurathane varnish with  and including plastic netting; to Architect's detail drawing and approval</t>
  </si>
  <si>
    <t xml:space="preserve">Top hung window W4 overall size 500 x 1100mm high </t>
  </si>
  <si>
    <t xml:space="preserve">Sliding window W5 overall size 2500 x 2100mm high </t>
  </si>
  <si>
    <t xml:space="preserve">Sliding window W6 overall size 3000 x 2000mm high </t>
  </si>
  <si>
    <t xml:space="preserve">Sliding window W7 overall size 1200 x 1950mm high </t>
  </si>
  <si>
    <t xml:space="preserve">Sliding window W8 overall size 750 x 1500mm high </t>
  </si>
  <si>
    <t xml:space="preserve">Sliding window W9 overall size 500 x 1400mm high </t>
  </si>
  <si>
    <t xml:space="preserve">Sliding window W11 overall size 600 x 1800mm high </t>
  </si>
  <si>
    <t xml:space="preserve">Sliding window W12 overall size 1800 x 1600mm high </t>
  </si>
  <si>
    <t xml:space="preserve">Fixed window W10 overall size 1200 x 1700mm high </t>
  </si>
  <si>
    <t xml:space="preserve">Fixed window W3 overall size 2500 x 16200mm high </t>
  </si>
  <si>
    <t>Sliding window W1 overall size 1800 x 1800mm high complete with and including 250mm high L-Aluminum louvred vent</t>
  </si>
  <si>
    <t>Sliding window W2 overall size 2400 x 2400mm high complete with and including 250mm high L-Aluminum louvred vent</t>
  </si>
  <si>
    <t>Total carried forward from Page 2/10/1</t>
  </si>
  <si>
    <t>Total carried forward from Page 2/10/2</t>
  </si>
  <si>
    <t>2/10/2</t>
  </si>
  <si>
    <t xml:space="preserve">Suspended gypsum plasterboard ceiling: taped and filled joints :  on and including pressed metal suspended brandering system at 600 x 600mm ro 450 x 450mm centres as specified : allow for all timber brearers and MDF end trims as necessary including all cutting and trimming to light fittings, AC unit or other equipments as required (all quantities measured flat overall over light fittings): with and including inspection trap 600 x 600 Proprietary doors by "KNAUF" where directed: allow for all vertical trims : to approval : </t>
  </si>
  <si>
    <t>Profiled ceiling</t>
  </si>
  <si>
    <t>500mm high bulk head fascia</t>
  </si>
  <si>
    <t xml:space="preserve">12mm thick suspended gypsum weatherproof plasterboard ceiling : taped and filled joints : on and including pressed metallic suspended brandering system at 600 x 600mm or 450 x 450mm centres as specified : allow for all timber brearers and MDF end trims as necessary including all cutting and trimming to light fittings, AC unit or other equipments as required (all quantities measured flat overall over light fittings): with and including inspection trap 600 x 600 Proprietary doors by "KNAUF" where directed: allow for all vertical trims : to approval : </t>
  </si>
  <si>
    <t xml:space="preserve">Surfaces 100 - 200mm girth </t>
  </si>
  <si>
    <t>86 x 95mm milled timber cornice</t>
  </si>
  <si>
    <t>ELEMENT NO.11</t>
  </si>
  <si>
    <t>2/11/1</t>
  </si>
  <si>
    <t>Total carried forward from Page 2/11/1</t>
  </si>
  <si>
    <t>Total carried forward from Page 2/11/2</t>
  </si>
  <si>
    <t>2/11/2</t>
  </si>
  <si>
    <t>SUPPLY AND INSTALL WROT HARDWOOD MOULDED TIMBER  to Architect's detailed drawing L[05]05: to</t>
  </si>
  <si>
    <t>ELEMENT NO.12</t>
  </si>
  <si>
    <t>Ditto; but around arches, door and window openings</t>
  </si>
  <si>
    <t>40mm THICK NATURAL CHISEL DRESSED SELECTED STONE CLADDING, 250/300mm girth; bedded, jointed and pointed in and including cement:sand 1:3 mortar;  to Architect's Detail Drawing; to</t>
  </si>
  <si>
    <t>Extraover formwork for moulding to arches.</t>
  </si>
  <si>
    <t>Sides and soffittes of arches; curved</t>
  </si>
  <si>
    <t>Eaves profiled ceiling</t>
  </si>
  <si>
    <t>300mm wide x 200mm thick mass concrete molding complete with and including steel anchor rods min 100mm into masonry at 1500mm centres and plaster-formed drip in external walls as per Architect's detailed drawing L[05]02</t>
  </si>
  <si>
    <t>Ditto but; to window cills, moldings and coping surfaces</t>
  </si>
  <si>
    <t>TWO PARALLEL LAYERS of 4mm thick (each) EPDM APP modified bituminous water proofing membrane, reinforced with polyester, fully bonded and torch applied onto solvent base primer conforming to ASTMD- 41 applied in accordance with manufacturers instructions; to</t>
  </si>
  <si>
    <t>Supply and fix blockboard mahogany veneered cladding comprising of: 50 x 50mm timber supports securely fixed to walls with and including 10mm thick blockboard mahogany veneered complete with all necessary fixtures, painting and decoration: to Architect's detailed drawing L[02]10; to</t>
  </si>
  <si>
    <t>Surfaces around staircase voids</t>
  </si>
  <si>
    <t>Total carried forward from Page 2/12/1</t>
  </si>
  <si>
    <t>Total carried forward from Page 2/12/2</t>
  </si>
  <si>
    <t>2/12/2</t>
  </si>
  <si>
    <t>SUPPLY AND APPLY "DRY SHAKE" floor hardener at a rate of 5Kg. per SM : power float to approval : to freshly laid concrete : to</t>
  </si>
  <si>
    <t>SUPPLY AND FIX 8mm THICK  APPROVED PORCELAIN FLOOR TILES: bedded and jointed  in approved adhesive : pointed with approved coloured cement : to</t>
  </si>
  <si>
    <t>SUPPLY AND FIX 10mm THICK APPROVED TERRACOTTA FLOOR TILES with and including nosings, dividing strips and all accessories; bedded and jointed in and including approved adhesive : pointed with and including approved coloured grout : to</t>
  </si>
  <si>
    <t>PERGOLA</t>
  </si>
  <si>
    <t>Balcony</t>
  </si>
  <si>
    <t>TIMBER DECKING</t>
  </si>
  <si>
    <t>POOL DECKING comprising of; 25mm thick timber boards fixed onto well treated 100 x 50mm sawn softwood fixed onto 100x50mm timber posts 1m high from the ground slab; 100 x 50mm joists at 300mm centres both ways; including all necessary decorations; to the architect/structural engineer's detailed drawings; to</t>
  </si>
  <si>
    <t>Swimming pool deck</t>
  </si>
  <si>
    <t>"ASTRO TURF" PREMIUM 52 SYNTHETIC ARTIFICIAL GRASS FIBRE CARPET or other equal approved with including underlay fixed in accordance with manufacturer's instructions; on</t>
  </si>
  <si>
    <t>Total carried forward from Page 2/8/3</t>
  </si>
  <si>
    <t>Extra over granite for 150mm wide tile in-lay</t>
  </si>
  <si>
    <t>SUPPLY AND INSTALL WROT HARDWOOD MOULDED TIMBER  to Architect's detailed drawing L[05]04: to</t>
  </si>
  <si>
    <t>PREPARE AND APPLY THREE coats of polyurethane clear varnish in accordance with manufacturer's instructions : on wood : to</t>
  </si>
  <si>
    <t>Surfaces 100 - 200mm girth</t>
  </si>
  <si>
    <t>"FARBO NAIRN" MEDIUM COMMERCIAL GRADE CARPET TILES or other equal approved with including underlay fixed in accordance with manufacturer's instructions; on</t>
  </si>
  <si>
    <t>100 x 19mm high hardwood skirting with bull nosed edge complete with 50 x 12mm timber bearers</t>
  </si>
  <si>
    <t>Total carried forward from Page 2/13/1</t>
  </si>
  <si>
    <t>Total carried forward from Page 2/13/2</t>
  </si>
  <si>
    <t>2/13/2</t>
  </si>
  <si>
    <t>PERGOLA comprising of; 100 x 50mm SHS mild steel wall framing; 100 x 50mm SHS joists at 300mm centres both ways covered with Translucent sheets; including all necessary decorations; to the architect's detailed drawing; to</t>
  </si>
  <si>
    <t>WARDROBES AND CLOSETS COMPRISING OF: 16mm THICK MELLAMINE BOARDS AND SHUTTERS; FOUR SHELVES AND HANGING RODE: iron mongery and accessories: painting and decorations; in: -</t>
  </si>
  <si>
    <t>LOW LEVEL CUPBOARDS COMPRISING OF: 20mm thick granite worktop supported on 16mm MDF boards screwed to the wall; shutters and side packings in 18mm UV boards matched with HPL white RT-7395 finished design MDF boards, stainless steel legs base and; PVC and ABS edging to match shutter colour; IRON MONGERY AND ACCESSORIES: painting and decorations as per Architect's detail drawing; in: -</t>
  </si>
  <si>
    <t>HIGH LEVEL CABINET COMPRISING OF: 16mm MDF boards screwed to the wall; shutters and side packings in 18mm UV boards matched with HPL white RT-7395 finished design MDF boards and; PVC and ABS edging to match shutter colour; IRON MONGERY AND ACCESSORIES: painting and decorations as per Architect's detail drawing; in: -</t>
  </si>
  <si>
    <t>VANITY TOPS</t>
  </si>
  <si>
    <t xml:space="preserve">Vanity top unit size 600mm deep x 900mm high  to Architect's detailed drawing </t>
  </si>
  <si>
    <t>Ditto; but Laundry top</t>
  </si>
  <si>
    <t xml:space="preserve">VANITY COUNTER TOP comprising of: 20mm thick Granite worktop and 100mm high fascia on 50 x 50 x 4mm SHS support structure and framing complete with 100 x 100 x 5mm SHS base plates; all painting and decorations; to Architect's detailed drawing; in </t>
  </si>
  <si>
    <t>WATER PROOFING TO WET AREAS</t>
  </si>
  <si>
    <t>Wet area floors</t>
  </si>
  <si>
    <t>Crystalline Waterproofing or equal approved applied to screed prior to tiling</t>
  </si>
  <si>
    <t>PLANTERS</t>
  </si>
  <si>
    <t>Solid concrete blockwall planter: finished fair on all exposed surfaces</t>
  </si>
  <si>
    <t>Ditto; but measuring 1200mm x 900mm x 1050mm (LxWxH): as per Architect's detailed drawing L[03]02</t>
  </si>
  <si>
    <t>Planter 750mm wide (average) x 1050mm deep comprising of: 150mm thick concrete Class 20 footing and 75mm thick precast concrete coping on 150mm thick solid concrete block walls (on the edges) in cement and sand mortar (1:3); finished with textured plaster/Tyrolean finish externally and water-proofed internally with SIKA waterproofing membrane on sand cement wall screed and 25mm dia. weep holes; complete with and including supply, spread and level red imported soil, mixed with manure and general fertilizer including planting approved shrubs and flowering plants in approved pattern including watering until established : as per Architect's detailed drawing L[03]08</t>
  </si>
  <si>
    <t>ELEMENT NO.14</t>
  </si>
  <si>
    <t>2/14/1</t>
  </si>
  <si>
    <t>Total carried forward from Page 2/14/1</t>
  </si>
  <si>
    <t>Total carried forward from Page 2/14/2</t>
  </si>
  <si>
    <t>2/14/2</t>
  </si>
  <si>
    <t>COLUMN GUARDS</t>
  </si>
  <si>
    <t>Mild Steel Column guards :  fixed to corners of basement concrete columns and neatly welded to mild steel flat (m.s) : welds ground to an even and smooth finish : priming with one coat red oxide primer, prepare and apply three coats oil paint (as per Contractor's Proposal attached)</t>
  </si>
  <si>
    <t>50 x 6mm mild steel flat : fixed with and including rawl bolts: 450mm long</t>
  </si>
  <si>
    <t>50 x 50 x 6mm thick cold formed mild steel angle : 2000mm long</t>
  </si>
  <si>
    <t>Design and install lateral support to the exposed vertical faces of excavation average 3.0m deep and 50m long in confined space from foundations to ground level; all to project manager's approval;</t>
  </si>
  <si>
    <t>Building; (Gross floor area Approx. 251SM)</t>
  </si>
  <si>
    <t>Building; (Gross floor area Approx. 67SM)</t>
  </si>
  <si>
    <t>TIMBER FEATURE WALL</t>
  </si>
  <si>
    <t>Supply and fix a timber screen wall made of cypress solid stock timber slats comprising of: 150 x 35mm timber slats at 150mm centers at bottom and top ends for anchoring into the concrete with 190 x 152 x 4mm plate welded on top and bottome ends; with and including one coat red-oxide primer and 3coats of approved vanish; to Architect's detailed drawing; in</t>
  </si>
  <si>
    <t>Timber feature wall</t>
  </si>
  <si>
    <t>Total carried forward from Page 2/7/1</t>
  </si>
  <si>
    <t>Total carried forward from Page 2/7/2</t>
  </si>
  <si>
    <t>2/7/2</t>
  </si>
  <si>
    <t>R</t>
  </si>
  <si>
    <t>S</t>
  </si>
  <si>
    <t>T</t>
  </si>
  <si>
    <t>U</t>
  </si>
  <si>
    <t>V</t>
  </si>
  <si>
    <t>W</t>
  </si>
  <si>
    <t>X</t>
  </si>
  <si>
    <t>Y</t>
  </si>
  <si>
    <t>BILL NO.4</t>
  </si>
  <si>
    <t>ELECTRICAL INSTALLATIONS</t>
  </si>
  <si>
    <t>ELEMENT NO.4</t>
  </si>
  <si>
    <t xml:space="preserve">TOTAL BILL NO.4 CARRIED TO MAIN SUMMARY </t>
  </si>
  <si>
    <t>4/S</t>
  </si>
  <si>
    <t>BILL NO.5</t>
  </si>
  <si>
    <t>MECHANICAL INSTALLATIONS</t>
  </si>
  <si>
    <t>SUB-TOTAL 2</t>
  </si>
  <si>
    <t>SUB-TOTAL 1</t>
  </si>
  <si>
    <t>ALL SPECIFIED MATERIALS - GENERAL NOTES</t>
  </si>
  <si>
    <r>
      <t>ADD</t>
    </r>
    <r>
      <rPr>
        <sz val="10.5"/>
        <rFont val="Open Sans"/>
        <family val="2"/>
      </rPr>
      <t>:  CONTINGENCIES</t>
    </r>
  </si>
  <si>
    <r>
      <t>ADD</t>
    </r>
    <r>
      <rPr>
        <sz val="10.5"/>
        <rFont val="Open Sans"/>
        <family val="2"/>
      </rPr>
      <t>:  VAT</t>
    </r>
  </si>
  <si>
    <t>Republic of Uganda</t>
  </si>
  <si>
    <t>AMOUNT      (USHS.)</t>
  </si>
  <si>
    <t>AMOUNT         (USHS)</t>
  </si>
  <si>
    <t>RATE       (USHS)</t>
  </si>
  <si>
    <t>AMOUNT          (USHS.)</t>
  </si>
  <si>
    <t>SET</t>
  </si>
  <si>
    <t xml:space="preserve">TOTAL BILL NO.5 CARRIED TO MAIN SUMMARY </t>
  </si>
  <si>
    <t>5/S</t>
  </si>
  <si>
    <t>FIRST FLOOR</t>
  </si>
  <si>
    <t>SECOND FLOOR</t>
  </si>
  <si>
    <t>THIRD FLOOR</t>
  </si>
  <si>
    <t>10%</t>
  </si>
  <si>
    <t>TOTAL COST</t>
  </si>
  <si>
    <t>Provide all materials, install, connect and set to work the following all as described in the Specifications and Drawings.</t>
  </si>
  <si>
    <t>All builder's work required for installation shall be provided for in the prices whether or not specifically measured on described below such shall included all chases, mortices, holes, notches, cutting, plugging making good finishes, painting or repainting etc</t>
  </si>
  <si>
    <t>Television outlet points in 25mm heavy gauge PVC conduit concealed in walls complete with MK steel boxes and all accessories.</t>
  </si>
  <si>
    <t>Fire Alarm points in 25mm heavy gauge PVC surface/concealed conduit complete with all accessories.</t>
  </si>
  <si>
    <t>CCTV points in 25mm heavy gauge PVC concealed conduit/trunking complete with all accessories.</t>
  </si>
  <si>
    <t>125A  8 way TPN MCB wall mounted surface Distribution Board, complete with integral 160A TPN MCCB incomer, and the following outgoings: 9x32A SPN, 9x20A SPN MCBs, 6x10A SPN MCBs, and all accessories, as made by L &amp; T or equal approved. (DB105 and DB205)</t>
  </si>
  <si>
    <t>Place 50mm diameter PVC pipe sleeves in beams for passing conduits to the Structural Engineer's approval.</t>
  </si>
  <si>
    <t>Place 100mm diameter PVC pipes in beams for passing AC pipes to the Structural Engineer's approval.</t>
  </si>
  <si>
    <t>Steel cable tray 600x50mm fixed in cable duct complete with all accessories.</t>
  </si>
  <si>
    <t>Steel cable tray 300x50mm fixed in cable duct complete with all accessories.</t>
  </si>
  <si>
    <t>Lighting Fittings</t>
  </si>
  <si>
    <t>Recessed downlight 15W LED Lamp, 180mm diameter to IP22, complete with DALI Interface as made by Philips or equal approved (Light Type A)</t>
  </si>
  <si>
    <t>Recessed downlight 15W LED Lamp, 180mm diameter to IP22, complete with emergency unit for 3hours  with DALI Interface as made by Philips or equal approved (Light Type AE)</t>
  </si>
  <si>
    <t>Ultra-slim white aluminium bodied maintained LED ceiling mounted Emergency EXIT sign, with engraved fire retardant acrylic sign blade, suitable for double sided viewing, with  with DALI Interface and 3hour maintained format, to IP20 protection,  as Philips or equal approved (Light Type EXIT)</t>
  </si>
  <si>
    <t>T8 1x20W 1200mm single surface mounted bare batten LED luminaire  with DALI Interface as made by Philips or equal approved (Light Type F1).</t>
  </si>
  <si>
    <t>T8 1x20W 1200mm single surface mounted bare batten LED luminaire with Emergency 3 hour battery with self test or addressable testing capabilities,  with DALI Interface as made by Philips or equal approved (Light Type F1E).</t>
  </si>
  <si>
    <t>Light Switches</t>
  </si>
  <si>
    <t>6A 1 gang 1 way light switch as CHINT or equal approved complete with all accessories.</t>
  </si>
  <si>
    <t>6A 1 gang 2way light switch as CHINT or equal approved complete with all accessories.</t>
  </si>
  <si>
    <t>10A 3x3 grid 2 way light switch as Legrand or equal approved complete with all accessories.</t>
  </si>
  <si>
    <t>SOCKETS</t>
  </si>
  <si>
    <t>13A 3pin twin switched socket outlets on wall/trunking as CHINT or equal approved.</t>
  </si>
  <si>
    <t>Light controllers</t>
  </si>
  <si>
    <t>Light controllers as Clipsal/Scheneider or equal approved.</t>
  </si>
  <si>
    <t>125A  8 way TPN MCB wall mounted surface Distribution Board, complete with integral 125A TPN MCCB incomer, and the following outgoings: 9x32A SPN, 9x20A SPN MCBs, 6x10A SPN MCBs, and all accessories, as made by L &amp; T or equal approved. (DB105 and DB205)</t>
  </si>
  <si>
    <t>100A  4 way TPN MCB wall mounted surface Distribution Board, complete with integral 100A TPN MCCB incomer, and the following outgoings: SPN, 12x20A SPN MCBs, and all accessories, as made by L &amp; T or equal approved. (DB105 and DB205)</t>
  </si>
  <si>
    <t>Floor ducts 3x32mm heavy gauge PVC conduits embedded in the floor slab complete with all accessories.</t>
  </si>
  <si>
    <t>Galvanised Steel cable tray 300x50mm fixed in cable duct complete with all accessories.</t>
  </si>
  <si>
    <t>High performance LED 40W recessed modular flat panel 600x600mm, with DALI Interface as made by Philips  or equal approved. (Light Type F4)</t>
  </si>
  <si>
    <t>High performance LED 40W recessed modular flat panel 600x600mm, complete with emergency unit for 3hours  with DALI Interface as made by Philips  or equal approved. (Light Type F4E)</t>
  </si>
  <si>
    <t>6A 2 gang 1 way light switch as CHINT or equal approved complete with all accessories.</t>
  </si>
  <si>
    <t>6A 1 gang 2 way light switch as CHINT or equal approved complete with all accessories.</t>
  </si>
  <si>
    <t>6A 2 gang 2 way light switch as CHINT or equal approved complete with all accessories.</t>
  </si>
  <si>
    <t>6A 3 gang 1 way light switch as CHINT or equal approved complete with all accessories.</t>
  </si>
  <si>
    <t>20A DP Switch for Extraction Fans and Hand Dryers as CHINT  or equal approved.</t>
  </si>
  <si>
    <t>Automatic HAND DRYER as STARMIX model no : T7E Electronic or equal approved complete with all accessories.</t>
  </si>
  <si>
    <t>WALL TRUNKING</t>
  </si>
  <si>
    <t>3 section plastic trunking size 220x65mm complete with all accessories as Marshall Tufflex Sterling XL or equal approved.</t>
  </si>
  <si>
    <t>Power and Data Floor Boxes</t>
  </si>
  <si>
    <t>Floor boxes 250x250x80mm with 4no twin 13A socket outlets and 8no twin RJ45 outlets complete with cover and all accessories as made by MK or equal approved.</t>
  </si>
  <si>
    <t>13A 3pin twin switched socket outlets on wall/trunking as Crabtree or equal approved.</t>
  </si>
  <si>
    <t>20A DP Switch for Extraction Fans and Hand Dryers as Crabtree  or equal approved.</t>
  </si>
  <si>
    <t>100A  4way TPN MCB wall mounted surface Distribution Board, complete with integral 100A TPN incomer MCCB, and the following outgoings: 12x20A SPN MCBs, and all accessories, as made by L &amp; T or equal approved. (DB111)</t>
  </si>
  <si>
    <t>Earthing and Lightning Protection</t>
  </si>
  <si>
    <t>Copper tape of hard drawn high conductivity copper 3x25mm cross section for horizontal and down conductors complete with fixing clips and all accessories as by FURSE or equal.</t>
  </si>
  <si>
    <t>Air terminals 20x1200mm complete with tape adapters, spikes and all accessories by FURSE or equal.</t>
  </si>
  <si>
    <t>Test clamp complete as by FURSE or equal.</t>
  </si>
  <si>
    <t xml:space="preserve">Earth Electrodes 20x1200mm made from hard drawn copper complete with cap, earth clamp and all accessories as made by FURSE or equal. </t>
  </si>
  <si>
    <t xml:space="preserve">Earth manhole 300x300x300mm complete with cover marked with EARTH symbol complete with all accessories as made by FURSE or equal approved. </t>
  </si>
  <si>
    <t>BUILDER'S WORK</t>
  </si>
  <si>
    <t>Allow for builder's work for all above electrical installation including making good, bracings, fixings, protection, making holes, making good  and all accessories.</t>
  </si>
  <si>
    <t>Testing and Manuals</t>
  </si>
  <si>
    <t>Testing and Commissioning of the electrical installation.</t>
  </si>
  <si>
    <t>O &amp; M Manuals</t>
  </si>
  <si>
    <t>As Built Drawings (set of Paper Prints, and 1 AutoCAD CD)</t>
  </si>
  <si>
    <t>Site Lighting</t>
  </si>
  <si>
    <t>Wall mounted 28W LED luminaire for AC 85-265V, complete with mounting bracket and all accessories to IP65 as made by Philips or equal approved. (Light Type S1)</t>
  </si>
  <si>
    <t>Post top 50W LED Lantern with 50W LED, 570mm diameter on 3500mm high pole complete with pole and all accessories to IP65  as made by Philips or equal approved. (Light Type SL)</t>
  </si>
  <si>
    <t>6W LED Bollard 150mm diameter 540mm high complete with all accessories  to IP65 as made by Philips or equal approved. (Light Type SLB)</t>
  </si>
  <si>
    <t>100A  6 way TPN MCB wall mounted surface Distribution Board DB SITE, complete with integral 100A TPN MCCB incomer, and the following outgoings: 9x32A SPN, 9x20A SPN MCBs, and all accessories, as made by L &amp; T or equal approved.</t>
  </si>
  <si>
    <t>100W LED Floodlight to IP65 complete with all accessories as made by Philips or equal approved. (Light Type FL)</t>
  </si>
  <si>
    <t>POWER SUPPLY &amp; SWITCHGEAR</t>
  </si>
  <si>
    <t>TRANSFORMERS &amp; 11KV SWITCHGEAR</t>
  </si>
  <si>
    <t>High Voltage Earth made from galvanised steel cable 70mm2 20m long, complete with termination, bonding and inspection manhole all to the approval of UMEME.</t>
  </si>
  <si>
    <t>Allow for profit and overheads on above.</t>
  </si>
  <si>
    <t>CABLING</t>
  </si>
  <si>
    <t>Transformer</t>
  </si>
  <si>
    <t>Cabling from Transformer to Stabiliser, by 7nox185mm2 SC XLPE/PVC Copper cables complete with terminations, glanding, clipping and all accessories. (The measurement is Route Length.)</t>
  </si>
  <si>
    <t>Water Pressure Booster Pump</t>
  </si>
  <si>
    <t>Fire Fighting Pumps</t>
  </si>
  <si>
    <t>Cabling from the Common MDB1 in Power Room to DB SITE, by 4corex16mm2 XLPE/SWA/ PVC Copper cables in PVC duct/Cable trays/surface complete with terminations, glanding, clipping and all accessories.</t>
  </si>
  <si>
    <t>Rising Main Busbar</t>
  </si>
  <si>
    <t>160A TPN + E End Feed Switched  unit for Busbar Riser complete with  all accessories as made by CHINT or equal approved . For UPS Power</t>
  </si>
  <si>
    <t>Energy Meters</t>
  </si>
  <si>
    <t>Three phase Electronic Energy Check Meters complete with  a MOD-BUS interface, and all accessories and to UMEME Standards and approval.</t>
  </si>
  <si>
    <t>Power Supply to Lifts</t>
  </si>
  <si>
    <t>Power Supply to AC Outdoor Units</t>
  </si>
  <si>
    <t>HVAC FOR CONFERENCE HALL</t>
  </si>
  <si>
    <t>STANDBY GENERATOR</t>
  </si>
  <si>
    <t>Installation, testing and commissioning.</t>
  </si>
  <si>
    <t>Earthing of the generator by 70mm2 bare stranded copper cable to an independent earthing manhole with Copper mat to attain resistance of less than 1 ohm.</t>
  </si>
  <si>
    <t>PV Solar Panel 540W peak power Mono-crystalline</t>
  </si>
  <si>
    <t>100A Charge controller as Bluesolar MPPT 75/50 or equal approved.</t>
  </si>
  <si>
    <t>Pure sine wave inverter rated at 30KVA 400Volts, 50 Hz, 3 phase as Victron Energy Multiplus Inverter/Charger or Equal approved complete with MOD BUS interface and all accessories.</t>
  </si>
  <si>
    <t>Anti-surge protection (varistor)</t>
  </si>
  <si>
    <t>UV resistant cables</t>
  </si>
  <si>
    <t>PV Solar Panel mount frames for mounting a panel on the roof.</t>
  </si>
  <si>
    <t>Installation materials including cables and all sundries.</t>
  </si>
  <si>
    <t xml:space="preserve">100A 6way TPN MCB wall mounted recessed Distribution Board, complete with integral isolator, MCBs and all accessories, as L &amp; T or equal approved. </t>
  </si>
  <si>
    <t>Sanitary Fittings</t>
  </si>
  <si>
    <t>"Roca Victoria " BTW WC pan for flush valve, white colour, vitreous china to BS3402 with horizontal outlet complete with WC pan with fixing kit and WC inlet connector, removable plastic seat and cover with self closing system.</t>
  </si>
  <si>
    <t>Concealed Flush valve for above WC Pan as DOCOL 1-1/4"  back entry type, with integral vacuum break, non-hold-open feature and non-return valve, inlet control stop and wall plate complete with all accessories, as DOCOL or equal approved.</t>
  </si>
  <si>
    <t>530x450mm Countertop Vitreous China Wash Hand Basin, with one tap hole 38mm chrome plated chain waste, plastic bottle trap, complete with all accessories as Ideal Standard tempo 53 or equal approved.</t>
  </si>
  <si>
    <t>Hands free electronic control pillar tap, single temperature 1/2" BSP F1 complete with pillar tap, mounting kit, solenoid valve as Cobratron EL-JOE by COBRA.</t>
  </si>
  <si>
    <t>Mains power supply for electronic tap as EL-Trans Cobratron Transformer 10 Channel mains power supply unit, 220V AC to 9V DC</t>
  </si>
  <si>
    <t>Vitreous China semi-recessed toilet roll holder complete with fixing to the wall  as Armitage Shanks Mayfair S5009 or equal approved.</t>
  </si>
  <si>
    <t>Vitreous China Urinal Bowl complete with 38mm chrome plated waste, for flush valve fittings complete with all accessories,  as Armitage Shanks Contour S6110 or equal approved.</t>
  </si>
  <si>
    <t>Urinal proximity sensor surface mounted complete with solenoid, combined servicing valve and filter, float switch with 10metre extension cable and all accessories as Armitage Shanks Urinal proximity sensor S8116 or equal approved.</t>
  </si>
  <si>
    <t>Vitreous China Urinal Bowl separator complete with all accessories,  as Armitage Shanks S6120 or equal approved.</t>
  </si>
  <si>
    <t>6mm glass plate mirror size 610x475mm with bevelled edges complete.</t>
  </si>
  <si>
    <t>PWD Suite with Vitreous China low level, with 6no Grab rails in powder coated aluminium and P outlet 6 litre cistern, valve fittings complete with seat and cover and all accessories, with washbasin and non-concussive tap, bottle trap and all accessories as Armitage Shanks  Standard Pack S687501 or equal approved.</t>
  </si>
  <si>
    <t>Cleaner's sink in fireclay 510x380mm with splash back, grating complete with Nimbus  bib tap and all accessories as Armitage Shanks Alder S5900 or equal approved..</t>
  </si>
  <si>
    <t>Stainless Steel Kitchen Sink, single bowl single drain approximately 1000×500x200mm, rimless, with overflow, plastic waste, plastic bottle trap, bib mixer tap, and all accessories.</t>
  </si>
  <si>
    <t>Pressure type under sink water heater 35litres with glass lining complete with all accessories as Ariston or equal approved for Kitchen.</t>
  </si>
  <si>
    <t>Internal Plumbing</t>
  </si>
  <si>
    <t xml:space="preserve">All pipe work shall be PPR PN25, all diameters below are outer diameter and shall be complete with fittings such as bends elbows, tees and all accessories and shall be inclusive of all builder's work. </t>
  </si>
  <si>
    <t xml:space="preserve">100mm Pipe work complete. </t>
  </si>
  <si>
    <t>100x50mm saddle clamp complete</t>
  </si>
  <si>
    <t xml:space="preserve">80mm Pipe work complete. </t>
  </si>
  <si>
    <t xml:space="preserve">65mm Pipe work complete. </t>
  </si>
  <si>
    <t xml:space="preserve">50mm Pipe work complete. </t>
  </si>
  <si>
    <t xml:space="preserve">40mm Pipe work complete. </t>
  </si>
  <si>
    <t xml:space="preserve">32mm Pipe work complete. </t>
  </si>
  <si>
    <t xml:space="preserve">25mm Pipe work complete. </t>
  </si>
  <si>
    <t xml:space="preserve">20mm Pipe work complete. </t>
  </si>
  <si>
    <t>80mm globe valves</t>
  </si>
  <si>
    <t>65mm globe valves</t>
  </si>
  <si>
    <t>50mm globe valves</t>
  </si>
  <si>
    <t>32mm globe valves</t>
  </si>
  <si>
    <t>25mm globe valves</t>
  </si>
  <si>
    <t>20mm globe valves</t>
  </si>
  <si>
    <t>15mm angle valves</t>
  </si>
  <si>
    <t>13mm stainless steel braided tubing 300mm long  including unions and jointing to steel pipes.</t>
  </si>
  <si>
    <t xml:space="preserve">Foul Water </t>
  </si>
  <si>
    <t>Supply and fix the following in PVC soil and waste system to BS 4514 with fittings, fixed according to the manufacturer's printed instructions and BS 5572:1978 all as supplied by KEY-TERRAIN or equal, complete with all fittings and accessories.</t>
  </si>
  <si>
    <t>160mm PVC soil waste pipe on wall and or in duct.</t>
  </si>
  <si>
    <t>110m PVC soil waste pipe on wall and or in duct.</t>
  </si>
  <si>
    <t>50mm PVC soil waste pipe on wall, in wall and or in duct.</t>
  </si>
  <si>
    <t>38mm PVC soil waste pipe on wall, in wall and or in duct.</t>
  </si>
  <si>
    <t>KEY-TERRAIN Floor traps</t>
  </si>
  <si>
    <t>Concealed type touch-free electronic control Urinal flush valve with manual override complete with all accessories as Conra EL-3006 or equal approved.</t>
  </si>
  <si>
    <t>Vitreous China Wash Hand Basin, 350x300mm with one tap hole 12mm chrome plated non-concussive pillar tap, 38mm chrome plated chain waste, plastic bottle trap, complete with all accessories as  Armitage Sharks or equal approved.</t>
  </si>
  <si>
    <t>Fire Fighting Installations</t>
  </si>
  <si>
    <t>48,000 litre Braithwaite Panel tank (4x4x3 metre) hot rolled steel panels, to BS complete with tank cover, 150mm ball valve for 100mm inlet, 100mm overflow, 100mm wash out with sluice valve, 150mm outlet, mounted on RC beams  on Ground complete with all accessories.</t>
  </si>
  <si>
    <t>Water booster pump set, made of two vertical variable speed pumps on duty standby, rated at 25m3/hr at 60m head  3ph, 415V, complete with Variable Frequency Drive, pressure switches, pressure vessel, control panel  with a MOD-BUS interface, and all accessories with Grundfoss pumps CR10-9 System model VGR2-25/60 or equal approved, .</t>
  </si>
  <si>
    <t>110mm PN10 HDPE pipe water supply/pumping line complete with all accessories.</t>
  </si>
  <si>
    <t>110mm PN10 HDPE pipe water supply line complete with all accessories.</t>
  </si>
  <si>
    <t>110mm globe valve</t>
  </si>
  <si>
    <t>Motorised 110mm globe valve with electronic control for water supply control complete with MOD-BUS interface and all accessories.</t>
  </si>
  <si>
    <t>Calibrated electronic water level/volume monitoring unit for water tanks complete with MOD-BUS interface and all accessories.</t>
  </si>
  <si>
    <t>Electronic water flow meter for 110mm pipe complete with totalizer, display, MOD-BUS interface and all accessories as Kent or equal approved.</t>
  </si>
  <si>
    <t>110mm PVC PN10 soil waste pipe in ground to manholes.</t>
  </si>
  <si>
    <t>160mm PVC PN10 soil waste pipe in ground to manholes.</t>
  </si>
  <si>
    <t xml:space="preserve">Excavate for and construct manhole size 750mmx600mmm depth to invert level (average) 1200mm built in 200mm thick concrete block walling in 1:4 cement mortar walls plastered inside with approved water proofing additive in two coats:150mm concrete mix (1:3:6-20mm aggregate) base 1000mmx150mm (average) thick benching including 2No straight and curved 150mm half round main channel:150mm thick slab,610mmx450mm rebate opening and double seal cast iron cover including all accessories as per drawing. </t>
  </si>
  <si>
    <t xml:space="preserve">Excavate for and construct manhole size 900mmx120mmm depth to invert level (average) 1200mm built in 200mm thick concrete block walling in 1:4 cement mortar walls plastered inside with approved water proofing additive in two coats:150mm concrete mix (1:3:6-20mm aggregate) base 1000mmx150mm (average) thick benching including 2No straight and curved 150mm half round main channel:150mm thick slab,610mmx450mm rebate opening and double seal cast iron cover including all accessories as per drawing. </t>
  </si>
  <si>
    <t>Septic Tank/Biodigester</t>
  </si>
  <si>
    <t xml:space="preserve">Supply and install a Bio-digester tank of cast in situ reinforced concrete 5000mm in diameter, wall thickness 200mm, depth 1800mm complete with inlet and outlet pipe work, starter media, 150mm thick top reinforced concrete slab of grade 25/20 with three 610mmx450mm rebate openings and double seal composite covers. Rate to including all accessories as per drawing details. </t>
  </si>
  <si>
    <t>Soak pit 5000mm diameter 3000mm depth, filled with hard core complete with perforated PVC pipe in center and all accessories as shown in the drawing.</t>
  </si>
  <si>
    <t>Grease trap</t>
  </si>
  <si>
    <t>110mm PVC PN10 storm water pipes</t>
  </si>
  <si>
    <t>160mm PN10 PVC Rain Water down pipes complete.</t>
  </si>
  <si>
    <t>160mm PN10 PVC Rain Water pipe shoes complete.</t>
  </si>
  <si>
    <t>160mm PN10 PVC Rain Water pipe buried in the  ground.</t>
  </si>
  <si>
    <t>200mm PN10 PVC Rain Water pipe buried in the  ground to connect to Public Storm water.</t>
  </si>
  <si>
    <t>Portable Fire Extinguishers</t>
  </si>
  <si>
    <t>Carbon Dioxide portable fire extinguisher 5kg as NAFFCO CO2 gas extinguisher Model NC5 or equal approved.</t>
  </si>
  <si>
    <t>Dry powder portable fire extinguisher 9 kg as NAFFCO ABC powder Model NP9 or equal approved.</t>
  </si>
  <si>
    <t>Hose Reel Installations</t>
  </si>
  <si>
    <t>75mm Black Seamless Steel SCH40 pipe from water tank to hose reels complete with all accessories.</t>
  </si>
  <si>
    <t xml:space="preserve">75x32x75mm Tee Black Seamless Steel SCH40 </t>
  </si>
  <si>
    <t xml:space="preserve">750x505mm Reducer Black Seamless Steel SCH40 </t>
  </si>
  <si>
    <t>25mm Black Seamless Steel SCH40  pipe complete with all accessories.</t>
  </si>
  <si>
    <t>Swinging arm automatic semi-rigid hose reel 19mm diameter and 30m long to BSEN 671-1-2001 and BSEN 694-2001 complete with all accessories including wall mounting box, Jet and Spray nozzle and all accessories as NAFFCO Model 19NFH-020A or equal approved.</t>
  </si>
  <si>
    <t>SPRINKLER SYSTEM</t>
  </si>
  <si>
    <t>100mm Black Seamless Steel SCH40  pipe complete with all accessories.</t>
  </si>
  <si>
    <t>75mm Black Seamless Steel SCH40  pipe complete with all accessories.</t>
  </si>
  <si>
    <t>65mm Black Seamless Steel SCH40  pipe complete with all accessories.</t>
  </si>
  <si>
    <t>50mm Black Seamless Steel SCH40  pipe complete with all accessories.</t>
  </si>
  <si>
    <t>40mm Black Seamless Steel SCH40  pipe complete with all accessories.</t>
  </si>
  <si>
    <t>32mm Black Seamless Steel SCH40  pipe complete with all accessories.</t>
  </si>
  <si>
    <t xml:space="preserve">100x75mm Reducer Black Seamless Steel SCH40 </t>
  </si>
  <si>
    <t xml:space="preserve">50x50x15mm Tee Black Seamless Steel SCH40 </t>
  </si>
  <si>
    <t>75mm Globe Valve</t>
  </si>
  <si>
    <t>Sprinkler heads 78 deg C resistant</t>
  </si>
  <si>
    <t>100mm Black Seamless Steel SCH40 pipe from water tank to hose reels complete with all accessories.</t>
  </si>
  <si>
    <t xml:space="preserve">100x32x100mm Tee Black Seamless Steel SCH40 </t>
  </si>
  <si>
    <t>Swinging arm automatic semi-rigid hose reel 19mm diameter and 30m long to BSEN 671-1-2001 and BSEN 694-2001 complete with all accessories including wall mounting box, Jet and Spray nozzle and all accessories as NAFFCO Model 19NFH-020M or equal approved.</t>
  </si>
  <si>
    <t>Water Tank</t>
  </si>
  <si>
    <t>Dry Riser</t>
  </si>
  <si>
    <t>100mm Black Seamless Steel SCH40  pipe complete with tees and connectors, for Dry Riser 1 in duct.</t>
  </si>
  <si>
    <t>100mm Black Seamless Steel SCH40  pipe complete with tees and connectors, for Dry Riser 2 in duct.</t>
  </si>
  <si>
    <t>Landing valves 65mm with male instantaneous couplings with integral spring loaded non return 'valves, 25mm drain valve, and blank cups complete with Tee to connect into above 150mm diameter dry riser.</t>
  </si>
  <si>
    <t>Air release valve on top of dry riser and wet risers size 25mm as ANGUS no. 250.</t>
  </si>
  <si>
    <t>Pumping-in breeching inlets 65mm with male instantaneous couplings with integral spring loaded non return 'valves, 25mm drain valve, and blank cups.</t>
  </si>
  <si>
    <t>Valve chamber/cabinet  for breeching inlet valve to be wall mounted to detail.</t>
  </si>
  <si>
    <t>Hose Reel /Sprinkler System</t>
  </si>
  <si>
    <t>100mm globe valve</t>
  </si>
  <si>
    <t>Motorised 150mm globe valve with electronic control for water supply control complete with MOD-BUS interface and all accessories.</t>
  </si>
  <si>
    <t>Hydraulic fire alarm siren with drain point installed to run when the fire pumps are operating, and when testing complete with a MOD-BUS interface.</t>
  </si>
  <si>
    <t>Multistage centrifugal electric Fire pump set 60m3/hr  at 65m Head, 3 phase 415V, 2900 rpm electric pump together with diesel pump 60m3/hr head 65m, 2900 rpm, on duty/standby, jockey pump 1KW to maintain pressure at 6.0bars, complete with 300litre pressure tank and control panel with  200litre diesel tank and all components  to satisfy UL and NFPA requirements as supplied and assembled by NAFFCO, or equal approved.</t>
  </si>
  <si>
    <t>Fire Hydrant</t>
  </si>
  <si>
    <t>Fire hydrant DN100, of standout pattern complete with all fittings, adaptors, distance pieces, valves, etc. and all other fittings to make the installation complete, as specified, all fittings to PN 16, including chamber.</t>
  </si>
  <si>
    <t xml:space="preserve">Collapsible reinforced canvas hose reels with female and male couplers, diameter 65mm and length 30m. </t>
  </si>
  <si>
    <t>Nozzle for above hose reel.</t>
  </si>
  <si>
    <t>Metal box to hold 2 hose reels and nozzle 600x900x300mm fixed in the ground on legs, with reinforced glass door complete with all accessories.</t>
  </si>
  <si>
    <t>Gas Fire Suppression System for Data Centre and Server room</t>
  </si>
  <si>
    <t>80litre FM200 Cylinder at 200bar complete</t>
  </si>
  <si>
    <t>Pipework in Copper tested to 90bars.</t>
  </si>
  <si>
    <t>Manifold Copper 50mm diameter, 800mm long complete with all accessories.</t>
  </si>
  <si>
    <t>40mm diameter</t>
  </si>
  <si>
    <t>32mm diameter</t>
  </si>
  <si>
    <t>25mm diameter</t>
  </si>
  <si>
    <t>Control Panels</t>
  </si>
  <si>
    <t>Gas Fire Suppression control panel</t>
  </si>
  <si>
    <t>Gas Fire Suppression repeater panel</t>
  </si>
  <si>
    <t>Sound Beacon</t>
  </si>
  <si>
    <t>Hold Button</t>
  </si>
  <si>
    <t>Abort Button</t>
  </si>
  <si>
    <t>Smoke detector</t>
  </si>
  <si>
    <t>Outlet nozzles</t>
  </si>
  <si>
    <t>Restrictor orifice 2" NPT</t>
  </si>
  <si>
    <t>Cables</t>
  </si>
  <si>
    <t>2x0.8+0.8mm2  PVC/PVC Signal cable</t>
  </si>
  <si>
    <t>4x1.0mm2  PVC/PVC cable to repeater panel.</t>
  </si>
  <si>
    <t>3x1.5mm2  PVC/PVC cable to vent valve.</t>
  </si>
  <si>
    <t>Fire resistant cable, duration in fire-occasion minimum of 30 minutes such as Prysmian FP200 Gold 2x1.0mm2 or equal approved.</t>
  </si>
  <si>
    <t>Gas Fire Suppression System for Power Room</t>
  </si>
  <si>
    <t xml:space="preserve">ORDINARY PASSENGER LIFTS </t>
  </si>
  <si>
    <t xml:space="preserve">The Contractor will inspect site, study drawings, and supply, install, test and commission to the satisfaction of the Engineer, lifts with the following specific details:- </t>
  </si>
  <si>
    <t xml:space="preserve">Discrepancies between drawings and specifications must be brought to the attention of the Engineer before supplying the equipment. </t>
  </si>
  <si>
    <t xml:space="preserve">The Contractor shall therefore be responsible for supply and installation of a fully operational lift with a certificate from the Government Lift Inspector and a warranty from the manufacturers of at least 1 year. </t>
  </si>
  <si>
    <t>The lift control shall include an automatic rescue device which shall in case of power failure move the lift car to the next landing and automatically open the doors.</t>
  </si>
  <si>
    <t>The lift shall be equipped with regenerative braking.</t>
  </si>
  <si>
    <t>The lift shall be as that made by KONE, or OTIS,  or SCHINDLER or MITSUBISHI</t>
  </si>
  <si>
    <t>The lifts shall include an interface/system/gateway to allow third party to monitor and limited control: Position of lift, up/down, door open/closed, number of persons in lift (overload), VIP reservation of lift, Access Control with Cards, Emergency Stop, Fire etc.</t>
  </si>
  <si>
    <t>Capacity:   1000kg (13 persons).</t>
  </si>
  <si>
    <t>Shaft:   2000mm wide by 2300mm deep (inside dimensions)</t>
  </si>
  <si>
    <t>Drive: Variable Voltage Variable Frequency (VVVF)</t>
  </si>
  <si>
    <t>Drive:      On the side of shaft (machine room-less)</t>
  </si>
  <si>
    <t>Openings:     Double leaf centre telescoping opening, 900mm wide.</t>
  </si>
  <si>
    <t xml:space="preserve">Cabin:           To be hairline stainless steel </t>
  </si>
  <si>
    <t xml:space="preserve">All doors:      To be hairline stainless steel </t>
  </si>
  <si>
    <t xml:space="preserve">Landing door at Ground floor: In hairline stainless steel </t>
  </si>
  <si>
    <t>Door architraves:   To be in stainless steel</t>
  </si>
  <si>
    <t>Position indicator:  At all floors</t>
  </si>
  <si>
    <t>Direction indicator: At all floors</t>
  </si>
  <si>
    <t>Car Floor: In Marble</t>
  </si>
  <si>
    <t>Power Supply: 415V, 3 phase 50Hz</t>
  </si>
  <si>
    <t>Voltage stabilizer for the lift</t>
  </si>
  <si>
    <t>Builder's works</t>
  </si>
  <si>
    <t>Fireman's Switch</t>
  </si>
  <si>
    <t>CCTV Monitoring PC Intel Core i7, Windows 8 Ultimate OS, 16GB RAM, 200GB HD</t>
  </si>
  <si>
    <t>Installation and testing of all IPTV system and components</t>
  </si>
  <si>
    <t>IPTV Management software facilitates the efficient administration of the IPTV system. It should provides tools for discovering, configuring, and managing all the IPTV devices such as encoders, TV gateways, and set-top boxes. This should includes the ability to filter viewing permissions and track who is watching what content</t>
  </si>
  <si>
    <t>ZMAX 6A MOD CORD, SHIELDED,1M,WHITE ,JKT,CLR BOOT, BULK - 1 Meter Patch cord ( ZM6A-S01M-02B) as Siemon or equal approved.</t>
  </si>
  <si>
    <t xml:space="preserve">Siemon Z-Plug Filed Termination Module - RJ45 Shielded </t>
  </si>
  <si>
    <t>Computer outlets wired by TERA® CAT 7A cables (as Siemon CBL, Cu, CAT7, 4PR, SLD, S-FTP, LS0H, 1000MZ, VLT, RL, ITL or equal approved) from the nearest switch on the floor to the workstation outlet, in concealed conduit/trunking complete with all accessories.</t>
  </si>
  <si>
    <t>IPTV Server (Server 9 slot HP ML350 G9 - 2 x 500GB H/W Raid-1 , 1+1 server redundancy with clustering ex hardware (Covers all software provided on main server), Server HP iLO , Server HP Redundant Power Supply )</t>
  </si>
  <si>
    <t>TV gateways ( IPTV DVB-T / T2 free to air quad interface X 1,IPTV DVB-S/S2 free to air quad interface x 1,HDMI HDCP to H.264 HD quad encoder x 1 )</t>
  </si>
  <si>
    <t>The system shall have the capability to provide unique high definition (HD) multi-media content to discrete video flat panel monitor(s) located in different areas of the venue; groups and zones of video monitors as well as sending the same video to all video flat panel monitor endpoints simultaneously with all programming based on the Owners requirements. Video resolution available at the edge device / end-points shall be 720p / 1080i or 1080p</t>
  </si>
  <si>
    <t xml:space="preserve">The IPTV Systems shall incorporate at a minimum the following video feeds:
a. DSTV 4 HDMI channels 
b.  Local and international FTA channels </t>
  </si>
  <si>
    <t>The IPTV system shall be fully capable of utilizing content from existing Four Winds Interactive on non-event times</t>
  </si>
  <si>
    <t>Provide a complete and fully functional distributed television system using Internet Protocol. The IPTV system shall be networked and allow for development and implementation of customized content. The systems shall be interfaced to the facility LAN using Ethernet and Internet Protocol (IP) based technology for transporting TV signals, remote monitoring, and control of the system. The system shall support various video distribution applications including television, digital menu boards, digital signage, ad-panels, etc. The IPTV System shall operate on a converged data network that utilizes a single data network backbone for connectivity to all building systems, applications, tenants, and users. System components shall be provided as necessary and include the following major components: 1. Video acquisition (or video head-end) 2. Video delivery (and signage playback) 3. Centralized management and operations.</t>
  </si>
  <si>
    <t>Testing and Commissioning</t>
  </si>
  <si>
    <t>52" LED flat panel display color monitor, 1280x1024 + picture in picture, 120/230VAC 50/60Hz, and all accessories.</t>
  </si>
  <si>
    <t>Axxon Next Software: Client-Server IP Camera Management Software</t>
  </si>
  <si>
    <t>Using the quantities below as a basis, the Contractor shall provide a Solution that offers an integrated system combining Access Control, CCTV, Public Address and Evacuation, and Fire Detection and Alarms all under the control of the Integrated Building System. These systems shall be integrated to run on the main Voice and Data Network.</t>
  </si>
  <si>
    <t xml:space="preserve">Access control cabling for readers , Mag Lock and exit buttons to the central controller using Alarm cables </t>
  </si>
  <si>
    <t>Remote control stations for doors.</t>
  </si>
  <si>
    <t>Access Control Server PC: Windows 7 professional, 4GB RAM, DVD writer, Ethernet, USB, keyboard, 32‖ LED Screen, 2TB HDD,</t>
  </si>
  <si>
    <t>MAGLOCK300: Magnetic door lock 300kg side mount with bracket Front/Z for S/F maglock.</t>
  </si>
  <si>
    <t>Door Closure</t>
  </si>
  <si>
    <t>Suprema BioEntry</t>
  </si>
  <si>
    <t>Emergency Break Glass</t>
  </si>
  <si>
    <t>Paxton Proximity Reader P50, with LED, Audio Response, card reader, cover plate, indoor/outdoor use</t>
  </si>
  <si>
    <t>ISO Proximity Access Cards (10 cards/packs) Directly Printable polished white standard CR-80 cards</t>
  </si>
  <si>
    <t>Desktop Proxy Card Reader</t>
  </si>
  <si>
    <t>Paxton Net2 Access Software: Paxton Net2 Access Control Management and Control Software Professional Edition</t>
  </si>
  <si>
    <t>NET2 Access Panel: Net2 Plus Ethernet enabled Single Door Controller, two reader input, trigger outputs, inbuilt 2Amp PSU and internal 7Ah Backup Battery</t>
  </si>
  <si>
    <t xml:space="preserve">Integrated service router ( Cisco ISR4331-SEC/K9 , Cisco ISR 4331 Sec bundle w/SEC license, SOLN SUPP 8X5XNBD Cisco ISR 4331 Sec bundle w/SEC license, IP Base License for Cisco ISR 4330 Series, Security License for Cisco ISR 4330 Series, 4G Flash Memory for Cisco ISR 4300 (Soldered on motherboard), 4G DRAM (1 x 4G) for Cisco ISR 4300, Cisco ISR 4300 Series IOS XE Universal) </t>
  </si>
  <si>
    <t xml:space="preserve">10GBASE-SR SFP Module (SFP-10G-SR=) </t>
  </si>
  <si>
    <t>Access Switch with fixed configuration 48 port 10/100/1000 ports, each with IEEE 802.1at  Power over Ethernet (PoE+), 2 X 10 Gbps ports uplinks, 64 MB DRAM, 32 MB Flash memory, and support for switch cascading  including Stacking cable (Catalyst 2960-X 48 GigE PoE 740W, 2 x 10G SFP+, LAN Base,SOLN SUPP 8X5XNBD Catalyst 2960-X 48 GigE PoE 740W 2 x 10G, Catalyst 2960-X FlexStack Plus Stacking Module , Cisco FlexStack 1m stacking cable)</t>
  </si>
  <si>
    <t xml:space="preserve">Install Intelligent Access switches at the Network Edge  with POE+ , 10G Uplink </t>
  </si>
  <si>
    <t>Campus Distribution switch - Fibber switch with 24x10G uplink with Layer 3 Capability  &amp; Redundant power supply  ( Cisco Catalyst 3850 24 Port 10G Fibber Switch IP Base, SOLN SUPP 8X5XNBD Cisco Catalyst 3850 24 Port 10G Fibber SW, 715W AC Config 1 Secondary Power Supply, DNA SUBSCRIPTION OPTOUT)</t>
  </si>
  <si>
    <t xml:space="preserve">Install High-performance, reliable campus  Distribution switches with 10 G Uplinks to all access level switches </t>
  </si>
  <si>
    <t>Testing and documentation.</t>
  </si>
  <si>
    <t>Fibre Splicing and accessories.</t>
  </si>
  <si>
    <t>5KVA Rack mounted UPS 220V, 50Hz, 2N+1, single phase complete with batteries to last 5 minutes on full load, with interface to Building Management System with all accessories as made by APC or equal approved.</t>
  </si>
  <si>
    <t>Racks and Cabling</t>
  </si>
  <si>
    <t>Network Infrastructure</t>
  </si>
  <si>
    <t>Enterprise Grade IP Based unified Communication System EPBAX as D-Link DVX 9000E or equal. It should be able to handle 320 IP Extensions, manage all incoming and outgoing calls. 32 incoming lines from different service providers, conferencing including video conference and facilities required for a modern busy facility.</t>
  </si>
  <si>
    <t>Telephony</t>
  </si>
  <si>
    <t>42U Rack Data cabinet complete with power supply and fan and mounting rails for patch panels and switches, with glass front door and all accessories.</t>
  </si>
  <si>
    <t>ZMAX 6A MOD CORD, SHIELDED,3M,WHITE JKT,CLR BOOT, BULK - 3m Patch cord(  ZM6A-S03M-02B) as Siemon or equal approved</t>
  </si>
  <si>
    <t>ZMAX 6A MOD CORD, SHIELDED, 1M,WHITE, JKT, CLR BOOT, BULK -1 Meter Patch cord (ZM6A-S01M-02B) as Siemon or equal approved.</t>
  </si>
  <si>
    <t>1U CAT 6A TERA/MAX PATCH PANEL, 24PORT, with CAT6A, RJ45, HYB, BLK, TL-LSS ,T568A/B1 RMS, BLK Module  Siemon  or equal approved.</t>
  </si>
  <si>
    <t xml:space="preserve">Siemon Zmax 4-Pair Duel RJ45 outlets (OUTLET, ZMAX, SHLD, CAT6A, RJ45, HYB, BLK, TL-LSS, T568A/B - Z6A-S01) &amp;  face Plate wit dual openings   for Voice and Data as Siemon or equal approved mounted on trunking complete with all accessories. </t>
  </si>
  <si>
    <t>Optic Fibre cable complete with terminations</t>
  </si>
  <si>
    <t>Fibre enclosure for 6 fibre cores as Siemon P/N; FCP3-RACK complete with all accessories (SC or LC form) or equal approved.</t>
  </si>
  <si>
    <t>1m 50/125 duplex optic fibre patch cord, SC-LC or LC-LC.</t>
  </si>
  <si>
    <t>1U Cord organizer as Siemon Part No WM-143-5 or equal approved.</t>
  </si>
  <si>
    <t>27U Rack Data cabinet complete with power supply and fan and mounting rails for patch panels and switches, with glass front door and all accessories.</t>
  </si>
  <si>
    <t>Hand Held Metal Detectors with charging kitModel—1165180, Super scannerMake – Garrett</t>
  </si>
  <si>
    <t>Vehicle search Mirrors Model—GP 913Make—AOYODI</t>
  </si>
  <si>
    <t xml:space="preserve">Installation, configuration , commissioning including installation materials and  onsite Training </t>
  </si>
  <si>
    <t>VM Server (Client to Supply)</t>
  </si>
  <si>
    <t>• Occupancy Detector For Advanced Analytics</t>
  </si>
  <si>
    <t>• Room Scheduling</t>
  </si>
  <si>
    <t>• Microsoft® Exchange Integration</t>
  </si>
  <si>
    <t>• HDMI® input &amp; output</t>
  </si>
  <si>
    <t>• Crestron Fusion  Dashboard</t>
  </si>
  <si>
    <t>• Data and Reporting</t>
  </si>
  <si>
    <t>• Global Device Monitoring</t>
  </si>
  <si>
    <t>• Centralized Help Desk and Support</t>
  </si>
  <si>
    <t>Crestron Fusion  On-Premises Software | Perpetual License</t>
  </si>
  <si>
    <t>ROOM MANAGEMENT, BOOKING &amp; CENTRALIZED HELP DESK</t>
  </si>
  <si>
    <t>CATx Cabling &amp; Connectors (P/M)</t>
  </si>
  <si>
    <t>Power Cabling &amp; Connectors (P/M)</t>
  </si>
  <si>
    <t>Kramer 2 Pair Mylar Control Cable (P/M)</t>
  </si>
  <si>
    <t>Kramer BC-2S  1.5mm  Speaker Cable (P/M)</t>
  </si>
  <si>
    <t>Kramer BC-2T Balanced Stereo Audio Cable (P/M)</t>
  </si>
  <si>
    <t>Kramer Shielded CAT6 Cabling &amp; Connectors (P/M)</t>
  </si>
  <si>
    <t>Kramer HDMI Flat Cable + Ethernet Support (4.6m)</t>
  </si>
  <si>
    <t>Kramer HDMI Flat Cable + Ethernet Support (0.9m)</t>
  </si>
  <si>
    <t>Crestron DM-RMC-4KZ-100-C DigitalMedia 8G+® 4K60 4:4:4 HDR Receiver &amp; Room Controller 10</t>
  </si>
  <si>
    <t>Crestron DM-TX-4K-100-C-1G-B-T Floor Box Plate 4K DigitalMedia 8G+® Transmitter 100</t>
  </si>
  <si>
    <t>Crestron DMPS3-4K-350-C 3-Series® 4K DigitalMedia™ Presentation System 350 | Video Processor | Video Switcher &amp; Matrix | Control Processor</t>
  </si>
  <si>
    <t xml:space="preserve">SIGNALING SYSTEM             </t>
  </si>
  <si>
    <t>Crestron TSW-760-TTK-B-S Tabletop  Kit for TSW-760</t>
  </si>
  <si>
    <t>Crestron TSW-760-B-S 7 Inch Full HD Touch Screen</t>
  </si>
  <si>
    <t>Crestron CEN-SW-POE-5 5-Port PoE Switch</t>
  </si>
  <si>
    <t xml:space="preserve">CONTROL SYSTEM </t>
  </si>
  <si>
    <t xml:space="preserve">ClickShare Tray - Can hold up to 4 Buttons </t>
  </si>
  <si>
    <t xml:space="preserve">Barco ClickShare CSE-200 | Wireless Presentation Solution | Base station | 2 x Presentation
Buttons | 3 Year Warranty 
</t>
  </si>
  <si>
    <t>WIRELESS COLLABORATION SYSTEM</t>
  </si>
  <si>
    <t>Crestron DSP-1282 Avia™ 12x8 Digital Signal Processor w/USB Audio, AEC, &amp; Audio Conferencing Interface</t>
  </si>
  <si>
    <t>Shure CVG12D12” (30.5 cm) Gooseneck Microphone with Integrated Desktop Base</t>
  </si>
  <si>
    <t>Shure SLX 4 SM58 Wireless Hand Held Microphone Transmitter</t>
  </si>
  <si>
    <t>Shure WL-185 Lapel Microphone</t>
  </si>
  <si>
    <t>Shure SLX 4 Wireless Bodypack Transmitter</t>
  </si>
  <si>
    <t>Shure SLX 4 Wireless Microphone Receiver</t>
  </si>
  <si>
    <t>Crestron IC5-W-T 5.25 Inch In-Ceiling Speaker | Matte White | Pair</t>
  </si>
  <si>
    <t xml:space="preserve">Crestron AMP-2100 Dual-Channel Modular Power Amplifier, 100W/Ch., 4/8Ω </t>
  </si>
  <si>
    <t>Crestron CS1295 Vector™ Performance Loudspeaker | 12 Inch | 400 Watts</t>
  </si>
  <si>
    <t>Crestron AMP-2210HT 2x210W Commercial Power Amplifier</t>
  </si>
  <si>
    <t>AUDIO SYSTEM</t>
  </si>
  <si>
    <t>Mount Projector Bracket</t>
  </si>
  <si>
    <t>In Ceiling Projector Screen Box | Length  - 3100mm</t>
  </si>
  <si>
    <t>Elite Saker Motorized Projector Screen | 135 Inch | 16:9 | 299X168</t>
  </si>
  <si>
    <t>NEC P525UL Full HD Projector | Laser | 5200 Lumens</t>
  </si>
  <si>
    <t xml:space="preserve">CONFERENCE HALL  -AUDIO &amp; VIDEO SYSTEM </t>
  </si>
  <si>
    <t>CONFERENCE - VIDEO</t>
  </si>
  <si>
    <t>Hearing aid loop in Conference Hall complete.</t>
  </si>
  <si>
    <t>Automated Digital Evacuation Alarm System</t>
  </si>
  <si>
    <t>Installation, Consumables &amp; Configuration</t>
  </si>
  <si>
    <t>Speaker outlets wired by 1 Pair: 16AWG Speaker Bulk Cable (500m) - BC-2S-300M</t>
  </si>
  <si>
    <t>6 Watt Clip-in Ceiling Speaker 6inch -PC-658R</t>
  </si>
  <si>
    <t>Wall Speaker - Black 6watt 94db 1m/1w - BS-678B</t>
  </si>
  <si>
    <t>10W Reflex Horn Speaker for Wide Frequency Response (100V version)- SC-610M</t>
  </si>
  <si>
    <t>Remote Microphone for VM-Series, New Buttons (Successor of RM-200M)- RM-200MS</t>
  </si>
  <si>
    <t>Emergency Power Supply Unit- VX-2000DSER</t>
  </si>
  <si>
    <t>Voice Alarm system Amplifier- VM-3360VACE</t>
  </si>
  <si>
    <t>Voice Alarm system Preamplifier</t>
  </si>
  <si>
    <t>21U data cabinet complete with power supply and fan and mounting rails for patch panels and switches, with glass front door and all accessories.</t>
  </si>
  <si>
    <t>PUBLIC ADDRESS &amp; EVACUATION SYSTEM</t>
  </si>
  <si>
    <t>Programming, Testing, Commissioning, start-up and Handover</t>
  </si>
  <si>
    <t>Fire Alarm points wired by fire retardant cable 2 core, 1.0mm2 complete with all accessories</t>
  </si>
  <si>
    <t>Control Relay Module (Interface With AC) SIGA-CR</t>
  </si>
  <si>
    <t>Control Relay Module (Interface With Elevators) SIGA-CR</t>
  </si>
  <si>
    <t>Signal Input (Riser) Module SIGA-CC1</t>
  </si>
  <si>
    <t>Mains Bell</t>
  </si>
  <si>
    <t>Multi-cd temporal horn-strobe, hi/lo dB - 24V, WHITE G1-HDVM</t>
  </si>
  <si>
    <t>Manual Pull Station - Double Action, 1-stage (Back Box Not Included) SIGA-278</t>
  </si>
  <si>
    <t>Intelligent Second Generation Fixed Temperature / Rate-of-Rise Heat Detector - 135F, 15F per minute SIGA2-HRS complete with base and all accessories.</t>
  </si>
  <si>
    <t>Intelligent Second Generation Photoelectric Smoke Detector SIGA2-PS complete with base and all accessories.</t>
  </si>
  <si>
    <t>Field Devices:</t>
  </si>
  <si>
    <t>1 No. Surface Wall Box - for Remote LCD Command Module RLCM/B-S</t>
  </si>
  <si>
    <t>1 No. Remote LCD Command Module Annunciator 3-LCDANN</t>
  </si>
  <si>
    <t>Repeater Fire Alarm Control Panel each Consists of:</t>
  </si>
  <si>
    <t>Repeater Panel:</t>
  </si>
  <si>
    <t>4 No. 10Ah Sealed Lead Acid Battery - 12 Vdc12V10A</t>
  </si>
  <si>
    <t>2 No. Single Input Module SIGA-CT1</t>
  </si>
  <si>
    <t>2 No. 6.5 Amp Booster Power Supply BPS6A/230</t>
  </si>
  <si>
    <t>1 No. Battery Cabinet 14" x 18.25"x 7.25" - 40AH max BC-1</t>
  </si>
  <si>
    <t>2 No. 40Ah Sealed Lead Acid Battery - 12 Vic 12V40A</t>
  </si>
  <si>
    <t>1 No. Door for CAB7B Series Wall box 3-CAB7D</t>
  </si>
  <si>
    <t>1 No. Wall box with 1 Chassis Space 3-CAB7B</t>
  </si>
  <si>
    <t>1 No. Chassis Assembly 3-CHAS7</t>
  </si>
  <si>
    <t>3 No. Signature Dual Driver Controller 3-SDDC1</t>
  </si>
  <si>
    <t>1 No. Single Signature Driver Controller 3-SSDC1</t>
  </si>
  <si>
    <t>1 No. Primary Power Supply with Local Rail Module, 230V 3-PPS/M-230</t>
  </si>
  <si>
    <t>1 No. Liquid Crystal Display Module 3-LCD</t>
  </si>
  <si>
    <t>1 No. Network Communications Card, Class A 3-RS485A / MOD-BUS Interface.</t>
  </si>
  <si>
    <t>1 No. Central Processor Unit Module 3-CPU3</t>
  </si>
  <si>
    <t>4Loop Analogue addressable Fire Alarm Control Panel Consisting of:</t>
  </si>
  <si>
    <t>FIRE ALARM SYSTEM</t>
  </si>
  <si>
    <t>Socket outlet points wired as a ring by 3 x 2.5mm2 SC PVC copper cables in 25mm heavy gauge PVC surface/concealed conduit/trunking complete with boxes for sockets on trunking and all accessories.</t>
  </si>
  <si>
    <t>Extraction Fan points wired by 3 x 2.5mm2 SC PVC copper cables in 25mm heavy gauge PVC surface/concealed conduit complete with all accessories.</t>
  </si>
  <si>
    <t>Cabling from the Rising Busbar 1 (RBB1) to DB102, by 5x35mm2 SC PVC-I Copper cables in PVC duct/Cable trays/surface complete with terminations, glanding, clipping and all accessories.</t>
  </si>
  <si>
    <t>Air Conditioning Indoor Units points wired by 3x2.5mm2 SC PVC copper cables in 25mm heavy gauge PVC surface/concealed conduit complete with all accessories.</t>
  </si>
  <si>
    <t>Cabling from the Rising Busbar 1 (RBB1) to DB104, by 5x35mm2 SC PVC-I Copper cables in PVC duct/Cable trays/surface complete with terminations, glanding, clipping and all accessories.</t>
  </si>
  <si>
    <t>Cabling from the Rising Busbar 1 (RBB1) to DB204, by 5x35mm2 SC PVC-I Copper cables in PVC duct/Cable trays/surface complete with terminations, glanding, clipping and all accessories.</t>
  </si>
  <si>
    <t>Cabling from the Rising Busbar 2 (RBB2) to DB304, by 5x35mm2 SC PVC-I Copper cables in PVC duct/Cable trays/surface complete with terminations, glanding, clipping and all accessories.</t>
  </si>
  <si>
    <t>DP points wired by 3x2.5mm2 SC PVC copper cables in 25mm heavy gauge PVC surface/concealed conduit complete with all accessories.</t>
  </si>
  <si>
    <t>Cabling from the Rising Busbar 1 (RBB1) to DB105, by 5x35mm2 SC PVC-I Copper cables in PVC duct/Cable trays/surface complete with terminations, glanding, clipping and all accessories.</t>
  </si>
  <si>
    <t>Cabling from the Rising Busbar 1 (RBB1) to DB205, by 5x35mm2 SC PVC-I Copper cables in PVC duct/Cable trays/surface complete with terminations, glanding, clipping and all accessories.</t>
  </si>
  <si>
    <t>Cabling from the Rising Busbar 2 (RBB2) to DB305, by 5x35mm2 SC PVC-I Copper cables in PVC duct/Cable trays/surface complete with terminations, glanding, clipping and all accessories.</t>
  </si>
  <si>
    <t>Cabling from the Rising Busbar 1 (RBB1) to DB106, by 5x35mm2 SC PVC-I Copper cables in PVC duct/Cable trays/surface complete with terminations, glanding, clipping and all accessories.</t>
  </si>
  <si>
    <t>Cabling from the Rising Busbar 1 (RBB1) to DB206, by 5x35mm2 SC PVC-I Copper cables in PVC duct/Cable trays/surface complete with terminations, glanding, clipping and all accessories.</t>
  </si>
  <si>
    <t>Cabling from the Rising Busbar 2 (RBB2) to DB306, by 5x35mm2 SC PVC-I Copper cables in PVC duct/Cable trays/surface complete with terminations, glanding, clipping and all accessories.</t>
  </si>
  <si>
    <t>Cabling from the Common DB in Power Room to DB111, by 5x35mm2 SC PVC-I Copper cables in PVC duct/Cable trays/surface complete with terminations, glanding, clipping and all accessories.</t>
  </si>
  <si>
    <t>General Earthing by 70mm2 stranded bare copper cable laid in the ground round the building foundations and bonded with bimetallic clamps to a selected bar in selected columns complete with all accessories.</t>
  </si>
  <si>
    <t>Cabling by 4 corex6mm2 PVC/SWA/ PVC Copper cables in PVC duct or ground complete with terminations, glanding, clipping and all accessories to site lighting fittings.</t>
  </si>
  <si>
    <t>Cabling from MDB1 to Pressure Booster Pump 1 by 4corex25mm2 XLPE/SWA/ PVC Copper cables in cable duct complete with terminations, glanding, clipping and all accessories.</t>
  </si>
  <si>
    <t>Cabling from MDB1 to Fire Fighting System Pumps by 4corex35mm2 XLPE/SWA/ PVC Copper cables in in cable duct complete with terminations, glanding, clipping and all accessories.</t>
  </si>
  <si>
    <t>Cabling from MDB1 in Power room to DB1 by 4corex35mm2 XLPE/SWA/PVC Copper cables on Cable trays/surface complete with terminations, glanding, clipping and all accessories. (The measurement is Route Length.)</t>
  </si>
  <si>
    <t>Cabling from DB1 to Lift 1  by 4corex16mm2 XLPE/ PVC Copper cables in PVC duct/Cable trays/surface complete with terminations, glanding, clipping and all accessories.</t>
  </si>
  <si>
    <t>Cabling from DB1 to Lift 2 by 4corex16mm2 XLPE/ PVC Copper cables in PVC duct/Cable trays/surface complete with terminations, glanding, clipping and all accessories.</t>
  </si>
  <si>
    <t>Cabling from DBHVAC CONF  to AHU CONF1 by 4corex16mm2 XLPE/SWA/ PVC Copper cables in PVC duct/Cable trays/surface complete with terminations, glanding, clipping and all accessories.</t>
  </si>
  <si>
    <t>Cabling from DBHVAC CONF  to AHU CONF2 by 4corex16mm2 XLPE/SWA/ PVC Copper cables in PVC duct/Cable trays/surface complete with terminations, glanding, clipping and all accessories.</t>
  </si>
  <si>
    <t>4/3/3</t>
  </si>
  <si>
    <t>ROOF LEVEL</t>
  </si>
  <si>
    <t>MISCELLANEOUS</t>
  </si>
  <si>
    <t>SETS</t>
  </si>
  <si>
    <t>4/9/1</t>
  </si>
  <si>
    <t>PV SOLAR SYSTEM</t>
  </si>
  <si>
    <t>5/1/3</t>
  </si>
  <si>
    <t>5/2/3</t>
  </si>
  <si>
    <t>5/3/3</t>
  </si>
  <si>
    <t>5/4/3</t>
  </si>
  <si>
    <t>WATER SUPPLY</t>
  </si>
  <si>
    <t>5/6/1</t>
  </si>
  <si>
    <t>SEWER SYSTEM</t>
  </si>
  <si>
    <t>5/7/1</t>
  </si>
  <si>
    <t>STORMWATER DISPOSAL</t>
  </si>
  <si>
    <t>5/8/1</t>
  </si>
  <si>
    <t>BILL NO.6</t>
  </si>
  <si>
    <t>FIRE FIGHTING INSTALLATIONS</t>
  </si>
  <si>
    <t>6/1/2</t>
  </si>
  <si>
    <t>6/2/1</t>
  </si>
  <si>
    <t>6/3/1</t>
  </si>
  <si>
    <t>6/4/1</t>
  </si>
  <si>
    <t>6/5/1</t>
  </si>
  <si>
    <t>6/6/1</t>
  </si>
  <si>
    <t>6/7/1</t>
  </si>
  <si>
    <t>FIRE FIGHTING EQUIPMENT</t>
  </si>
  <si>
    <t xml:space="preserve">TOTAL BILL NO.6 CARRIED TO MAIN SUMMARY </t>
  </si>
  <si>
    <t>6/S</t>
  </si>
  <si>
    <t>HVAC INSTALLATIONS</t>
  </si>
  <si>
    <t>LIFT INSTALLATIONS</t>
  </si>
  <si>
    <t>ICT INSTALLATIONS</t>
  </si>
  <si>
    <t>BILL NO.7</t>
  </si>
  <si>
    <t xml:space="preserve">TOTAL BILL NO.7 CARRIED TO MAIN SUMMARY </t>
  </si>
  <si>
    <t>7/S</t>
  </si>
  <si>
    <t>BILL NO.8</t>
  </si>
  <si>
    <t>8/S</t>
  </si>
  <si>
    <t>BILL NO.9</t>
  </si>
  <si>
    <t>Z</t>
  </si>
  <si>
    <t>9/3/2</t>
  </si>
  <si>
    <t>9/4/1</t>
  </si>
  <si>
    <t xml:space="preserve"> DISPLAY SYSTEM                                                                                    </t>
  </si>
  <si>
    <t xml:space="preserve">IMPLEMENTATION                                                                                                                 </t>
  </si>
  <si>
    <t>9/5/5</t>
  </si>
  <si>
    <t>AUDIO VISUAL CONFERENCING SYSTEM</t>
  </si>
  <si>
    <t>SECURITY EQUIPMENT</t>
  </si>
  <si>
    <t>Walk Thru’ Metal detector Model— Pd 6500i Make —Garrett</t>
  </si>
  <si>
    <t>9/6/1</t>
  </si>
  <si>
    <t xml:space="preserve">Install an Integrated services router for network security  </t>
  </si>
  <si>
    <t xml:space="preserve">Install a  high-performance  Wireless Controller   &amp;  802.11ac Wave 2 supported Access Points (7Gbps speed) </t>
  </si>
  <si>
    <t>Indoor high performance 802.11ac Wave 2 wireless access , maximum concurrent data rate of 2.1 Gb/s (1733 Mb/s in 5 GHz and 400 Mb/s in 2.4 GHz), 160 MHz channels (VHT160*), multi-user MIMO (MUMIMO) and four spatial streams (4SS) inbuilt with Virtual controller</t>
  </si>
  <si>
    <t>9/7/3</t>
  </si>
  <si>
    <t>VOICE &amp; DATA</t>
  </si>
  <si>
    <t>ACCESS CONTROL</t>
  </si>
  <si>
    <t>CCTV SYSTEM</t>
  </si>
  <si>
    <t>IP TV &amp; SIGNAGE SYSTEM</t>
  </si>
  <si>
    <t>9/9/2</t>
  </si>
  <si>
    <t>9/8/3</t>
  </si>
  <si>
    <t>9/10/2</t>
  </si>
  <si>
    <t xml:space="preserve">TOTAL BILL NO.9 CARRIED TO MAIN SUMMARY </t>
  </si>
  <si>
    <t>9/S</t>
  </si>
  <si>
    <t>ESTIMATE BILLS OF QUANTITIES (SCHEME DESIGN STAGE)</t>
  </si>
  <si>
    <t>Lighting points wired by 3x1.5mm2 SC PVC copper cables in 25mm heavy gauge PVC conduit  surface/concealed conduit with drops concealed in walls to switch positions complete with MK steel boxes and all accessories.</t>
  </si>
  <si>
    <t>Public address points in 25mm heavy gauge PVC concealed conduit/trunking complete with all accessories.</t>
  </si>
  <si>
    <t>Public Address points in 25mm heavy gauge PVC concealed conduit/trunking complete with all accessories.</t>
  </si>
  <si>
    <t>Access control points in 25mm heavy gauge PVC concealed conduit/trunking complete with all accessories.</t>
  </si>
  <si>
    <t>Access Control points in 25mm heavy gauge PVC conduit concealed in walls complete with MK steel boxes and all accessories.</t>
  </si>
  <si>
    <t>Public Address points in 25mm heavy gauge PVC conduit concealed in walls complete with MK steel boxes and all accessories.</t>
  </si>
  <si>
    <t>Access control points in 25mm heavy gauge PVC conduit concealed in walls complete with MK steel boxes and all accessories.</t>
  </si>
  <si>
    <t>UPS</t>
  </si>
  <si>
    <t>Computer outlets wired by  CAT 6A cables (as Siemon or equal approved) from the nearest switch on the floor to the workstation outlet, in concealed conduit/trunking complete with all accessories.</t>
  </si>
  <si>
    <t>Console Phone Set</t>
  </si>
  <si>
    <t>Executive IP hone set</t>
  </si>
  <si>
    <t>Standard IP phones</t>
  </si>
  <si>
    <t>set</t>
  </si>
  <si>
    <t>No.</t>
  </si>
  <si>
    <t>Computer outlets wired by CAT 6A cables (as Siemon  or equal approved) from the nearest switch on the floor to the workstation outlet, in concealed conduit/trunking complete with all accessories.</t>
  </si>
  <si>
    <t>Computer outlets wired by  CAT 6A cables (as Siemonor equal approved) from the nearest switch on the floor to the workstation outlet, in concealed conduit/trunking complete with all accessories.</t>
  </si>
  <si>
    <t>cabling system</t>
  </si>
  <si>
    <t>ROOF</t>
  </si>
  <si>
    <t>Speed:            1.0M/S</t>
  </si>
  <si>
    <t>4/6/2</t>
  </si>
  <si>
    <t>4/7/1</t>
  </si>
  <si>
    <t>4/10/1</t>
  </si>
  <si>
    <t xml:space="preserve"> GROUND FLOOR</t>
  </si>
  <si>
    <t>315KVA, 3phase, 11KV/433V Dyn11, 50Hz ONAN, ground mounted transformer, Temperature gauge, off-load tap changer, additional neutral for grounding, complete with all accessories all to comply with UMEME Standards.</t>
  </si>
  <si>
    <t>20KVA 415V 3-phase 50Hz, Hotswapable ON-LINE double conversion, Solid State, Uniterruptible Power Supply, complete with external Lithium Ion Phosphate battery bank cabinet of capacity 15minutes on Full Load. Battery cabinet shall match the UPS Module in dimensions. The UPS shall be as RIELLO SPA or equal approved.</t>
  </si>
  <si>
    <t>40KVA 415V 3-phase 50Hz, Hotswapable ON-LINE double conversion, Solid State, Uniterruptible Power Supply, complete with external Lithium Ion Phosphate battery bank cabinet of capacity 15minutes on Full Load. Battery cabinet shall match the UPS Module in dimensions. The UPS shall be as RIELLO SPA or equal approved.</t>
  </si>
  <si>
    <t>160A 4 way TPN MCCB Wall mounted Distribution Board (DB1) with 160A TPN MCCB incomer/main switch, complete with 3Nox63A and 1nox32A TPN MCCBs, Digital Universal meter, with Over-voltage/under-voltage and phase failure protection and surge protection, MOD-BUS interface, and all accessories as made by L &amp; T, or Legrand, or Siemens or equal approved.</t>
  </si>
  <si>
    <t>Cabling from DBHVAC to VRV Outdoor Unit GF1 by 4corex16mm2 XLPE/SWA/ PVC Copper cables in PVC duct/Cable trays/surface complete with terminations, glanding, clipping and all accessories.</t>
  </si>
  <si>
    <t>Cabling from DBHVAC to VRV Outdoor Unit FF1 by 4corex16mm2 XLPE/SWA/ PVC Copper cables in PVC duct/Cable trays/surface complete with terminations, glanding, clipping and all accessories.</t>
  </si>
  <si>
    <t>Cabling from DBHVAC to VRV Outdoor Unit SF1 by 4corex16mm2 XLPE/SWA/ PVC Copper cables in PVC duct/Cable trays/surface complete with terminations, glanding, clipping and all accessories.</t>
  </si>
  <si>
    <t>Cabling from DBHVAC to VRV Outdoor Unit TF1 by 4corex16mm2 XLPE/SWA/ PVC Copper cables in PVC duct/Cable trays/surface complete with terminations, glanding, clipping and all accessories.</t>
  </si>
  <si>
    <t>11KV 3Corex70mm2 XLPE/SWA/PVC Copper cables laid in the ground from 33KV overhead line terminated in above RMU complete with all accessories.</t>
  </si>
  <si>
    <t>Cabling by 3x25mm2 SC PVC-1 Copper cables in cable duct complete with terminations, glanding, clipping and all accessories</t>
  </si>
  <si>
    <t>Cabling from UPS Isolator in Power room to RBB2 End Feeder by 4Nox70mm2  single core XLPE Copper cables on Cable trays/surface complete with terminations, glanding, clipping and all accessories. (The measurement is Route Length.)</t>
  </si>
  <si>
    <t>Cabling from MDB1 in Power room to RBB1 End Feeder by 4Nox120mm2  single core XLPE Copper cables on Cable trays/surface complete with terminations, glanding, clipping and all accessories. (The measurement is Route Length.)</t>
  </si>
  <si>
    <t>Stabilizer</t>
  </si>
  <si>
    <t>Cabling from Stabiliser, to MDB by 7nox185mm2 SC XLPE/PVC Copper cables complete with terminations, glanding, clipping and all accessories. (The measurement is Route Length.)</t>
  </si>
  <si>
    <t>Standby Generator</t>
  </si>
  <si>
    <t>Cabling from Standby Generator, to MDB by 7nox185mm2 SC XLPE/PVC Copper cables complete with terminations, glanding, clipping and all accessories. (The measurement is Route Length.)</t>
  </si>
  <si>
    <t>UPS1</t>
  </si>
  <si>
    <t>UPS2</t>
  </si>
  <si>
    <t>PV Solar Board</t>
  </si>
  <si>
    <t>630A 10way, TPN free-standing Main Distribution Board, (MDB1 ) with 630A TPN MCCB incomer /main switch, complete with 630A ATS, 1Nox200A, 5Nox160A, 1Nox100A, 2Nox63A TPN MCCBs, 90KVAR APFC bank with electronic controller, Digital Universal meter, with Over-voltage/under-voltage and phase failure protection and surge protection, meter on each outgoing, complete with a MOD-BUS interface, and all accessories as made by Scheneider, or Legrand, or Siemens or equal approved.</t>
  </si>
  <si>
    <t>315KVA 415V, 50Hz, three phase Static Type Voltage Stabilizer with independent Phase control, Input range +/- 25%, output range +/-0.5% complete with input circuit breaker, automatic bypass switch, surge protection, digital meter to read voltages, currents, KW, KWhr, KVA, frequency and power factor, MOD-BUS interface, and all accessories all as made by As STABLINE made by PCTL of Nairobi  or equal approved.</t>
  </si>
  <si>
    <t>Cabling from MDB to UPS 1 by  4Corex25mm2 XLPE/PVC Copper cables complete with terminations, glanding, clipping and all accessories. (The measurement is Route Length.)</t>
  </si>
  <si>
    <t>Cabling from MDB to UPS 2 by 4corex35mm2 XLPE/PVC Copper cables complete with terminations, glanding, clipping and all accessories. (The measurement is Route Length.)</t>
  </si>
  <si>
    <t>Cabling from MDB to PV Solar Board by 4corex35 mm2 XLPE/PVC Copper cables complete with terminations, glanding, clipping and all accessories. (The measurement is Route Length.)</t>
  </si>
  <si>
    <t>Rising main Busbar 1 (RBB1) in trunking 200A 3P + N + E to IP50 as made by CHINT or equal approved complete with all accessories. For Raw Power.</t>
  </si>
  <si>
    <t>100A TPN MCCB tap off units for rising busbar complete with all wiring and accessories as made by CHINT or equal approved. For Raw Power.</t>
  </si>
  <si>
    <t>200A TPN + E End Feed Switched  unit for Busbar Riser complete with  all accessories as made by CHINT or equal approved. For Raw Power.</t>
  </si>
  <si>
    <t>63A TPN MCCB tap off units for rising busbar complete with all wiring and accessories as made by CHINT or equal approved. For UPS Power</t>
  </si>
  <si>
    <t>200A 6 way TPN MCCB free-standing Distribution Board DBHVAC,  with 200A TPN MCCB incomer/main switch, to IP54 complete with 6Nox63A,  TPN MCCBs, and all accessories as made by Scheneider, or Legrand, or Siemens or equal approved.</t>
  </si>
  <si>
    <t>160A 6 way TPN MCCB free-standing Distribution Board DBHVAC CONF,  with 160A TPN MCCB incomer/main switch, to IP54 complete with 6Nox63A,  TPN MCCBs, and all accessories as made by Scheneider, or Legrand, or Siemens or equal approved.</t>
  </si>
  <si>
    <t>Cabling from DBHVAC to DBHVAC CONF by 4corex16mm2 XLPE/SWA/ PVC Copper cables in PVC duct/Cable trays/surface complete with terminations, glanding, clipping and all accessories.</t>
  </si>
  <si>
    <t>Cabling from DBHVAC CONF to VRV Outdoor Unit CONF by 4corex16mm2 XLPE/SWA/ PVC Copper cables in PVC duct/Cable trays/surface complete with terminations, glanding, clipping and all accessories.</t>
  </si>
  <si>
    <t>Cabling from DB2 to AHU CONF3 by 4corex16mm2 XLPE/SWA/ PVC Copper cables in PVC duct/Cable trays/surface complete with terminations, glanding, clipping and all accessories.</t>
  </si>
  <si>
    <t>Cabling from DB2 to AHU CONF4 by 4corex16mm2 XLPE/SWA/ PVC Copper cables in PVC duct/Cable trays/surface complete with terminations, glanding, clipping and all accessories.</t>
  </si>
  <si>
    <t>Network Video Recorder: NVR: 32 channel Network Video Recorder Digital Sentry: 9TB internal Storage, 2RU Digital Sentry NVRS (Network Video Storage Server), 2x DVI-D HD Monitor Outputs, DVD, 280 Mbps bandwidth supports, configured for RAID5, front accessible hard drives, external JBOD or RAID5 storage (up to 24 TB) supports SNMP, HTML management reports, and heads-up DSSI Utility LED display keyed to DSSI Utility, Intel Core i7, Windows 8 Ultimate OS, 8GB RAM</t>
  </si>
  <si>
    <t>Cabling from MDB1 in Power room to DBHVAC by 4cx95mm2  XLPE/SWA/PVC Copper cables on Cable trays/surface complete with terminations, glanding, clipping and all accessories. (The measurement is Route Length.)</t>
  </si>
  <si>
    <t>20W LED up and down lighter wall mounted luminaire to IP22 as made by Phillips or equal approved (Light type T)</t>
  </si>
  <si>
    <t>Die-cast aluminium recessed downlight 15W LED Lamp, 180mm diameter to IP22, complete with  DALI Interface as made by Philips or equal approved (Light Type C)</t>
  </si>
  <si>
    <t>Die-cast aluminium recessed downlight 15W LED Lamp, 200mm diameter to IP22, complete with emergency unit for 3hours  with DALI Interface as made by Philips  or equal approved (Light Type CE)</t>
  </si>
  <si>
    <t>Die-cast twin aluminium recessed downlight 2x15W LED Lamp, 2x100mm diameter to IP22, complete with  DALI Interface as made by Philips or equal approved (Light Type D)</t>
  </si>
  <si>
    <t>Die-cast twin aluminium recessed downlight 2x15W LED Lamp, 2x100mm diameter to IP22, complete with emergency unit for 3hours  with DALI Interface as made by Philips  or equal approved (Light Type DE)</t>
  </si>
  <si>
    <t>Circular fitting 180mm diameter with 15W LED lamp and polycarbonate bowl retained by tamper resistant fixings to IP44 as Philips or equal approoved.  (Light Type B)</t>
  </si>
  <si>
    <t>Circular fitting 180mm diameter with 15W LED lamp complete with emergency unit for 3hours  and polycarbonate bowl retained by tamper resistant fixings to IP44 as Philips or equal approoved.  (Light Type BE)</t>
  </si>
  <si>
    <t>Die-cast aluminium bulkhead with 6W LED lamp and polycarbonate bowl retained by tamper resistant fixings to IP44 as Philips or equal approoved.  (Light Type G) For Lift Shaft.</t>
  </si>
  <si>
    <t>UPPER GROUND FLOOR</t>
  </si>
  <si>
    <t>ELEMENT NO. 5</t>
  </si>
  <si>
    <t>ELEMENT NO. 6</t>
  </si>
  <si>
    <t>ELEMENT NO. 7</t>
  </si>
  <si>
    <t>ELEMENT NO. 8</t>
  </si>
  <si>
    <t>LOWER  GROUND FLOOR</t>
  </si>
  <si>
    <t>4/1/2</t>
  </si>
  <si>
    <t>4/2/2</t>
  </si>
  <si>
    <t>4/4/3</t>
  </si>
  <si>
    <t>4/5/3</t>
  </si>
  <si>
    <t>Allow a Provisional sum of Ushs.10,500,000 for connections to the grid.</t>
  </si>
  <si>
    <t>4/8/3</t>
  </si>
  <si>
    <t>Stainless Steel Kitchen Sink, double bowl single drain approximately 1200×500x200mm, rimless, with overflow, plastic waste, plastic bottle trap, bib mixer tap, and all accessories.</t>
  </si>
  <si>
    <t>Shower with mixer over and hand shower complete as VADO or equal approved..</t>
  </si>
  <si>
    <t>60litre water heater with 3KW electric elemeeeent as ARISTON or equal approved..</t>
  </si>
  <si>
    <t xml:space="preserve">Siemon Z-Plug Field Termination Module - RJ45 Shielded </t>
  </si>
  <si>
    <t>IP DOME CAMERA: Weatherproof, Vandal IR Dome camera, Full HD, 6MP resolution, 1080P, 2.8-12mm Lens, IR 25-30meters, IP66, PoE; complete with Axxon Next Software and connection License.</t>
  </si>
  <si>
    <t>IP BULLET CAMERA: HIGH RESOLUTION: Weatherproof, IR Bullet Full HD, 6MP resolution, 1080P, 2.8-12mm Lens, IR 25-30meters, IP66, PoE; complete with Axxon Next Software and connection License.</t>
  </si>
  <si>
    <t>IP PTZ CAMERA: HIGH RESOLUTION: Weatherproof, IR Bullet Full HD, 6MP resolution, 1080P, 2.8-12mm Lens, IR 25-30meters, IP66, PoE; complete with controller, Axxon Next Software and connection License.</t>
  </si>
  <si>
    <t>Item</t>
  </si>
  <si>
    <t>Description</t>
  </si>
  <si>
    <t>Unit</t>
  </si>
  <si>
    <t>Total Qty</t>
  </si>
  <si>
    <t>INDOOR UNITS VRF SYSTEM</t>
  </si>
  <si>
    <t>CEILING CASSETTEE TYPE</t>
  </si>
  <si>
    <t>7.1kW (24,000Btu/hr) Model: ARNU24GTBB4  CEILING CASSETTE AC UNITS</t>
  </si>
  <si>
    <t>No</t>
  </si>
  <si>
    <t>Supply and Installation of Corded remotes with LCD Desplay for VRF indoor units</t>
  </si>
  <si>
    <t>PANELS</t>
  </si>
  <si>
    <t>Cassette Panel for ARNU24GTBB4 Model: PT-AAGW0</t>
  </si>
  <si>
    <t>OUTDOOR UNITS OF VRF SYSTEM</t>
  </si>
  <si>
    <t>The VRF System shall have green ref. gas R410A</t>
  </si>
  <si>
    <t>VRV SYSTEM ACCESSORIES</t>
  </si>
  <si>
    <t>BRANCH DISTRIBUTION REFRIGERENT PIPE JOINTS WITH PRECAST INSULATION</t>
  </si>
  <si>
    <t>ARBLN01621</t>
  </si>
  <si>
    <t>ARBLN03321</t>
  </si>
  <si>
    <t>REFRIGERATION PIPING &amp; FIRST CHARGE OF REFRIGERANT FOR VRV SYSTEM</t>
  </si>
  <si>
    <t>9.52mm</t>
  </si>
  <si>
    <t>15.88mm</t>
  </si>
  <si>
    <t>19.05mm</t>
  </si>
  <si>
    <t>22.2mm</t>
  </si>
  <si>
    <t>Refrigerant</t>
  </si>
  <si>
    <t>Additional Refrigerant of R410A</t>
  </si>
  <si>
    <t>kg</t>
  </si>
  <si>
    <t>Power Cabling to individual Outdoor units with PVC conduits. ( From Isolator to VRV ODU within 5m , The size of the cable shall be as per manufacurer's technical requirement )</t>
  </si>
  <si>
    <t>Communication Cable between Outdoor Units &amp; Indoor Units with PVC conduits ( The size of the control cable shall be as per manufacturer's technical requirement )</t>
  </si>
  <si>
    <t>Drainage from indoor units</t>
  </si>
  <si>
    <t>25mm Dia</t>
  </si>
  <si>
    <t>32mm Dia</t>
  </si>
  <si>
    <t>40mm Dia</t>
  </si>
  <si>
    <t>3.6kW (12,000Btu/hr) Model: ARNU12GTRB4  CEILING CASSETTE AC UNITS</t>
  </si>
  <si>
    <t>8.2kW (28,000Btu/hr) Model: ARNU28GTBB4  CEILING CASSETTE AC UNITS</t>
  </si>
  <si>
    <t>10.2kW (36,000Btu/hr) Model: ARNU36GTAB4 CEILING CASSETTE AC UNITS</t>
  </si>
  <si>
    <t>WALL MOUNTED TYPE - SERVEROOM</t>
  </si>
  <si>
    <t>Standby Split AC Unit Capacity 24,000Btu.</t>
  </si>
  <si>
    <t>Cassette Panel for ARNU24GTBB4, ARNU28GTBB4 &amp; ARNU36GTAB4  Model: PT-AAGW0</t>
  </si>
  <si>
    <t>Cassette Panel for ARNU12GTRB4  Model: PT-QAGW0</t>
  </si>
  <si>
    <t>i)</t>
  </si>
  <si>
    <t>ii)</t>
  </si>
  <si>
    <t>iii)</t>
  </si>
  <si>
    <t>ARBLN07121</t>
  </si>
  <si>
    <t>iv)</t>
  </si>
  <si>
    <t>ARCNN21</t>
  </si>
  <si>
    <t>v)</t>
  </si>
  <si>
    <t>ARBLN14521</t>
  </si>
  <si>
    <t>6.35mm</t>
  </si>
  <si>
    <t>12.7mm</t>
  </si>
  <si>
    <t>25.4mm</t>
  </si>
  <si>
    <t>28.58mm</t>
  </si>
  <si>
    <t>31.8mm</t>
  </si>
  <si>
    <t>34.9mm</t>
  </si>
  <si>
    <t>41.3mm</t>
  </si>
  <si>
    <t>4.5kW (15,000Btu/hr) Model: ARNU15GTQB4  CEILING CASSETTE AC UNITS</t>
  </si>
  <si>
    <t>5.6kW (18,000Btu/hr) Model: ARNU18GTQB4 CEILING CASSETTE AC UNITS</t>
  </si>
  <si>
    <t>Cassette Panel for ARNU12GTRB4, ARNU15GTQB4 &amp;  ARNU18GTQB4 Model: PT-QAGW0</t>
  </si>
  <si>
    <t>Condensing  unit  of  total  cooling  coil  design  capacity  33.6kW,  ARUN120LLS5,  Input: 8.9kw (3Ph 400V 50Hz).</t>
  </si>
  <si>
    <t>Ditto but 50.4kW,  ARUN180LLS5, Input 12.3kW (3Ph 400V 50Hz).</t>
  </si>
  <si>
    <t xml:space="preserve">TOTAL FOR  FIRST FLOOR. </t>
  </si>
  <si>
    <t>2.8kW (9,000Btu/hr) Model: ARNU09GTRB4  CEILING CASSETTE AC UNITS</t>
  </si>
  <si>
    <t>Cassette Panel for ARNU24GTBB4 &amp; ARNU28GTBB4 Model: PT-AAGW0</t>
  </si>
  <si>
    <t>Cassette Panel for ARNU12GTRB4 &amp;  ARNU18GTQB4 Model: PT-QAGW0</t>
  </si>
  <si>
    <t>38.1mm</t>
  </si>
  <si>
    <t>Cassette Panel for ARNU24GTBB4 to ARNU36GTAB4 Model: PT-AAGW0</t>
  </si>
  <si>
    <t>Cassette Panel for ARNU09GTRB4 to  ARNU18GTQB4 Model: PT-QAGW0</t>
  </si>
  <si>
    <t>Ditto but 61.6kW,  ARUN220LLS5, Input 14.1kW (3Ph 400V 50Hz).</t>
  </si>
  <si>
    <t>TOILET EXTRACTION</t>
  </si>
  <si>
    <t>Inline roof fan capacity 0.46m3/s with Static pressure 100pa complete with accessories</t>
  </si>
  <si>
    <t>Allow for GI ducting:</t>
  </si>
  <si>
    <t>300x200mm</t>
  </si>
  <si>
    <t>200x150mm</t>
  </si>
  <si>
    <t>150x150mm</t>
  </si>
  <si>
    <t>Un-insulated Flexible duct Dia 200mm</t>
  </si>
  <si>
    <t>Back draft dampers 300x200mm</t>
  </si>
  <si>
    <t>Pc</t>
  </si>
  <si>
    <t>Extract louver, 300 x 200mm</t>
  </si>
  <si>
    <t>Circular grills 200mm</t>
  </si>
  <si>
    <t>Allow for testing and commissioning of whole Air Conditioning, Ventilation and Extraction systems</t>
  </si>
  <si>
    <t>Encryption single service per end point (TV) 0 - 50 end points - SecureMedia Encryption for DSTV</t>
  </si>
  <si>
    <t>IPTV receivers, complete with set-top boxes (STBs Video flat panel monitor 1) Video resolution: a) Ultra HD consumer format (3840 X 2160) b) 1080p 32" (Samsung DB55E 55 " screen, TripleChoice management client per player</t>
  </si>
  <si>
    <t>BILLS OF QUANTITIES</t>
  </si>
  <si>
    <t>Rate (UGX)</t>
  </si>
  <si>
    <t>Amount (UGX)</t>
  </si>
  <si>
    <t>AIR CONDITIONING &amp; VENTILATION</t>
  </si>
  <si>
    <t>CONFERENCE ROOM</t>
  </si>
  <si>
    <t>CEILING CONCEALED DUCT TYPE</t>
  </si>
  <si>
    <t>Supply Installation Testing and Commissioning of Ceiling Concelead duct type indoor units having</t>
  </si>
  <si>
    <t>galvanized steel plate casing.  The unit shall be insulated with sound absorbing thermal insulation material.</t>
  </si>
  <si>
    <t>The unit shall be supplied with drain pump with micro processor control.</t>
  </si>
  <si>
    <t>14.1kW (48,000Btu/hr) Model: ARNU48GM3A4  CEILING CONCELEAD DUCT AC UNITS</t>
  </si>
  <si>
    <t>Supply  Installation  Testing  and  Commissioning   of   Compact  Air  Cooled  type outdoor  units of  VRF  System</t>
  </si>
  <si>
    <t>having hermetically sealed  scroll type compressors, Dual  sensing control  and ocean  black fin  heat exchanger</t>
  </si>
  <si>
    <t>The  unit  shall be provided  with its own microprocessor  control panel  with provision  for integration  with the</t>
  </si>
  <si>
    <t>building management system for Air-conditioning system.</t>
  </si>
  <si>
    <t>Condensing  unit  of  total  cooling  coil  design  capacity  56kW,  ARUN200LLS5,  Input: 14.1kw (3Ph 400V 50Hz).</t>
  </si>
  <si>
    <t>i</t>
  </si>
  <si>
    <t>ii</t>
  </si>
  <si>
    <t>a</t>
  </si>
  <si>
    <t>b</t>
  </si>
  <si>
    <t>Power Cabling to individual Outdoor units with PVC conduits. ( From Isolator to VRV ODU within 5m , The size of the</t>
  </si>
  <si>
    <t>cable shall be as per manufacurer's technical requirement )</t>
  </si>
  <si>
    <t>c</t>
  </si>
  <si>
    <t>Communication Cable between Outdoor Units &amp; Indoor Units with PVC conduits ( The size of the control cable shall be</t>
  </si>
  <si>
    <t>as per manufacturer's technical requirement )</t>
  </si>
  <si>
    <t>DUCTING AND AIR DISTRIBUTION ACCESSORIES</t>
  </si>
  <si>
    <t>Supply / Return Air Ducts</t>
  </si>
  <si>
    <t>Pre-insulated sandwich panels duct work fabricated rigid foamed polyscianurate(PIR)     panel    sheated    with</t>
  </si>
  <si>
    <t>centeesimal    aluminium    on    bothsides     or    rigidpolyurethane    foam    and    laminated    with    centesimal</t>
  </si>
  <si>
    <t>aluminium    foil,    20.5mm  thickness    Complete    with    all    Reducers,Tees,Bends,Elbows,    brackets    and</t>
  </si>
  <si>
    <t>allassociated      panel      accessories      like      flange      joint      and      tee      connectors,      Grillesconnections,</t>
  </si>
  <si>
    <t>reinforcement section bars, self threading screws, supports for theducts.</t>
  </si>
  <si>
    <t>400 x 300mm</t>
  </si>
  <si>
    <t>300 x 200mm</t>
  </si>
  <si>
    <t>Insulated Flexible duct 200mm</t>
  </si>
  <si>
    <t>Grille Plenum Boxes 2000 x 150mm</t>
  </si>
  <si>
    <t>Supply  and  installation  of  Supply  air  Grille  -  SAG  of  extruded  aluminium,  diffusion  and  air  mixing  type,</t>
  </si>
  <si>
    <t>polyester powder coated aluminium with damper</t>
  </si>
  <si>
    <t>1000x200mm - Supply Linear Bar Grille.</t>
  </si>
  <si>
    <t>Supply and installation of Return Air Grille</t>
  </si>
  <si>
    <t>600x600 Return Grille.</t>
  </si>
  <si>
    <t>TOTAL FOR CONFERENCE ROOM.</t>
  </si>
  <si>
    <t>Supply Installation Testing and Commissioning of Ceiling Cassette type indoor units having galvanized steel</t>
  </si>
  <si>
    <t>plate casing.  The unit shall be insulated with sound absorbing thermal insulation material. The unit shall be</t>
  </si>
  <si>
    <t>supplied with drain pump with micro processor control.</t>
  </si>
  <si>
    <t>8.8kW (30,000Btu/hr) Model: ARNU30GTAB4 CEILING CASSETTE AC UNITS</t>
  </si>
  <si>
    <t>7.1kW (24,000Btu/hr) Model: ARNU24GSKN4  VRF WALL MOUNTED AC UNITS</t>
  </si>
  <si>
    <t xml:space="preserve">TOTAL FOR UPPER GROUND FLOORS. </t>
  </si>
  <si>
    <t>TOTAL FOR SECOND FLOOR.</t>
  </si>
  <si>
    <t xml:space="preserve">TOTAL FOR  THIRD FLOOR &amp; OTHER PROJECT ITEMS </t>
  </si>
  <si>
    <t>CONFERENCE HALL</t>
  </si>
  <si>
    <t xml:space="preserve">Uganda Police Force
</t>
  </si>
  <si>
    <t>CONSTRUCTION OF THE PROPOSED POLICE CDAC BUILDING AT KIBULI</t>
  </si>
  <si>
    <t xml:space="preserve">UGANDA POLICE FORCE
</t>
  </si>
  <si>
    <t>FEBRUARY 2025</t>
  </si>
  <si>
    <t>FOURTH FLOOR</t>
  </si>
  <si>
    <t>FIFTH FLOOR</t>
  </si>
  <si>
    <t>LOWER GROUND FLOOR</t>
  </si>
  <si>
    <t>Rising main Busbar 2 (RBB2) in trunking 160A 3P + N + E to IP50 as made by CHINT or equal approved complete with all accessories. For UPS Power</t>
  </si>
  <si>
    <t>Water cooled Standby diesel electric generator with weather proof silencer Canopy, with Automatic start and changeover switch, complete with Heavy duty battery, day tank in base, with a Prime Rating of 200 KVA (PRP), 415Volts, 50Hz, 3 phase, power factor 0.8 complete with Power Command PCC 3201 with synchronising unit and all accessories as made by Cummins Power Generation C50 D5 or equal approved.</t>
  </si>
  <si>
    <t>Number of Stops 7</t>
  </si>
  <si>
    <t>Number of Opennings  7</t>
  </si>
  <si>
    <t>Travel:  24 metres (approx.)</t>
  </si>
  <si>
    <t>5000 litre pvc tank mounted on roof on a plinth complete.</t>
  </si>
  <si>
    <t xml:space="preserve">TOTAL FOR  FOURTH FLOOR &amp; OTHER PROJECT ITEMS </t>
  </si>
  <si>
    <t xml:space="preserve">TOTAL FOR FIFTH FLOOR &amp; OTHER PROJECT ITEMS </t>
  </si>
  <si>
    <t>FOURTH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</si>
</sst>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0.0"/>
    <numFmt numFmtId="168" formatCode="#,##0;[Red]#,##0"/>
    <numFmt numFmtId="169" formatCode="_ * #,##0.00_ ;_ * \-#,##0.00_ ;_ * &quot;-&quot;??_ ;_ @_ "/>
    <numFmt numFmtId="170" formatCode="_-* #,##0.00_/_=_-;\-* #,##0.00_/_=_-;_-* &quot;-&quot;??_/_=_-;_-@_-"/>
    <numFmt numFmtId="171" formatCode="#,##0.0"/>
    <numFmt numFmtId="172" formatCode="_(* #,##0.00_);_(* \(#,##0.00\);_(* \-??_);_(@_)"/>
  </numFmts>
  <fonts count="5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0"/>
      <name val="Batang"/>
      <family val="1"/>
    </font>
    <font>
      <sz val="22"/>
      <name val="Batang"/>
      <family val="1"/>
    </font>
    <font>
      <u val="singleAccounting"/>
      <sz val="10"/>
      <name val="Arial"/>
      <family val="2"/>
    </font>
    <font>
      <sz val="10"/>
      <name val="Arial"/>
      <family val="2"/>
    </font>
    <font>
      <sz val="10"/>
      <name val="Arial"/>
      <family val="2"/>
    </font>
    <font>
      <b/>
      <sz val="11"/>
      <name val="Arial Narrow"/>
      <family val="2"/>
    </font>
    <font>
      <sz val="11"/>
      <name val="Arial Narrow"/>
      <family val="2"/>
    </font>
    <font>
      <b/>
      <i/>
      <sz val="11"/>
      <name val="Arial Narrow"/>
      <family val="2"/>
    </font>
    <font>
      <b/>
      <u/>
      <sz val="11"/>
      <name val="Arial Narrow"/>
      <family val="2"/>
    </font>
    <font>
      <b/>
      <sz val="12"/>
      <name val="Arial Narrow"/>
      <family val="2"/>
    </font>
    <font>
      <sz val="12"/>
      <name val="Arial Narrow"/>
      <family val="2"/>
    </font>
    <font>
      <sz val="10"/>
      <name val="Arial Narrow"/>
      <family val="2"/>
    </font>
    <font>
      <b/>
      <sz val="22"/>
      <name val="Arial Narrow"/>
      <family val="2"/>
    </font>
    <font>
      <b/>
      <i/>
      <sz val="12"/>
      <name val="Arial Narrow"/>
      <family val="2"/>
    </font>
    <font>
      <b/>
      <u/>
      <sz val="12"/>
      <name val="Arial Narrow"/>
      <family val="2"/>
    </font>
    <font>
      <sz val="12"/>
      <name val="Arial"/>
      <family val="2"/>
    </font>
    <font>
      <sz val="10"/>
      <color indexed="10"/>
      <name val="Arial Narrow"/>
      <family val="2"/>
    </font>
    <font>
      <sz val="10"/>
      <name val="Arial"/>
      <family val="2"/>
    </font>
    <font>
      <i/>
      <sz val="12"/>
      <name val="Arial Narrow"/>
      <family val="2"/>
    </font>
    <font>
      <sz val="10"/>
      <name val="Arial"/>
      <family val="2"/>
    </font>
    <font>
      <sz val="11"/>
      <color theme="1"/>
      <name val="Calibri"/>
      <family val="2"/>
      <scheme val="minor"/>
    </font>
    <font>
      <sz val="8"/>
      <name val="Arial"/>
      <family val="2"/>
    </font>
    <font>
      <b/>
      <sz val="12"/>
      <color rgb="FFFF0000"/>
      <name val="Arial Narrow"/>
      <family val="2"/>
    </font>
    <font>
      <sz val="12"/>
      <color rgb="FFFF0000"/>
      <name val="Arial Narrow"/>
      <family val="2"/>
    </font>
    <font>
      <sz val="12"/>
      <color theme="1"/>
      <name val="Arial Narrow"/>
      <family val="2"/>
    </font>
    <font>
      <b/>
      <sz val="12"/>
      <color theme="1"/>
      <name val="Arial Narrow"/>
      <family val="2"/>
    </font>
    <font>
      <b/>
      <i/>
      <sz val="12"/>
      <color theme="1"/>
      <name val="Arial Narrow"/>
      <family val="2"/>
    </font>
    <font>
      <sz val="10.5"/>
      <name val="Open Sans"/>
      <family val="2"/>
    </font>
    <font>
      <b/>
      <sz val="10.5"/>
      <name val="Open Sans"/>
      <family val="2"/>
    </font>
    <font>
      <b/>
      <i/>
      <sz val="10.5"/>
      <name val="Open Sans"/>
      <family val="2"/>
    </font>
    <font>
      <b/>
      <u/>
      <sz val="10.5"/>
      <name val="Open Sans"/>
      <family val="2"/>
    </font>
    <font>
      <i/>
      <sz val="10.5"/>
      <name val="Open Sans"/>
      <family val="2"/>
    </font>
    <font>
      <sz val="14"/>
      <name val="Open Sans"/>
      <family val="2"/>
    </font>
    <font>
      <sz val="14"/>
      <color indexed="10"/>
      <name val="Open Sans"/>
      <family val="2"/>
    </font>
    <font>
      <b/>
      <sz val="14"/>
      <name val="Open Sans"/>
      <family val="2"/>
    </font>
    <font>
      <u/>
      <sz val="10.5"/>
      <name val="Open Sans"/>
      <family val="2"/>
    </font>
    <font>
      <sz val="15"/>
      <name val="Open Sans"/>
      <family val="2"/>
    </font>
    <font>
      <sz val="15"/>
      <color indexed="10"/>
      <name val="Open Sans"/>
      <family val="2"/>
    </font>
    <font>
      <b/>
      <sz val="15"/>
      <name val="Open Sans"/>
      <family val="2"/>
    </font>
    <font>
      <b/>
      <shadow/>
      <sz val="14"/>
      <name val="Open Sans"/>
      <family val="2"/>
    </font>
    <font>
      <sz val="10"/>
      <name val="Open Sans"/>
      <family val="2"/>
    </font>
    <font>
      <b/>
      <sz val="12"/>
      <name val="Open Sans"/>
      <family val="2"/>
    </font>
    <font>
      <b/>
      <sz val="11"/>
      <name val="Open Sans"/>
      <family val="2"/>
    </font>
    <font>
      <b/>
      <sz val="10"/>
      <name val="Open Sans"/>
      <family val="2"/>
    </font>
    <font>
      <b/>
      <shadow/>
      <sz val="20"/>
      <name val="Open Sans"/>
      <family val="2"/>
    </font>
    <font>
      <b/>
      <shadow/>
      <sz val="12"/>
      <name val="Open Sans"/>
      <family val="2"/>
    </font>
    <font>
      <sz val="10"/>
      <name val="Arial"/>
      <family val="2"/>
    </font>
    <font>
      <b/>
      <sz val="10"/>
      <name val="Arial"/>
      <family val="2"/>
    </font>
    <font>
      <sz val="10"/>
      <color rgb="FF000000"/>
      <name val="Arial"/>
      <family val="2"/>
    </font>
    <font>
      <b/>
      <i/>
      <sz val="10"/>
      <name val="Arial"/>
      <family val="2"/>
    </font>
    <font>
      <i/>
      <sz val="10"/>
      <name val="Arial"/>
      <family val="2"/>
    </font>
    <font>
      <b/>
      <u/>
      <sz val="10"/>
      <name val="Arial"/>
      <family val="2"/>
    </font>
  </fonts>
  <fills count="3">
    <fill>
      <patternFill patternType="none"/>
    </fill>
    <fill>
      <patternFill patternType="gray125"/>
    </fill>
    <fill>
      <patternFill patternType="solid">
        <fgColor indexed="26"/>
      </patternFill>
    </fill>
  </fills>
  <borders count="37">
    <border>
      <left/>
      <right/>
      <top/>
      <bottom/>
      <diagonal/>
    </border>
    <border>
      <left style="thin">
        <color indexed="22"/>
      </left>
      <right style="thin">
        <color indexed="22"/>
      </right>
      <top style="thin">
        <color indexed="22"/>
      </top>
      <bottom style="thin">
        <color indexed="22"/>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double">
        <color indexed="64"/>
      </left>
      <right/>
      <top/>
      <bottom/>
      <diagonal/>
    </border>
    <border>
      <left style="double">
        <color indexed="64"/>
      </left>
      <right/>
      <top style="thin">
        <color indexed="64"/>
      </top>
      <bottom style="double">
        <color indexed="64"/>
      </bottom>
      <diagonal/>
    </border>
    <border>
      <left style="medium">
        <color indexed="64"/>
      </left>
      <right style="medium">
        <color indexed="64"/>
      </right>
      <top/>
      <bottom/>
      <diagonal/>
    </border>
    <border>
      <left style="medium">
        <color indexed="64"/>
      </left>
      <right style="double">
        <color indexed="64"/>
      </right>
      <top/>
      <bottom/>
      <diagonal/>
    </border>
    <border>
      <left/>
      <right/>
      <top style="thin">
        <color indexed="64"/>
      </top>
      <bottom style="double">
        <color indexed="64"/>
      </bottom>
      <diagonal/>
    </border>
    <border>
      <left style="medium">
        <color indexed="64"/>
      </left>
      <right style="double">
        <color indexed="64"/>
      </right>
      <top/>
      <bottom style="medium">
        <color indexed="64"/>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double">
        <color indexed="64"/>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top/>
      <bottom style="thin">
        <color indexed="64"/>
      </bottom>
      <diagonal/>
    </border>
    <border>
      <left/>
      <right/>
      <top/>
      <bottom style="thin">
        <color indexed="64"/>
      </bottom>
      <diagonal/>
    </border>
    <border>
      <left/>
      <right/>
      <top style="thin">
        <color indexed="64"/>
      </top>
      <bottom/>
      <diagonal/>
    </border>
    <border>
      <left style="thin">
        <color auto="1"/>
      </left>
      <right style="thin">
        <color auto="1"/>
      </right>
      <top/>
      <bottom style="double">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auto="1"/>
      </left>
      <right style="thin">
        <color auto="1"/>
      </right>
      <top style="double">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style="thin">
        <color indexed="64"/>
      </right>
      <top style="thin">
        <color indexed="64"/>
      </top>
      <bottom style="thin">
        <color indexed="64"/>
      </bottom>
      <diagonal/>
    </border>
  </borders>
  <cellStyleXfs count="3053">
    <xf numFmtId="0" fontId="0" fillId="0" borderId="0">
      <alignment horizontal="justify"/>
    </xf>
    <xf numFmtId="0" fontId="22" fillId="0" borderId="0"/>
    <xf numFmtId="0" fontId="22" fillId="0" borderId="0"/>
    <xf numFmtId="43" fontId="5" fillId="0" borderId="0" applyFont="0" applyFill="0" applyBorder="0" applyProtection="0">
      <alignment vertical="top"/>
    </xf>
    <xf numFmtId="41" fontId="5"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10"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166" fontId="5" fillId="0" borderId="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165" fontId="10"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0"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169" fontId="4" fillId="0" borderId="0" applyFont="0" applyFill="0" applyBorder="0" applyAlignment="0" applyProtection="0"/>
    <xf numFmtId="43" fontId="11"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43" fontId="5" fillId="0" borderId="0" applyFont="0" applyFill="0" applyBorder="0" applyProtection="0">
      <alignment vertical="top"/>
    </xf>
    <xf numFmtId="0" fontId="4" fillId="0" borderId="0" applyFont="0" applyFill="0" applyBorder="0" applyAlignment="0" applyProtection="0"/>
    <xf numFmtId="43" fontId="5" fillId="0" borderId="0" applyFont="0" applyFill="0" applyBorder="0" applyAlignment="0" applyProtection="0"/>
    <xf numFmtId="0"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Protection="0">
      <alignment vertical="top"/>
    </xf>
    <xf numFmtId="43" fontId="10"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170"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165"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4"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165"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165"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10"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165"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applyFill="0" applyBorder="0" applyAlignment="0" applyProtection="0"/>
    <xf numFmtId="43" fontId="5" fillId="0" borderId="0" applyFont="0" applyFill="0" applyBorder="0" applyAlignment="0" applyProtection="0"/>
    <xf numFmtId="167" fontId="10"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10"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6" fillId="0" borderId="0" applyFont="0" applyFill="0" applyBorder="0" applyProtection="0">
      <alignment vertical="top"/>
    </xf>
    <xf numFmtId="165"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167" fontId="10"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0"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6"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Alignment="0" applyProtection="0"/>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5" fillId="0" borderId="0" applyFont="0" applyFill="0" applyBorder="0" applyProtection="0">
      <alignment vertical="top"/>
    </xf>
    <xf numFmtId="43" fontId="24" fillId="0" borderId="0" applyFont="0" applyFill="0" applyBorder="0" applyProtection="0">
      <alignment vertical="top"/>
    </xf>
    <xf numFmtId="0" fontId="5" fillId="0" borderId="0" applyFont="0" applyFill="0" applyBorder="0" applyAlignment="0" applyProtection="0"/>
    <xf numFmtId="44" fontId="26" fillId="0" borderId="0" applyFont="0" applyFill="0" applyBorder="0" applyAlignment="0" applyProtection="0"/>
    <xf numFmtId="44" fontId="5" fillId="0" borderId="0" applyFont="0" applyFill="0" applyBorder="0" applyAlignment="0" applyProtection="0"/>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xf numFmtId="0" fontId="5" fillId="0" borderId="0"/>
    <xf numFmtId="0" fontId="5" fillId="0" borderId="0"/>
    <xf numFmtId="0" fontId="5" fillId="0" borderId="0">
      <alignment horizontal="justify" vertical="top" wrapText="1"/>
    </xf>
    <xf numFmtId="0" fontId="27" fillId="0" borderId="0"/>
    <xf numFmtId="0" fontId="5" fillId="0" borderId="0">
      <alignment horizontal="justify"/>
    </xf>
    <xf numFmtId="0" fontId="5" fillId="0" borderId="0">
      <alignment horizontal="justify" vertical="top" wrapText="1"/>
    </xf>
    <xf numFmtId="0" fontId="27" fillId="0" borderId="0"/>
    <xf numFmtId="0" fontId="27" fillId="0" borderId="0"/>
    <xf numFmtId="0" fontId="5" fillId="0" borderId="0">
      <alignment horizontal="justify"/>
    </xf>
    <xf numFmtId="0" fontId="4" fillId="0" borderId="0"/>
    <xf numFmtId="0" fontId="5" fillId="0" borderId="0"/>
    <xf numFmtId="0" fontId="4" fillId="0" borderId="0"/>
    <xf numFmtId="0" fontId="4" fillId="0" borderId="0"/>
    <xf numFmtId="0" fontId="4" fillId="0" borderId="0"/>
    <xf numFmtId="0" fontId="4" fillId="0" borderId="0"/>
    <xf numFmtId="0" fontId="10"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xf numFmtId="0" fontId="5" fillId="0" borderId="0">
      <alignment horizontal="justify"/>
    </xf>
    <xf numFmtId="0" fontId="5"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vertical="top" wrapText="1"/>
    </xf>
    <xf numFmtId="0" fontId="5" fillId="0" borderId="0">
      <alignment horizontal="justify"/>
    </xf>
    <xf numFmtId="0" fontId="5" fillId="0" borderId="0">
      <alignment horizontal="justify" vertical="top" wrapText="1"/>
    </xf>
    <xf numFmtId="0" fontId="5" fillId="0" borderId="0">
      <alignment horizontal="justify"/>
    </xf>
    <xf numFmtId="0" fontId="5" fillId="0" borderId="0">
      <alignment horizontal="justify" vertical="top" wrapText="1"/>
    </xf>
    <xf numFmtId="0" fontId="10" fillId="0" borderId="0">
      <alignment horizontal="justify"/>
    </xf>
    <xf numFmtId="0" fontId="5" fillId="0" borderId="0">
      <alignment horizontal="justify"/>
    </xf>
    <xf numFmtId="0" fontId="22" fillId="0" borderId="0"/>
    <xf numFmtId="0" fontId="5" fillId="0" borderId="0">
      <alignment horizontal="justify" vertical="top" wrapText="1"/>
    </xf>
    <xf numFmtId="0" fontId="5" fillId="0" borderId="0"/>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22" fillId="0" borderId="0"/>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5" fillId="0" borderId="0">
      <alignment horizontal="justify"/>
    </xf>
    <xf numFmtId="0" fontId="27" fillId="0" borderId="0"/>
    <xf numFmtId="0" fontId="27" fillId="0" borderId="0"/>
    <xf numFmtId="0" fontId="5" fillId="0" borderId="0">
      <alignment horizontal="justify"/>
    </xf>
    <xf numFmtId="0" fontId="27" fillId="0" borderId="0"/>
    <xf numFmtId="0" fontId="4" fillId="0" borderId="0"/>
    <xf numFmtId="0" fontId="27" fillId="0" borderId="0"/>
    <xf numFmtId="0" fontId="5" fillId="0" borderId="0">
      <alignment horizontal="justify"/>
    </xf>
    <xf numFmtId="0" fontId="5" fillId="0" borderId="0">
      <alignment horizontal="justify"/>
    </xf>
    <xf numFmtId="0" fontId="27" fillId="0" borderId="0"/>
    <xf numFmtId="0" fontId="27" fillId="0" borderId="0"/>
    <xf numFmtId="0" fontId="4" fillId="0" borderId="0"/>
    <xf numFmtId="0" fontId="27" fillId="0" borderId="0"/>
    <xf numFmtId="0" fontId="27" fillId="0" borderId="0"/>
    <xf numFmtId="0" fontId="4" fillId="0" borderId="0"/>
    <xf numFmtId="0" fontId="27" fillId="0" borderId="0"/>
    <xf numFmtId="0" fontId="27" fillId="0" borderId="0"/>
    <xf numFmtId="0" fontId="4" fillId="0" borderId="0"/>
    <xf numFmtId="0" fontId="27" fillId="0" borderId="0"/>
    <xf numFmtId="0" fontId="27" fillId="0" borderId="0"/>
    <xf numFmtId="0" fontId="27" fillId="0" borderId="0"/>
    <xf numFmtId="0" fontId="4" fillId="0" borderId="0"/>
    <xf numFmtId="0" fontId="27" fillId="0" borderId="0"/>
    <xf numFmtId="0" fontId="27" fillId="0" borderId="0"/>
    <xf numFmtId="0" fontId="27" fillId="0" borderId="0"/>
    <xf numFmtId="0" fontId="4" fillId="0" borderId="0"/>
    <xf numFmtId="0" fontId="27" fillId="0" borderId="0"/>
    <xf numFmtId="0" fontId="4" fillId="0" borderId="0"/>
    <xf numFmtId="0" fontId="27" fillId="0" borderId="0"/>
    <xf numFmtId="0" fontId="4" fillId="0" borderId="0"/>
    <xf numFmtId="0" fontId="27" fillId="0" borderId="0"/>
    <xf numFmtId="0" fontId="27" fillId="0" borderId="0"/>
    <xf numFmtId="0" fontId="4" fillId="0" borderId="0"/>
    <xf numFmtId="0" fontId="27" fillId="0" borderId="0"/>
    <xf numFmtId="0" fontId="4" fillId="0" borderId="0"/>
    <xf numFmtId="0" fontId="4" fillId="0" borderId="0"/>
    <xf numFmtId="0" fontId="27" fillId="0" borderId="0"/>
    <xf numFmtId="0" fontId="27" fillId="0" borderId="0"/>
    <xf numFmtId="0" fontId="4" fillId="0" borderId="0"/>
    <xf numFmtId="0" fontId="27" fillId="0" borderId="0"/>
    <xf numFmtId="0" fontId="27" fillId="0" borderId="0"/>
    <xf numFmtId="0" fontId="27" fillId="0" borderId="0"/>
    <xf numFmtId="0" fontId="4" fillId="0" borderId="0"/>
    <xf numFmtId="0" fontId="5" fillId="0" borderId="0">
      <alignment horizontal="justify"/>
    </xf>
    <xf numFmtId="0" fontId="5" fillId="0" borderId="0"/>
    <xf numFmtId="0" fontId="27" fillId="0" borderId="0"/>
    <xf numFmtId="0" fontId="27" fillId="0" borderId="0"/>
    <xf numFmtId="0" fontId="4" fillId="0" borderId="0"/>
    <xf numFmtId="0" fontId="5" fillId="0" borderId="0">
      <alignment horizontal="justify"/>
    </xf>
    <xf numFmtId="0" fontId="5" fillId="0" borderId="0"/>
    <xf numFmtId="0" fontId="5" fillId="0" borderId="0">
      <alignment horizontal="justify"/>
    </xf>
    <xf numFmtId="0" fontId="5" fillId="0" borderId="0"/>
    <xf numFmtId="0" fontId="5" fillId="0" borderId="0"/>
    <xf numFmtId="0" fontId="5" fillId="0" borderId="0"/>
    <xf numFmtId="0" fontId="5" fillId="0" borderId="0">
      <alignment horizontal="justify" vertical="top" wrapText="1"/>
    </xf>
    <xf numFmtId="0" fontId="5" fillId="0" borderId="0">
      <alignment horizontal="justify" vertical="top" wrapText="1"/>
    </xf>
    <xf numFmtId="0" fontId="27" fillId="0" borderId="0"/>
    <xf numFmtId="0" fontId="27" fillId="0" borderId="0"/>
    <xf numFmtId="0" fontId="4" fillId="0" borderId="0"/>
    <xf numFmtId="0" fontId="27" fillId="0" borderId="0"/>
    <xf numFmtId="0" fontId="5" fillId="0" borderId="0">
      <alignment horizontal="justify"/>
    </xf>
    <xf numFmtId="0" fontId="27" fillId="0" borderId="0"/>
    <xf numFmtId="0" fontId="4" fillId="0" borderId="0"/>
    <xf numFmtId="0" fontId="10"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27" fillId="0" borderId="0"/>
    <xf numFmtId="0" fontId="27" fillId="0" borderId="0"/>
    <xf numFmtId="0" fontId="27" fillId="0" borderId="0"/>
    <xf numFmtId="0" fontId="10" fillId="0" borderId="0">
      <alignment horizontal="justify"/>
    </xf>
    <xf numFmtId="0" fontId="6" fillId="0" borderId="0">
      <alignment horizontal="justify"/>
    </xf>
    <xf numFmtId="0" fontId="5" fillId="0" borderId="0"/>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27" fillId="0" borderId="0"/>
    <xf numFmtId="0" fontId="27" fillId="0" borderId="0"/>
    <xf numFmtId="0" fontId="27" fillId="0" borderId="0"/>
    <xf numFmtId="0" fontId="5"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22" fillId="0" borderId="0"/>
    <xf numFmtId="0" fontId="27" fillId="0" borderId="0"/>
    <xf numFmtId="0" fontId="27" fillId="0" borderId="0"/>
    <xf numFmtId="0" fontId="4" fillId="0" borderId="0"/>
    <xf numFmtId="0" fontId="27" fillId="0" borderId="0"/>
    <xf numFmtId="0" fontId="27" fillId="0" borderId="0"/>
    <xf numFmtId="0" fontId="4" fillId="0" borderId="0"/>
    <xf numFmtId="0" fontId="27" fillId="0" borderId="0"/>
    <xf numFmtId="0" fontId="27" fillId="0" borderId="0"/>
    <xf numFmtId="0" fontId="4" fillId="0" borderId="0"/>
    <xf numFmtId="0" fontId="27" fillId="0" borderId="0"/>
    <xf numFmtId="0" fontId="27" fillId="0" borderId="0"/>
    <xf numFmtId="0" fontId="4" fillId="0" borderId="0"/>
    <xf numFmtId="0" fontId="27" fillId="0" borderId="0"/>
    <xf numFmtId="0" fontId="27" fillId="0" borderId="0"/>
    <xf numFmtId="0" fontId="4" fillId="0" borderId="0"/>
    <xf numFmtId="0" fontId="27" fillId="0" borderId="0"/>
    <xf numFmtId="0" fontId="27" fillId="0" borderId="0"/>
    <xf numFmtId="0" fontId="27" fillId="0" borderId="0"/>
    <xf numFmtId="0" fontId="5" fillId="0" borderId="0">
      <alignment horizontal="justify"/>
    </xf>
    <xf numFmtId="0" fontId="10"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27" fillId="0" borderId="0"/>
    <xf numFmtId="0" fontId="5" fillId="0" borderId="0"/>
    <xf numFmtId="0" fontId="5" fillId="0" borderId="0">
      <alignment horizontal="justify"/>
    </xf>
    <xf numFmtId="0" fontId="10" fillId="0" borderId="0">
      <alignment horizontal="justify"/>
    </xf>
    <xf numFmtId="0" fontId="6" fillId="0" borderId="0">
      <alignment horizontal="justify"/>
    </xf>
    <xf numFmtId="0" fontId="5" fillId="0" borderId="0"/>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xf numFmtId="0" fontId="26" fillId="0" borderId="0"/>
    <xf numFmtId="0" fontId="5" fillId="0" borderId="0"/>
    <xf numFmtId="0" fontId="10"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5" fillId="0" borderId="0">
      <alignment horizontal="justify" vertical="top" wrapText="1"/>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6"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5" fillId="0" borderId="0">
      <alignment horizontal="justify"/>
    </xf>
    <xf numFmtId="0" fontId="10"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6" fillId="0" borderId="0"/>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10" fillId="0" borderId="0">
      <alignment horizontal="justify"/>
    </xf>
    <xf numFmtId="0" fontId="6" fillId="0" borderId="0">
      <alignment horizontal="justify"/>
    </xf>
    <xf numFmtId="0" fontId="22" fillId="0" borderId="0"/>
    <xf numFmtId="0" fontId="5" fillId="0" borderId="0">
      <alignment horizontal="justify"/>
    </xf>
    <xf numFmtId="0" fontId="5" fillId="0" borderId="0">
      <alignment horizontal="justify"/>
    </xf>
    <xf numFmtId="0" fontId="6" fillId="0" borderId="0">
      <alignment horizontal="justify"/>
    </xf>
    <xf numFmtId="0" fontId="22" fillId="0" borderId="0"/>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22" fillId="0" borderId="0"/>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22" fillId="0" borderId="0"/>
    <xf numFmtId="0" fontId="5" fillId="0" borderId="0">
      <alignment horizontal="justify"/>
    </xf>
    <xf numFmtId="0" fontId="5"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10" fillId="0" borderId="0">
      <alignment horizontal="justify"/>
    </xf>
    <xf numFmtId="0" fontId="6"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xf>
    <xf numFmtId="0" fontId="5" fillId="0" borderId="0">
      <alignment horizontal="justify"/>
    </xf>
    <xf numFmtId="0" fontId="5" fillId="0" borderId="0">
      <alignment horizontal="justify" vertical="top" wrapText="1"/>
    </xf>
    <xf numFmtId="0" fontId="5" fillId="0" borderId="0">
      <alignment horizontal="justify"/>
    </xf>
    <xf numFmtId="0" fontId="5" fillId="0" borderId="0">
      <alignment horizontal="justify"/>
    </xf>
    <xf numFmtId="0" fontId="6" fillId="0" borderId="0">
      <alignment horizontal="justify"/>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9" fillId="0" borderId="0">
      <alignment horizontal="justify" vertical="top" wrapText="1"/>
    </xf>
    <xf numFmtId="0" fontId="9" fillId="0" borderId="0">
      <alignment horizontal="centerContinuous" vertical="top" wrapText="1"/>
    </xf>
    <xf numFmtId="0" fontId="5" fillId="0" borderId="0">
      <alignment horizontal="justify" vertical="center" wrapText="1"/>
    </xf>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0" fontId="5" fillId="2" borderId="1"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0" fontId="3" fillId="0" borderId="0"/>
    <xf numFmtId="0" fontId="5" fillId="0" borderId="0">
      <alignment horizontal="justify" vertical="top" wrapText="1"/>
    </xf>
    <xf numFmtId="43" fontId="5" fillId="0" borderId="0" applyFont="0" applyFill="0" applyBorder="0" applyProtection="0">
      <alignment vertical="top"/>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0" fontId="5" fillId="0" borderId="0">
      <alignment horizontal="justify" vertical="top" wrapText="1"/>
    </xf>
    <xf numFmtId="43" fontId="5" fillId="0" borderId="0" applyFont="0" applyFill="0" applyBorder="0" applyProtection="0">
      <alignment vertical="top"/>
    </xf>
    <xf numFmtId="0" fontId="2" fillId="0" borderId="0"/>
    <xf numFmtId="43" fontId="4" fillId="0" borderId="0" applyFont="0" applyFill="0" applyBorder="0" applyAlignment="0" applyProtection="0"/>
    <xf numFmtId="164" fontId="5" fillId="0" borderId="0" applyFont="0" applyFill="0" applyBorder="0" applyAlignment="0" applyProtection="0"/>
    <xf numFmtId="0" fontId="1" fillId="0" borderId="0"/>
    <xf numFmtId="172" fontId="5" fillId="0" borderId="0" applyFill="0" applyBorder="0" applyAlignment="0" applyProtection="0"/>
    <xf numFmtId="164" fontId="53" fillId="0" borderId="0" applyFont="0" applyFill="0" applyBorder="0" applyAlignment="0" applyProtection="0"/>
  </cellStyleXfs>
  <cellXfs count="489">
    <xf numFmtId="0" fontId="0" fillId="0" borderId="0" xfId="0">
      <alignment horizontal="justify"/>
    </xf>
    <xf numFmtId="0" fontId="7" fillId="0" borderId="0" xfId="0" applyFont="1">
      <alignment horizontal="justify"/>
    </xf>
    <xf numFmtId="0" fontId="8" fillId="0" borderId="0" xfId="0" applyFont="1">
      <alignment horizontal="justify"/>
    </xf>
    <xf numFmtId="0" fontId="18" fillId="0" borderId="0" xfId="0" applyFont="1">
      <alignment horizontal="justify"/>
    </xf>
    <xf numFmtId="0" fontId="19" fillId="0" borderId="0" xfId="0" applyFont="1" applyAlignment="1">
      <alignment horizontal="center" wrapText="1"/>
    </xf>
    <xf numFmtId="0" fontId="17" fillId="0" borderId="0" xfId="3001" applyFont="1">
      <alignment horizontal="justify" vertical="top" wrapText="1"/>
    </xf>
    <xf numFmtId="0" fontId="16" fillId="0" borderId="0" xfId="3001" applyFont="1" applyAlignment="1">
      <alignment horizontal="center" vertical="top"/>
    </xf>
    <xf numFmtId="0" fontId="23" fillId="0" borderId="0" xfId="0" applyFont="1">
      <alignment horizontal="justify"/>
    </xf>
    <xf numFmtId="0" fontId="17" fillId="0" borderId="0" xfId="2996" applyFont="1" applyProtection="1">
      <alignment horizontal="justify" vertical="top" wrapText="1"/>
      <protection locked="0"/>
    </xf>
    <xf numFmtId="0" fontId="16" fillId="0" borderId="0" xfId="2996" applyFont="1" applyAlignment="1" applyProtection="1">
      <alignment horizontal="center" vertical="top" wrapText="1"/>
      <protection locked="0"/>
    </xf>
    <xf numFmtId="0" fontId="21" fillId="0" borderId="9" xfId="2996" applyFont="1" applyBorder="1" applyAlignment="1">
      <alignment horizontal="left" vertical="top" wrapText="1"/>
    </xf>
    <xf numFmtId="3" fontId="16" fillId="0" borderId="9" xfId="1630" applyNumberFormat="1" applyFont="1" applyFill="1" applyBorder="1" applyAlignment="1">
      <alignment horizontal="center" vertical="top" wrapText="1"/>
    </xf>
    <xf numFmtId="0" fontId="16" fillId="0" borderId="9" xfId="2996" applyFont="1" applyBorder="1" applyAlignment="1">
      <alignment horizontal="center" vertical="top" wrapText="1"/>
    </xf>
    <xf numFmtId="0" fontId="17" fillId="0" borderId="0" xfId="3002" applyFont="1">
      <alignment horizontal="justify" vertical="top" wrapText="1"/>
    </xf>
    <xf numFmtId="0" fontId="16" fillId="0" borderId="0" xfId="3002" applyFont="1" applyAlignment="1">
      <alignment horizontal="center" vertical="top" wrapText="1"/>
    </xf>
    <xf numFmtId="0" fontId="20" fillId="0" borderId="9" xfId="3002" applyFont="1" applyBorder="1" applyAlignment="1">
      <alignment horizontal="left" vertical="top" wrapText="1"/>
    </xf>
    <xf numFmtId="0" fontId="16" fillId="0" borderId="9" xfId="3002" applyFont="1" applyBorder="1" applyAlignment="1">
      <alignment horizontal="center" vertical="top" wrapText="1"/>
    </xf>
    <xf numFmtId="0" fontId="17" fillId="0" borderId="9" xfId="3002" applyFont="1" applyBorder="1" applyAlignment="1">
      <alignment horizontal="left" vertical="top" wrapText="1"/>
    </xf>
    <xf numFmtId="0" fontId="20" fillId="0" borderId="9" xfId="2996" applyFont="1" applyBorder="1" applyAlignment="1" applyProtection="1">
      <alignment horizontal="left" vertical="top" wrapText="1"/>
      <protection locked="0"/>
    </xf>
    <xf numFmtId="3" fontId="16" fillId="0" borderId="9" xfId="385" applyNumberFormat="1" applyFont="1" applyFill="1" applyBorder="1" applyAlignment="1">
      <alignment horizontal="center" vertical="top" wrapText="1"/>
    </xf>
    <xf numFmtId="3" fontId="17" fillId="0" borderId="10" xfId="385" applyNumberFormat="1" applyFont="1" applyFill="1" applyBorder="1" applyAlignment="1">
      <alignment horizontal="right" vertical="top" wrapText="1"/>
    </xf>
    <xf numFmtId="0" fontId="20" fillId="0" borderId="9" xfId="3001" applyFont="1" applyBorder="1" applyAlignment="1">
      <alignment horizontal="left" vertical="top" wrapText="1"/>
    </xf>
    <xf numFmtId="0" fontId="17" fillId="0" borderId="9" xfId="3002" applyFont="1" applyBorder="1">
      <alignment horizontal="justify" vertical="top" wrapText="1"/>
    </xf>
    <xf numFmtId="3" fontId="16" fillId="0" borderId="9" xfId="3002" applyNumberFormat="1" applyFont="1" applyBorder="1" applyAlignment="1">
      <alignment horizontal="center" vertical="top" wrapText="1"/>
    </xf>
    <xf numFmtId="0" fontId="17" fillId="0" borderId="9" xfId="3002" applyFont="1" applyBorder="1" applyAlignment="1">
      <alignment vertical="top" wrapText="1"/>
    </xf>
    <xf numFmtId="3" fontId="16" fillId="0" borderId="9" xfId="2996" applyNumberFormat="1" applyFont="1" applyBorder="1" applyAlignment="1">
      <alignment horizontal="center" vertical="top" wrapText="1"/>
    </xf>
    <xf numFmtId="0" fontId="16" fillId="0" borderId="0" xfId="3001" applyFont="1" applyAlignment="1">
      <alignment horizontal="center" vertical="top" wrapText="1"/>
    </xf>
    <xf numFmtId="0" fontId="17" fillId="0" borderId="9" xfId="3001" applyFont="1" applyBorder="1">
      <alignment horizontal="justify" vertical="top" wrapText="1"/>
    </xf>
    <xf numFmtId="0" fontId="16" fillId="0" borderId="2" xfId="3001" applyFont="1" applyBorder="1" applyAlignment="1">
      <alignment horizontal="center" vertical="top" wrapText="1"/>
    </xf>
    <xf numFmtId="1" fontId="16" fillId="0" borderId="9" xfId="3001" applyNumberFormat="1" applyFont="1" applyBorder="1" applyAlignment="1">
      <alignment horizontal="center" vertical="top" wrapText="1"/>
    </xf>
    <xf numFmtId="1" fontId="16" fillId="0" borderId="9" xfId="3002" applyNumberFormat="1" applyFont="1" applyBorder="1" applyAlignment="1">
      <alignment horizontal="center" vertical="top" wrapText="1"/>
    </xf>
    <xf numFmtId="0" fontId="17" fillId="0" borderId="0" xfId="3000" applyFont="1">
      <alignment horizontal="justify" vertical="top" wrapText="1"/>
    </xf>
    <xf numFmtId="0" fontId="17" fillId="0" borderId="0" xfId="2995" applyFont="1" applyProtection="1">
      <alignment horizontal="justify" vertical="top" wrapText="1"/>
      <protection locked="0"/>
    </xf>
    <xf numFmtId="0" fontId="16" fillId="0" borderId="0" xfId="3002" applyFont="1" applyAlignment="1">
      <alignment horizontal="center" vertical="top"/>
    </xf>
    <xf numFmtId="0" fontId="17" fillId="0" borderId="0" xfId="3004" applyFont="1">
      <alignment horizontal="justify" vertical="top" wrapText="1"/>
    </xf>
    <xf numFmtId="0" fontId="16" fillId="0" borderId="0" xfId="3004" applyFont="1" applyAlignment="1">
      <alignment horizontal="center" vertical="top" wrapText="1"/>
    </xf>
    <xf numFmtId="1" fontId="16" fillId="0" borderId="9" xfId="3004" applyNumberFormat="1" applyFont="1" applyBorder="1" applyAlignment="1">
      <alignment horizontal="center" vertical="top" wrapText="1"/>
    </xf>
    <xf numFmtId="0" fontId="20" fillId="0" borderId="9" xfId="3004" applyFont="1" applyBorder="1">
      <alignment horizontal="justify" vertical="top" wrapText="1"/>
    </xf>
    <xf numFmtId="0" fontId="21" fillId="0" borderId="9" xfId="3001" applyFont="1" applyBorder="1">
      <alignment horizontal="justify" vertical="top" wrapText="1"/>
    </xf>
    <xf numFmtId="3" fontId="17" fillId="0" borderId="9" xfId="2023" applyNumberFormat="1" applyFont="1" applyBorder="1" applyAlignment="1">
      <alignment horizontal="left" vertical="top" wrapText="1"/>
    </xf>
    <xf numFmtId="0" fontId="21" fillId="0" borderId="9" xfId="3004" applyFont="1" applyBorder="1" applyAlignment="1">
      <alignment horizontal="left" vertical="top" wrapText="1"/>
    </xf>
    <xf numFmtId="3" fontId="16" fillId="0" borderId="0" xfId="1630" applyNumberFormat="1" applyFont="1" applyFill="1" applyBorder="1" applyAlignment="1">
      <alignment horizontal="center" vertical="top" wrapText="1"/>
    </xf>
    <xf numFmtId="0" fontId="17" fillId="0" borderId="0" xfId="3005" applyFont="1">
      <alignment horizontal="justify" vertical="top" wrapText="1"/>
    </xf>
    <xf numFmtId="0" fontId="21" fillId="0" borderId="9" xfId="3001" applyFont="1" applyBorder="1" applyAlignment="1">
      <alignment horizontal="center" vertical="top" wrapText="1"/>
    </xf>
    <xf numFmtId="0" fontId="17" fillId="0" borderId="9" xfId="2996" applyFont="1" applyBorder="1" applyAlignment="1" applyProtection="1">
      <alignment horizontal="left" vertical="top" wrapText="1"/>
      <protection locked="0"/>
    </xf>
    <xf numFmtId="3" fontId="16" fillId="0" borderId="9" xfId="3001" applyNumberFormat="1" applyFont="1" applyBorder="1" applyAlignment="1">
      <alignment horizontal="center" vertical="top"/>
    </xf>
    <xf numFmtId="0" fontId="16" fillId="0" borderId="0" xfId="2999" applyFont="1" applyAlignment="1" applyProtection="1">
      <alignment horizontal="right" vertical="top" wrapText="1"/>
      <protection locked="0"/>
    </xf>
    <xf numFmtId="3" fontId="17" fillId="0" borderId="10" xfId="3" applyNumberFormat="1" applyFont="1" applyFill="1" applyBorder="1" applyAlignment="1" applyProtection="1">
      <alignment horizontal="right" vertical="top"/>
      <protection hidden="1"/>
    </xf>
    <xf numFmtId="0" fontId="16" fillId="0" borderId="0" xfId="3002" applyFont="1" applyAlignment="1">
      <alignment horizontal="right" vertical="top" wrapText="1"/>
    </xf>
    <xf numFmtId="0" fontId="16" fillId="0" borderId="9" xfId="3002" applyFont="1" applyBorder="1" applyAlignment="1">
      <alignment horizontal="right" vertical="top" wrapText="1"/>
    </xf>
    <xf numFmtId="0" fontId="17" fillId="0" borderId="0" xfId="3002" applyFont="1" applyAlignment="1">
      <alignment horizontal="right" vertical="top" wrapText="1"/>
    </xf>
    <xf numFmtId="3" fontId="25" fillId="0" borderId="0" xfId="385" quotePrefix="1" applyNumberFormat="1" applyFont="1" applyFill="1" applyBorder="1" applyAlignment="1">
      <alignment horizontal="right" vertical="top" wrapText="1"/>
    </xf>
    <xf numFmtId="3" fontId="17" fillId="0" borderId="0" xfId="3" applyNumberFormat="1" applyFont="1" applyFill="1" applyBorder="1" applyProtection="1">
      <alignment vertical="top"/>
      <protection hidden="1"/>
    </xf>
    <xf numFmtId="3" fontId="17" fillId="0" borderId="0" xfId="385" applyNumberFormat="1" applyFont="1" applyFill="1" applyBorder="1" applyAlignment="1">
      <alignment vertical="top" wrapText="1"/>
    </xf>
    <xf numFmtId="3" fontId="17" fillId="0" borderId="10" xfId="385" applyNumberFormat="1" applyFont="1" applyFill="1" applyBorder="1" applyAlignment="1" applyProtection="1">
      <alignment horizontal="right" vertical="top" wrapText="1"/>
      <protection locked="0"/>
    </xf>
    <xf numFmtId="0" fontId="21" fillId="0" borderId="9" xfId="3002" applyFont="1" applyBorder="1" applyAlignment="1">
      <alignment horizontal="center" vertical="top" wrapText="1"/>
    </xf>
    <xf numFmtId="0" fontId="16" fillId="0" borderId="9" xfId="3001" applyFont="1" applyBorder="1" applyAlignment="1">
      <alignment horizontal="center" vertical="top" wrapText="1"/>
    </xf>
    <xf numFmtId="0" fontId="16" fillId="0" borderId="0" xfId="2995" applyFont="1" applyAlignment="1" applyProtection="1">
      <alignment horizontal="center" vertical="top" wrapText="1"/>
      <protection locked="0"/>
    </xf>
    <xf numFmtId="0" fontId="17" fillId="0" borderId="9" xfId="2995" applyFont="1" applyBorder="1">
      <alignment horizontal="justify" vertical="top" wrapText="1"/>
    </xf>
    <xf numFmtId="1" fontId="16" fillId="0" borderId="9" xfId="1629" applyNumberFormat="1" applyFont="1" applyFill="1" applyBorder="1" applyAlignment="1">
      <alignment horizontal="center" vertical="top"/>
    </xf>
    <xf numFmtId="0" fontId="17" fillId="0" borderId="9" xfId="2995" applyFont="1" applyBorder="1" applyProtection="1">
      <alignment horizontal="justify" vertical="top" wrapText="1"/>
      <protection locked="0"/>
    </xf>
    <xf numFmtId="0" fontId="20" fillId="0" borderId="5" xfId="3006" applyFont="1" applyBorder="1" applyAlignment="1">
      <alignment horizontal="center" vertical="top" wrapText="1"/>
    </xf>
    <xf numFmtId="0" fontId="20" fillId="0" borderId="6" xfId="3006" applyFont="1" applyBorder="1" applyAlignment="1">
      <alignment horizontal="center" vertical="top" wrapText="1"/>
    </xf>
    <xf numFmtId="3" fontId="20" fillId="0" borderId="6" xfId="1631" applyNumberFormat="1" applyFont="1" applyFill="1" applyBorder="1" applyAlignment="1">
      <alignment horizontal="center" vertical="top" wrapText="1"/>
    </xf>
    <xf numFmtId="168" fontId="16" fillId="0" borderId="0" xfId="385" applyNumberFormat="1" applyFont="1" applyFill="1" applyBorder="1" applyAlignment="1">
      <alignment horizontal="center" vertical="top" wrapText="1"/>
    </xf>
    <xf numFmtId="0" fontId="16" fillId="0" borderId="9" xfId="2995" applyFont="1" applyBorder="1" applyAlignment="1" applyProtection="1">
      <alignment horizontal="center" vertical="top" wrapText="1"/>
      <protection locked="0"/>
    </xf>
    <xf numFmtId="3" fontId="20" fillId="0" borderId="12" xfId="380" applyNumberFormat="1" applyFont="1" applyFill="1" applyBorder="1" applyAlignment="1">
      <alignment horizontal="center" vertical="top" wrapText="1"/>
    </xf>
    <xf numFmtId="0" fontId="17" fillId="0" borderId="0" xfId="3006" applyFont="1" applyAlignment="1">
      <alignment horizontal="center" vertical="top" wrapText="1"/>
    </xf>
    <xf numFmtId="0" fontId="20" fillId="0" borderId="9" xfId="3002" applyFont="1" applyBorder="1">
      <alignment horizontal="justify" vertical="top" wrapText="1"/>
    </xf>
    <xf numFmtId="0" fontId="17" fillId="0" borderId="0" xfId="1777" applyFont="1" applyAlignment="1">
      <alignment vertical="top"/>
    </xf>
    <xf numFmtId="0" fontId="16" fillId="0" borderId="0" xfId="1777" applyFont="1" applyAlignment="1">
      <alignment horizontal="center" vertical="top"/>
    </xf>
    <xf numFmtId="0" fontId="17" fillId="0" borderId="0" xfId="1777" applyFont="1" applyAlignment="1">
      <alignment vertical="top" wrapText="1"/>
    </xf>
    <xf numFmtId="3" fontId="17" fillId="0" borderId="0" xfId="1777" applyNumberFormat="1" applyFont="1" applyAlignment="1">
      <alignment horizontal="right" vertical="top"/>
    </xf>
    <xf numFmtId="3" fontId="17" fillId="0" borderId="0" xfId="1777" applyNumberFormat="1" applyFont="1" applyAlignment="1">
      <alignment vertical="top"/>
    </xf>
    <xf numFmtId="0" fontId="13" fillId="0" borderId="0" xfId="1777" applyFont="1" applyAlignment="1">
      <alignment vertical="top"/>
    </xf>
    <xf numFmtId="0" fontId="21" fillId="0" borderId="0" xfId="1784" applyFont="1" applyAlignment="1">
      <alignment vertical="top"/>
    </xf>
    <xf numFmtId="0" fontId="21" fillId="0" borderId="0" xfId="1784" applyFont="1" applyAlignment="1">
      <alignment horizontal="center" vertical="top"/>
    </xf>
    <xf numFmtId="0" fontId="21" fillId="0" borderId="9" xfId="1784" applyFont="1" applyBorder="1" applyAlignment="1">
      <alignment horizontal="center" vertical="top"/>
    </xf>
    <xf numFmtId="3" fontId="21" fillId="0" borderId="10" xfId="1784" applyNumberFormat="1" applyFont="1" applyBorder="1" applyAlignment="1">
      <alignment horizontal="right" vertical="top"/>
    </xf>
    <xf numFmtId="3" fontId="21" fillId="0" borderId="0" xfId="1784" applyNumberFormat="1" applyFont="1" applyAlignment="1">
      <alignment vertical="top"/>
    </xf>
    <xf numFmtId="0" fontId="15" fillId="0" borderId="0" xfId="1784" applyFont="1" applyAlignment="1">
      <alignment vertical="top"/>
    </xf>
    <xf numFmtId="0" fontId="17" fillId="0" borderId="0" xfId="1784" applyFont="1" applyAlignment="1">
      <alignment vertical="top"/>
    </xf>
    <xf numFmtId="0" fontId="16" fillId="0" borderId="0" xfId="1784" applyFont="1" applyAlignment="1">
      <alignment horizontal="center" vertical="top"/>
    </xf>
    <xf numFmtId="0" fontId="16" fillId="0" borderId="9" xfId="1784" applyFont="1" applyBorder="1" applyAlignment="1">
      <alignment horizontal="center" vertical="top"/>
    </xf>
    <xf numFmtId="3" fontId="17" fillId="0" borderId="10" xfId="1784" applyNumberFormat="1" applyFont="1" applyBorder="1" applyAlignment="1">
      <alignment horizontal="right" vertical="top"/>
    </xf>
    <xf numFmtId="3" fontId="17" fillId="0" borderId="0" xfId="1784" applyNumberFormat="1" applyFont="1" applyAlignment="1">
      <alignment vertical="top"/>
    </xf>
    <xf numFmtId="0" fontId="13" fillId="0" borderId="0" xfId="1784" applyFont="1" applyAlignment="1">
      <alignment vertical="top"/>
    </xf>
    <xf numFmtId="0" fontId="21" fillId="0" borderId="9" xfId="1784" applyFont="1" applyBorder="1" applyAlignment="1">
      <alignment vertical="top" wrapText="1"/>
    </xf>
    <xf numFmtId="0" fontId="20" fillId="0" borderId="0" xfId="1784" applyFont="1" applyAlignment="1">
      <alignment vertical="top"/>
    </xf>
    <xf numFmtId="0" fontId="20" fillId="0" borderId="0" xfId="1784" applyFont="1" applyAlignment="1">
      <alignment horizontal="center" vertical="top"/>
    </xf>
    <xf numFmtId="0" fontId="16" fillId="0" borderId="9" xfId="1784" applyFont="1" applyBorder="1" applyAlignment="1">
      <alignment horizontal="right" vertical="top" wrapText="1"/>
    </xf>
    <xf numFmtId="0" fontId="20" fillId="0" borderId="9" xfId="1784" applyFont="1" applyBorder="1" applyAlignment="1">
      <alignment horizontal="center" vertical="top"/>
    </xf>
    <xf numFmtId="0" fontId="14" fillId="0" borderId="0" xfId="1784" applyFont="1" applyAlignment="1">
      <alignment vertical="top"/>
    </xf>
    <xf numFmtId="14" fontId="25" fillId="0" borderId="0" xfId="1784" quotePrefix="1" applyNumberFormat="1" applyFont="1" applyAlignment="1">
      <alignment horizontal="right" vertical="top" wrapText="1"/>
    </xf>
    <xf numFmtId="0" fontId="21" fillId="0" borderId="9" xfId="1784" applyFont="1" applyBorder="1" applyAlignment="1">
      <alignment horizontal="center" vertical="top" wrapText="1"/>
    </xf>
    <xf numFmtId="0" fontId="20" fillId="0" borderId="0" xfId="1785" applyFont="1" applyAlignment="1">
      <alignment vertical="top"/>
    </xf>
    <xf numFmtId="0" fontId="20" fillId="0" borderId="0" xfId="1785" applyFont="1" applyAlignment="1">
      <alignment horizontal="center" vertical="top"/>
    </xf>
    <xf numFmtId="0" fontId="16" fillId="0" borderId="9" xfId="1785" applyFont="1" applyBorder="1" applyAlignment="1">
      <alignment horizontal="right" vertical="top" wrapText="1"/>
    </xf>
    <xf numFmtId="0" fontId="20" fillId="0" borderId="9" xfId="1785" applyFont="1" applyBorder="1" applyAlignment="1">
      <alignment horizontal="center" vertical="top"/>
    </xf>
    <xf numFmtId="0" fontId="14" fillId="0" borderId="0" xfId="1785" applyFont="1" applyAlignment="1">
      <alignment vertical="top"/>
    </xf>
    <xf numFmtId="0" fontId="17" fillId="0" borderId="9" xfId="1784" applyFont="1" applyBorder="1" applyAlignment="1">
      <alignment vertical="top" wrapText="1"/>
    </xf>
    <xf numFmtId="0" fontId="20" fillId="0" borderId="9" xfId="1784" applyFont="1" applyBorder="1" applyAlignment="1">
      <alignment vertical="top" wrapText="1"/>
    </xf>
    <xf numFmtId="0" fontId="17" fillId="0" borderId="9" xfId="1777" applyFont="1" applyBorder="1" applyAlignment="1">
      <alignment vertical="top" wrapText="1"/>
    </xf>
    <xf numFmtId="0" fontId="16" fillId="0" borderId="0" xfId="1784" applyFont="1" applyAlignment="1">
      <alignment vertical="top"/>
    </xf>
    <xf numFmtId="0" fontId="12" fillId="0" borderId="0" xfId="1784" applyFont="1" applyAlignment="1">
      <alignment vertical="top"/>
    </xf>
    <xf numFmtId="0" fontId="17" fillId="0" borderId="9" xfId="3005" applyFont="1" applyBorder="1">
      <alignment horizontal="justify" vertical="top" wrapText="1"/>
    </xf>
    <xf numFmtId="0" fontId="20" fillId="0" borderId="9" xfId="0" applyFont="1" applyBorder="1" applyAlignment="1">
      <alignment horizontal="justify" vertical="top" wrapText="1"/>
    </xf>
    <xf numFmtId="0" fontId="17" fillId="0" borderId="9" xfId="3003" applyFont="1" applyBorder="1">
      <alignment horizontal="justify" vertical="top" wrapText="1"/>
    </xf>
    <xf numFmtId="3" fontId="16" fillId="0" borderId="9" xfId="3003" applyNumberFormat="1" applyFont="1" applyBorder="1" applyAlignment="1">
      <alignment horizontal="center" vertical="top" wrapText="1"/>
    </xf>
    <xf numFmtId="3" fontId="17" fillId="0" borderId="0" xfId="3002" applyNumberFormat="1" applyFont="1">
      <alignment horizontal="justify" vertical="top" wrapText="1"/>
    </xf>
    <xf numFmtId="0" fontId="16" fillId="0" borderId="0" xfId="2996" applyFont="1" applyAlignment="1">
      <alignment horizontal="center" vertical="top" wrapText="1"/>
    </xf>
    <xf numFmtId="0" fontId="20" fillId="0" borderId="9" xfId="3003" applyFont="1" applyBorder="1" applyProtection="1">
      <alignment horizontal="justify" vertical="top" wrapText="1"/>
      <protection locked="0"/>
    </xf>
    <xf numFmtId="0" fontId="20" fillId="0" borderId="9" xfId="1639" applyFont="1" applyBorder="1" applyAlignment="1">
      <alignment horizontal="justify" vertical="top" wrapText="1"/>
    </xf>
    <xf numFmtId="0" fontId="20" fillId="0" borderId="9" xfId="3003" applyFont="1" applyBorder="1">
      <alignment horizontal="justify" vertical="top" wrapText="1"/>
    </xf>
    <xf numFmtId="0" fontId="20" fillId="0" borderId="9" xfId="2997" applyFont="1" applyBorder="1" applyAlignment="1" applyProtection="1">
      <alignment horizontal="left" vertical="top" wrapText="1"/>
      <protection locked="0"/>
    </xf>
    <xf numFmtId="168" fontId="16" fillId="0" borderId="0" xfId="388" applyNumberFormat="1" applyFont="1" applyFill="1" applyBorder="1" applyAlignment="1">
      <alignment horizontal="center" vertical="top" wrapText="1"/>
    </xf>
    <xf numFmtId="3" fontId="16" fillId="0" borderId="9" xfId="3001" applyNumberFormat="1" applyFont="1" applyBorder="1" applyAlignment="1">
      <alignment horizontal="center" vertical="top" wrapText="1"/>
    </xf>
    <xf numFmtId="43" fontId="17" fillId="0" borderId="0" xfId="388" applyFont="1" applyFill="1" applyBorder="1">
      <alignment vertical="top"/>
    </xf>
    <xf numFmtId="3" fontId="17" fillId="0" borderId="9" xfId="1789" applyNumberFormat="1" applyFont="1" applyBorder="1" applyAlignment="1">
      <alignment horizontal="justify" vertical="top" wrapText="1"/>
    </xf>
    <xf numFmtId="3" fontId="16" fillId="0" borderId="9" xfId="1631" applyNumberFormat="1" applyFont="1" applyFill="1" applyBorder="1" applyAlignment="1">
      <alignment horizontal="center" vertical="top"/>
    </xf>
    <xf numFmtId="0" fontId="16" fillId="0" borderId="9" xfId="2998" applyFont="1" applyBorder="1" applyAlignment="1">
      <alignment horizontal="center" vertical="top" wrapText="1"/>
    </xf>
    <xf numFmtId="3" fontId="17" fillId="0" borderId="10" xfId="380" applyNumberFormat="1" applyFont="1" applyFill="1" applyBorder="1" applyAlignment="1">
      <alignment horizontal="right" vertical="top"/>
    </xf>
    <xf numFmtId="0" fontId="20" fillId="0" borderId="9" xfId="3040" applyFont="1" applyBorder="1" applyAlignment="1">
      <alignment horizontal="left" vertical="top" wrapText="1"/>
    </xf>
    <xf numFmtId="0" fontId="17" fillId="0" borderId="9" xfId="3003" applyFont="1" applyBorder="1" applyAlignment="1">
      <alignment horizontal="left" vertical="top" wrapText="1"/>
    </xf>
    <xf numFmtId="0" fontId="16" fillId="0" borderId="9" xfId="1777" applyFont="1" applyBorder="1" applyAlignment="1">
      <alignment horizontal="center" vertical="top"/>
    </xf>
    <xf numFmtId="0" fontId="17" fillId="0" borderId="9" xfId="3007" applyFont="1" applyBorder="1" applyAlignment="1">
      <alignment horizontal="justify" vertical="top" wrapText="1"/>
    </xf>
    <xf numFmtId="0" fontId="16" fillId="0" borderId="0" xfId="3003" applyFont="1" applyAlignment="1">
      <alignment horizontal="center" vertical="top" wrapText="1"/>
    </xf>
    <xf numFmtId="0" fontId="16" fillId="0" borderId="9" xfId="3003" applyFont="1" applyBorder="1" applyAlignment="1">
      <alignment horizontal="center" vertical="top" wrapText="1"/>
    </xf>
    <xf numFmtId="3" fontId="17" fillId="0" borderId="3" xfId="1633" applyNumberFormat="1" applyFont="1" applyFill="1" applyBorder="1" applyAlignment="1">
      <alignment horizontal="right" vertical="top"/>
    </xf>
    <xf numFmtId="3" fontId="17" fillId="0" borderId="7" xfId="388" applyNumberFormat="1" applyFont="1" applyFill="1" applyBorder="1" applyAlignment="1">
      <alignment vertical="top" wrapText="1"/>
    </xf>
    <xf numFmtId="4" fontId="17" fillId="0" borderId="0" xfId="388" applyNumberFormat="1" applyFont="1" applyFill="1" applyBorder="1" applyAlignment="1">
      <alignment horizontal="right" vertical="top" wrapText="1"/>
    </xf>
    <xf numFmtId="4" fontId="17" fillId="0" borderId="10" xfId="3" applyNumberFormat="1" applyFont="1" applyFill="1" applyBorder="1" applyAlignment="1" applyProtection="1">
      <alignment horizontal="right" vertical="top"/>
      <protection hidden="1"/>
    </xf>
    <xf numFmtId="4" fontId="17" fillId="0" borderId="10" xfId="385" applyNumberFormat="1" applyFont="1" applyFill="1" applyBorder="1" applyAlignment="1">
      <alignment horizontal="right" vertical="top" wrapText="1"/>
    </xf>
    <xf numFmtId="4" fontId="17" fillId="0" borderId="0" xfId="385" applyNumberFormat="1" applyFont="1" applyFill="1" applyBorder="1" applyAlignment="1">
      <alignment horizontal="right" vertical="top" wrapText="1"/>
    </xf>
    <xf numFmtId="4" fontId="17" fillId="0" borderId="10" xfId="3" applyNumberFormat="1" applyFont="1" applyFill="1" applyBorder="1" applyProtection="1">
      <alignment vertical="top"/>
      <protection hidden="1"/>
    </xf>
    <xf numFmtId="4" fontId="17" fillId="0" borderId="10" xfId="385" applyNumberFormat="1" applyFont="1" applyFill="1" applyBorder="1" applyAlignment="1" applyProtection="1">
      <alignment horizontal="right" vertical="top" wrapText="1"/>
      <protection locked="0"/>
    </xf>
    <xf numFmtId="4" fontId="16" fillId="0" borderId="11" xfId="385" applyNumberFormat="1" applyFont="1" applyFill="1" applyBorder="1" applyAlignment="1">
      <alignment horizontal="right" vertical="top" wrapText="1"/>
    </xf>
    <xf numFmtId="4" fontId="17" fillId="0" borderId="0" xfId="3" applyNumberFormat="1" applyFont="1" applyFill="1" applyBorder="1" applyProtection="1">
      <alignment vertical="top"/>
      <protection hidden="1"/>
    </xf>
    <xf numFmtId="4" fontId="25" fillId="0" borderId="0" xfId="385" quotePrefix="1" applyNumberFormat="1" applyFont="1" applyFill="1" applyBorder="1" applyAlignment="1">
      <alignment horizontal="right" vertical="top" wrapText="1"/>
    </xf>
    <xf numFmtId="4" fontId="17" fillId="0" borderId="10" xfId="200" applyNumberFormat="1" applyFont="1" applyFill="1" applyBorder="1">
      <alignment vertical="top"/>
    </xf>
    <xf numFmtId="4" fontId="17" fillId="0" borderId="0" xfId="385" applyNumberFormat="1" applyFont="1" applyFill="1" applyBorder="1" applyAlignment="1">
      <alignment vertical="top" wrapText="1"/>
    </xf>
    <xf numFmtId="4" fontId="20" fillId="0" borderId="10" xfId="1784" applyNumberFormat="1" applyFont="1" applyBorder="1" applyAlignment="1">
      <alignment horizontal="right" vertical="top"/>
    </xf>
    <xf numFmtId="4" fontId="16" fillId="0" borderId="8" xfId="1784" applyNumberFormat="1" applyFont="1" applyBorder="1" applyAlignment="1">
      <alignment horizontal="right" vertical="top"/>
    </xf>
    <xf numFmtId="4" fontId="17" fillId="0" borderId="0" xfId="1784" applyNumberFormat="1" applyFont="1" applyAlignment="1">
      <alignment horizontal="right" vertical="top"/>
    </xf>
    <xf numFmtId="4" fontId="17" fillId="0" borderId="0" xfId="1784" applyNumberFormat="1" applyFont="1" applyAlignment="1">
      <alignment vertical="top"/>
    </xf>
    <xf numFmtId="4" fontId="17" fillId="0" borderId="10" xfId="388" applyNumberFormat="1" applyFont="1" applyFill="1" applyBorder="1" applyAlignment="1">
      <alignment horizontal="right" vertical="top" wrapText="1"/>
    </xf>
    <xf numFmtId="4" fontId="17" fillId="0" borderId="10" xfId="200" applyNumberFormat="1" applyFont="1" applyFill="1" applyBorder="1" applyAlignment="1">
      <alignment horizontal="right" vertical="top"/>
    </xf>
    <xf numFmtId="4" fontId="17" fillId="0" borderId="0" xfId="1784" applyNumberFormat="1" applyFont="1" applyAlignment="1">
      <alignment horizontal="center" vertical="top"/>
    </xf>
    <xf numFmtId="4" fontId="16" fillId="0" borderId="0" xfId="1784" applyNumberFormat="1" applyFont="1" applyAlignment="1">
      <alignment vertical="top"/>
    </xf>
    <xf numFmtId="4" fontId="17" fillId="0" borderId="10" xfId="1633" applyNumberFormat="1" applyFont="1" applyFill="1" applyBorder="1" applyAlignment="1">
      <alignment horizontal="right" vertical="top"/>
    </xf>
    <xf numFmtId="4" fontId="17" fillId="0" borderId="10" xfId="385" applyNumberFormat="1" applyFont="1" applyFill="1" applyBorder="1" applyAlignment="1">
      <alignment horizontal="right" vertical="top"/>
    </xf>
    <xf numFmtId="4" fontId="20" fillId="0" borderId="10" xfId="1785" applyNumberFormat="1" applyFont="1" applyBorder="1" applyAlignment="1">
      <alignment horizontal="right" vertical="top"/>
    </xf>
    <xf numFmtId="4" fontId="16" fillId="0" borderId="8" xfId="1785" applyNumberFormat="1" applyFont="1" applyBorder="1" applyAlignment="1">
      <alignment horizontal="right" vertical="top"/>
    </xf>
    <xf numFmtId="4" fontId="21" fillId="0" borderId="10" xfId="1784" applyNumberFormat="1" applyFont="1" applyBorder="1" applyAlignment="1">
      <alignment horizontal="right" vertical="top"/>
    </xf>
    <xf numFmtId="4" fontId="21" fillId="0" borderId="0" xfId="1784" applyNumberFormat="1" applyFont="1" applyAlignment="1">
      <alignment vertical="top"/>
    </xf>
    <xf numFmtId="4" fontId="17" fillId="0" borderId="10" xfId="1784" applyNumberFormat="1" applyFont="1" applyBorder="1" applyAlignment="1">
      <alignment horizontal="right" vertical="top"/>
    </xf>
    <xf numFmtId="4" fontId="16" fillId="0" borderId="8" xfId="385" applyNumberFormat="1" applyFont="1" applyFill="1" applyBorder="1" applyAlignment="1">
      <alignment horizontal="right" vertical="top" wrapText="1"/>
    </xf>
    <xf numFmtId="4" fontId="16" fillId="0" borderId="0" xfId="385" applyNumberFormat="1" applyFont="1" applyFill="1" applyBorder="1" applyAlignment="1">
      <alignment horizontal="right" vertical="top" wrapText="1"/>
    </xf>
    <xf numFmtId="4" fontId="17" fillId="0" borderId="0" xfId="388" applyNumberFormat="1" applyFont="1" applyFill="1" applyBorder="1" applyAlignment="1">
      <alignment vertical="top" wrapText="1"/>
    </xf>
    <xf numFmtId="4" fontId="16" fillId="0" borderId="11" xfId="388" applyNumberFormat="1" applyFont="1" applyFill="1" applyBorder="1" applyAlignment="1">
      <alignment horizontal="right" vertical="top" wrapText="1"/>
    </xf>
    <xf numFmtId="4" fontId="17" fillId="0" borderId="10" xfId="202" applyNumberFormat="1" applyFont="1" applyFill="1" applyBorder="1">
      <alignment vertical="top"/>
    </xf>
    <xf numFmtId="4" fontId="17" fillId="0" borderId="10" xfId="450" applyNumberFormat="1" applyFont="1" applyFill="1" applyBorder="1" applyAlignment="1">
      <alignment horizontal="right" vertical="top" wrapText="1"/>
    </xf>
    <xf numFmtId="4" fontId="17" fillId="0" borderId="10" xfId="388" applyNumberFormat="1" applyFont="1" applyFill="1" applyBorder="1" applyAlignment="1">
      <alignment horizontal="right" vertical="top"/>
    </xf>
    <xf numFmtId="4" fontId="17" fillId="0" borderId="7" xfId="388" applyNumberFormat="1" applyFont="1" applyFill="1" applyBorder="1" applyAlignment="1">
      <alignment horizontal="right" vertical="top" wrapText="1"/>
    </xf>
    <xf numFmtId="4" fontId="21" fillId="0" borderId="0" xfId="1784" applyNumberFormat="1" applyFont="1" applyAlignment="1">
      <alignment horizontal="center" vertical="top"/>
    </xf>
    <xf numFmtId="4" fontId="17" fillId="0" borderId="10" xfId="385" applyNumberFormat="1" applyFont="1" applyFill="1" applyBorder="1">
      <alignment vertical="top"/>
    </xf>
    <xf numFmtId="4" fontId="17" fillId="0" borderId="7" xfId="3" applyNumberFormat="1" applyFont="1" applyFill="1" applyBorder="1" applyAlignment="1">
      <alignment horizontal="right" vertical="top"/>
    </xf>
    <xf numFmtId="4" fontId="17" fillId="0" borderId="10" xfId="1777" applyNumberFormat="1" applyFont="1" applyBorder="1" applyAlignment="1">
      <alignment horizontal="right" vertical="top"/>
    </xf>
    <xf numFmtId="4" fontId="17" fillId="0" borderId="10" xfId="3" applyNumberFormat="1" applyFont="1" applyFill="1" applyBorder="1">
      <alignment vertical="top"/>
    </xf>
    <xf numFmtId="4" fontId="17" fillId="0" borderId="10" xfId="3" applyNumberFormat="1" applyFont="1" applyFill="1" applyBorder="1" applyAlignment="1">
      <alignment horizontal="right" vertical="top"/>
    </xf>
    <xf numFmtId="4" fontId="16" fillId="0" borderId="0" xfId="1784" applyNumberFormat="1" applyFont="1" applyAlignment="1">
      <alignment horizontal="right" vertical="top"/>
    </xf>
    <xf numFmtId="4" fontId="16" fillId="0" borderId="10" xfId="1784" applyNumberFormat="1" applyFont="1" applyBorder="1" applyAlignment="1">
      <alignment horizontal="right" vertical="top"/>
    </xf>
    <xf numFmtId="4" fontId="17" fillId="0" borderId="0" xfId="3" applyNumberFormat="1" applyFont="1" applyFill="1" applyBorder="1" applyAlignment="1">
      <alignment horizontal="right" vertical="top"/>
    </xf>
    <xf numFmtId="4" fontId="17" fillId="0" borderId="10" xfId="1784" applyNumberFormat="1" applyFont="1" applyBorder="1" applyAlignment="1">
      <alignment vertical="top"/>
    </xf>
    <xf numFmtId="4" fontId="20" fillId="0" borderId="0" xfId="1784" applyNumberFormat="1" applyFont="1" applyAlignment="1">
      <alignment horizontal="center" vertical="top"/>
    </xf>
    <xf numFmtId="4" fontId="17" fillId="0" borderId="10" xfId="388" applyNumberFormat="1" applyFont="1" applyFill="1" applyBorder="1" applyAlignment="1">
      <alignment vertical="top" wrapText="1"/>
    </xf>
    <xf numFmtId="4" fontId="17" fillId="0" borderId="3" xfId="3" applyNumberFormat="1" applyFont="1" applyFill="1" applyBorder="1" applyProtection="1">
      <alignment vertical="top"/>
      <protection hidden="1"/>
    </xf>
    <xf numFmtId="4" fontId="17" fillId="0" borderId="7" xfId="385" applyNumberFormat="1" applyFont="1" applyFill="1" applyBorder="1" applyAlignment="1">
      <alignment horizontal="right" vertical="top" wrapText="1"/>
    </xf>
    <xf numFmtId="4" fontId="17" fillId="0" borderId="10" xfId="202" applyNumberFormat="1" applyFont="1" applyFill="1" applyBorder="1" applyAlignment="1">
      <alignment horizontal="right" vertical="top"/>
    </xf>
    <xf numFmtId="4" fontId="30" fillId="0" borderId="10" xfId="385" applyNumberFormat="1" applyFont="1" applyFill="1" applyBorder="1" applyAlignment="1">
      <alignment horizontal="right" vertical="top" wrapText="1"/>
    </xf>
    <xf numFmtId="4" fontId="17" fillId="0" borderId="7" xfId="450" applyNumberFormat="1" applyFont="1" applyFill="1" applyBorder="1" applyAlignment="1" applyProtection="1">
      <alignment horizontal="right" vertical="top" wrapText="1"/>
      <protection locked="0"/>
    </xf>
    <xf numFmtId="3" fontId="16" fillId="0" borderId="9" xfId="1629" applyNumberFormat="1" applyFont="1" applyFill="1" applyBorder="1" applyAlignment="1">
      <alignment horizontal="center" vertical="top" wrapText="1"/>
    </xf>
    <xf numFmtId="3" fontId="17" fillId="0" borderId="10" xfId="3" applyNumberFormat="1" applyFont="1" applyFill="1" applyBorder="1" applyProtection="1">
      <alignment vertical="top"/>
      <protection hidden="1"/>
    </xf>
    <xf numFmtId="3" fontId="16" fillId="0" borderId="9" xfId="3041" applyNumberFormat="1" applyFont="1" applyFill="1" applyBorder="1" applyAlignment="1">
      <alignment horizontal="center" vertical="top" wrapText="1"/>
    </xf>
    <xf numFmtId="3" fontId="17" fillId="0" borderId="10" xfId="388" applyNumberFormat="1" applyFont="1" applyFill="1" applyBorder="1" applyAlignment="1">
      <alignment horizontal="right" vertical="top" wrapText="1"/>
    </xf>
    <xf numFmtId="0" fontId="17" fillId="0" borderId="9" xfId="1784" applyFont="1" applyBorder="1" applyAlignment="1">
      <alignment horizontal="justify" vertical="top" wrapText="1"/>
    </xf>
    <xf numFmtId="166" fontId="17" fillId="0" borderId="10" xfId="3" applyNumberFormat="1" applyFont="1" applyFill="1" applyBorder="1">
      <alignment vertical="top"/>
    </xf>
    <xf numFmtId="166" fontId="17" fillId="0" borderId="0" xfId="3" applyNumberFormat="1" applyFont="1" applyFill="1" applyBorder="1">
      <alignment vertical="top"/>
    </xf>
    <xf numFmtId="3" fontId="16" fillId="0" borderId="9" xfId="388" applyNumberFormat="1" applyFont="1" applyFill="1" applyBorder="1" applyAlignment="1">
      <alignment horizontal="center" vertical="top" wrapText="1"/>
    </xf>
    <xf numFmtId="3" fontId="17" fillId="0" borderId="10" xfId="1633" applyNumberFormat="1" applyFont="1" applyFill="1" applyBorder="1" applyAlignment="1">
      <alignment horizontal="right" vertical="top"/>
    </xf>
    <xf numFmtId="3" fontId="17" fillId="0" borderId="0" xfId="388" applyNumberFormat="1" applyFont="1" applyFill="1" applyBorder="1" applyAlignment="1">
      <alignment vertical="top" wrapText="1"/>
    </xf>
    <xf numFmtId="0" fontId="16" fillId="0" borderId="0" xfId="1777" applyFont="1" applyAlignment="1">
      <alignment horizontal="center" vertical="top" wrapText="1"/>
    </xf>
    <xf numFmtId="0" fontId="16" fillId="0" borderId="9" xfId="1784" applyFont="1" applyBorder="1" applyAlignment="1">
      <alignment horizontal="center" vertical="top" wrapText="1"/>
    </xf>
    <xf numFmtId="0" fontId="20" fillId="0" borderId="9" xfId="1784" applyFont="1" applyBorder="1" applyAlignment="1">
      <alignment horizontal="center" vertical="top" wrapText="1"/>
    </xf>
    <xf numFmtId="0" fontId="16" fillId="0" borderId="0" xfId="1784" applyFont="1" applyAlignment="1">
      <alignment horizontal="center" vertical="top" wrapText="1"/>
    </xf>
    <xf numFmtId="0" fontId="20" fillId="0" borderId="9" xfId="1785" applyFont="1" applyBorder="1" applyAlignment="1">
      <alignment horizontal="center" vertical="top" wrapText="1"/>
    </xf>
    <xf numFmtId="3" fontId="16" fillId="0" borderId="9" xfId="380" applyNumberFormat="1" applyFont="1" applyFill="1" applyBorder="1" applyAlignment="1">
      <alignment horizontal="center" vertical="top" wrapText="1"/>
    </xf>
    <xf numFmtId="0" fontId="17" fillId="0" borderId="0" xfId="0" applyFont="1" applyAlignment="1">
      <alignment horizontal="justify" vertical="top" wrapText="1"/>
    </xf>
    <xf numFmtId="3" fontId="17" fillId="0" borderId="7" xfId="388" applyNumberFormat="1" applyFont="1" applyFill="1" applyBorder="1" applyAlignment="1">
      <alignment horizontal="right" vertical="top" wrapText="1"/>
    </xf>
    <xf numFmtId="3" fontId="17" fillId="0" borderId="3" xfId="3" applyNumberFormat="1" applyFont="1" applyFill="1" applyBorder="1" applyProtection="1">
      <alignment vertical="top"/>
      <protection hidden="1"/>
    </xf>
    <xf numFmtId="4" fontId="31" fillId="0" borderId="10" xfId="202" applyNumberFormat="1" applyFont="1" applyFill="1" applyBorder="1">
      <alignment vertical="top"/>
    </xf>
    <xf numFmtId="3" fontId="17" fillId="0" borderId="10" xfId="388" applyNumberFormat="1" applyFont="1" applyFill="1" applyBorder="1" applyAlignment="1">
      <alignment horizontal="right" vertical="top"/>
    </xf>
    <xf numFmtId="3" fontId="17" fillId="0" borderId="0" xfId="388" applyNumberFormat="1" applyFont="1" applyFill="1" applyBorder="1" applyAlignment="1">
      <alignment horizontal="right" vertical="top" wrapText="1"/>
    </xf>
    <xf numFmtId="0" fontId="20" fillId="0" borderId="9" xfId="2998" applyFont="1" applyBorder="1">
      <alignment horizontal="justify" vertical="top" wrapText="1"/>
    </xf>
    <xf numFmtId="0" fontId="17" fillId="0" borderId="9" xfId="2998" applyFont="1" applyBorder="1" applyProtection="1">
      <alignment horizontal="justify" vertical="top" wrapText="1"/>
      <protection locked="0"/>
    </xf>
    <xf numFmtId="0" fontId="17" fillId="0" borderId="9" xfId="3006" applyFont="1" applyBorder="1">
      <alignment horizontal="justify" vertical="top" wrapText="1"/>
    </xf>
    <xf numFmtId="3" fontId="20" fillId="0" borderId="4" xfId="380" applyNumberFormat="1" applyFont="1" applyFill="1" applyBorder="1" applyAlignment="1">
      <alignment horizontal="center" vertical="top" wrapText="1"/>
    </xf>
    <xf numFmtId="3" fontId="17" fillId="0" borderId="0" xfId="385" applyNumberFormat="1" applyFont="1" applyFill="1" applyBorder="1" applyAlignment="1">
      <alignment horizontal="right" vertical="top" wrapText="1"/>
    </xf>
    <xf numFmtId="0" fontId="17" fillId="0" borderId="0" xfId="3006" applyFont="1">
      <alignment horizontal="justify" vertical="top" wrapText="1"/>
    </xf>
    <xf numFmtId="0" fontId="16" fillId="0" borderId="2" xfId="3040" applyFont="1" applyBorder="1" applyAlignment="1">
      <alignment horizontal="center" vertical="top"/>
    </xf>
    <xf numFmtId="3" fontId="16" fillId="0" borderId="9" xfId="2998" applyNumberFormat="1" applyFont="1" applyBorder="1" applyAlignment="1">
      <alignment horizontal="center" vertical="top" wrapText="1"/>
    </xf>
    <xf numFmtId="3" fontId="17" fillId="0" borderId="10" xfId="380" applyNumberFormat="1" applyFont="1" applyFill="1" applyBorder="1" applyAlignment="1">
      <alignment vertical="top" shrinkToFit="1"/>
    </xf>
    <xf numFmtId="3" fontId="17" fillId="0" borderId="0" xfId="3006" applyNumberFormat="1" applyFont="1" applyAlignment="1">
      <alignment horizontal="right" vertical="top" wrapText="1"/>
    </xf>
    <xf numFmtId="1" fontId="16" fillId="0" borderId="9" xfId="1629" applyNumberFormat="1" applyFont="1" applyFill="1" applyBorder="1" applyAlignment="1">
      <alignment horizontal="center" vertical="top" wrapText="1"/>
    </xf>
    <xf numFmtId="4" fontId="17" fillId="0" borderId="0" xfId="3006" applyNumberFormat="1" applyFont="1" applyAlignment="1">
      <alignment horizontal="right" vertical="top" wrapText="1"/>
    </xf>
    <xf numFmtId="0" fontId="20" fillId="0" borderId="9" xfId="1846" applyFont="1" applyBorder="1">
      <alignment horizontal="justify" vertical="top" wrapText="1"/>
    </xf>
    <xf numFmtId="3" fontId="16" fillId="0" borderId="10" xfId="3003" applyNumberFormat="1" applyFont="1" applyBorder="1" applyAlignment="1">
      <alignment horizontal="center" vertical="top" wrapText="1"/>
    </xf>
    <xf numFmtId="0" fontId="17" fillId="0" borderId="9" xfId="3044" applyFont="1" applyBorder="1">
      <alignment horizontal="justify" vertical="top" wrapText="1"/>
    </xf>
    <xf numFmtId="1" fontId="16" fillId="0" borderId="9" xfId="3001" applyNumberFormat="1" applyFont="1" applyBorder="1" applyAlignment="1">
      <alignment horizontal="center" vertical="top"/>
    </xf>
    <xf numFmtId="0" fontId="20" fillId="0" borderId="9" xfId="3003" applyFont="1" applyBorder="1" applyAlignment="1">
      <alignment horizontal="left" vertical="top" wrapText="1"/>
    </xf>
    <xf numFmtId="0" fontId="20" fillId="0" borderId="9" xfId="3001" applyFont="1" applyBorder="1">
      <alignment horizontal="justify" vertical="top" wrapText="1"/>
    </xf>
    <xf numFmtId="0" fontId="17" fillId="0" borderId="9" xfId="3045" applyFont="1" applyBorder="1">
      <alignment horizontal="justify" vertical="top" wrapText="1"/>
    </xf>
    <xf numFmtId="3" fontId="16" fillId="0" borderId="0" xfId="3002" applyNumberFormat="1" applyFont="1" applyAlignment="1">
      <alignment horizontal="center" vertical="top" wrapText="1"/>
    </xf>
    <xf numFmtId="0" fontId="17" fillId="0" borderId="0" xfId="0" applyFont="1" applyAlignment="1">
      <alignment vertical="top" wrapText="1"/>
    </xf>
    <xf numFmtId="0" fontId="16" fillId="0" borderId="2" xfId="3002" applyFont="1" applyBorder="1" applyAlignment="1">
      <alignment horizontal="center" vertical="top"/>
    </xf>
    <xf numFmtId="1" fontId="16" fillId="0" borderId="9" xfId="3002" applyNumberFormat="1" applyFont="1" applyBorder="1" applyAlignment="1">
      <alignment horizontal="center" vertical="top"/>
    </xf>
    <xf numFmtId="4" fontId="17" fillId="0" borderId="10" xfId="0" applyNumberFormat="1" applyFont="1" applyBorder="1" applyAlignment="1">
      <alignment vertical="top" wrapText="1"/>
    </xf>
    <xf numFmtId="0" fontId="16" fillId="0" borderId="2" xfId="2998" applyFont="1" applyBorder="1" applyAlignment="1" applyProtection="1">
      <alignment horizontal="center" vertical="top" wrapText="1"/>
      <protection locked="0"/>
    </xf>
    <xf numFmtId="0" fontId="16" fillId="0" borderId="9" xfId="3006" applyFont="1" applyBorder="1" applyAlignment="1">
      <alignment horizontal="center" vertical="top"/>
    </xf>
    <xf numFmtId="0" fontId="31" fillId="0" borderId="0" xfId="2997" applyFont="1" applyProtection="1">
      <alignment horizontal="justify" vertical="top" wrapText="1"/>
      <protection locked="0"/>
    </xf>
    <xf numFmtId="0" fontId="32" fillId="0" borderId="0" xfId="2997" applyFont="1" applyAlignment="1" applyProtection="1">
      <alignment horizontal="center" vertical="top" wrapText="1"/>
      <protection locked="0"/>
    </xf>
    <xf numFmtId="0" fontId="33" fillId="0" borderId="9" xfId="2997" applyFont="1" applyBorder="1">
      <alignment horizontal="justify" vertical="top" wrapText="1"/>
    </xf>
    <xf numFmtId="1" fontId="29" fillId="0" borderId="9" xfId="2997" applyNumberFormat="1" applyFont="1" applyBorder="1" applyAlignment="1">
      <alignment horizontal="center" vertical="top" wrapText="1"/>
    </xf>
    <xf numFmtId="1" fontId="32" fillId="0" borderId="9" xfId="2997" applyNumberFormat="1" applyFont="1" applyBorder="1" applyAlignment="1">
      <alignment horizontal="center" vertical="top" wrapText="1"/>
    </xf>
    <xf numFmtId="0" fontId="17" fillId="0" borderId="0" xfId="2998" applyFont="1" applyProtection="1">
      <alignment horizontal="justify" vertical="top" wrapText="1"/>
      <protection locked="0"/>
    </xf>
    <xf numFmtId="171" fontId="17" fillId="0" borderId="0" xfId="3002" applyNumberFormat="1" applyFont="1">
      <alignment horizontal="justify" vertical="top" wrapText="1"/>
    </xf>
    <xf numFmtId="0" fontId="20" fillId="0" borderId="9" xfId="3002" applyFont="1" applyBorder="1" applyAlignment="1">
      <alignment vertical="top" wrapText="1"/>
    </xf>
    <xf numFmtId="3" fontId="17" fillId="0" borderId="10" xfId="388" applyNumberFormat="1" applyFont="1" applyFill="1" applyBorder="1">
      <alignment vertical="top"/>
    </xf>
    <xf numFmtId="0" fontId="34" fillId="0" borderId="0" xfId="3006" applyFont="1" applyAlignment="1">
      <alignment horizontal="center" vertical="top" wrapText="1"/>
    </xf>
    <xf numFmtId="0" fontId="34" fillId="0" borderId="0" xfId="3006" applyFont="1">
      <alignment horizontal="justify" vertical="top" wrapText="1"/>
    </xf>
    <xf numFmtId="0" fontId="34" fillId="0" borderId="0" xfId="3001" applyFont="1">
      <alignment horizontal="justify" vertical="top" wrapText="1"/>
    </xf>
    <xf numFmtId="0" fontId="34" fillId="0" borderId="0" xfId="2998" applyFont="1" applyProtection="1">
      <alignment horizontal="justify" vertical="top" wrapText="1"/>
      <protection locked="0"/>
    </xf>
    <xf numFmtId="0" fontId="35" fillId="0" borderId="13" xfId="3040" applyFont="1" applyBorder="1" applyAlignment="1">
      <alignment horizontal="center" vertical="top"/>
    </xf>
    <xf numFmtId="0" fontId="35" fillId="0" borderId="14" xfId="2998" applyFont="1" applyBorder="1" applyAlignment="1">
      <alignment horizontal="center" vertical="top" wrapText="1"/>
    </xf>
    <xf numFmtId="4" fontId="34" fillId="0" borderId="15" xfId="3006" applyNumberFormat="1" applyFont="1" applyBorder="1" applyAlignment="1">
      <alignment horizontal="right" vertical="top" wrapText="1"/>
    </xf>
    <xf numFmtId="0" fontId="36" fillId="0" borderId="17" xfId="3006" applyFont="1" applyBorder="1" applyAlignment="1">
      <alignment horizontal="center" vertical="top" wrapText="1"/>
    </xf>
    <xf numFmtId="0" fontId="36" fillId="0" borderId="18" xfId="3006" applyFont="1" applyBorder="1" applyAlignment="1">
      <alignment horizontal="center" vertical="top" wrapText="1"/>
    </xf>
    <xf numFmtId="3" fontId="36" fillId="0" borderId="18" xfId="1631" applyNumberFormat="1" applyFont="1" applyFill="1" applyBorder="1" applyAlignment="1">
      <alignment horizontal="center" vertical="top" wrapText="1"/>
    </xf>
    <xf numFmtId="3" fontId="36" fillId="0" borderId="18" xfId="380" applyNumberFormat="1" applyFont="1" applyFill="1" applyBorder="1" applyAlignment="1">
      <alignment horizontal="center" vertical="top" wrapText="1"/>
    </xf>
    <xf numFmtId="3" fontId="36" fillId="0" borderId="19" xfId="380" applyNumberFormat="1" applyFont="1" applyFill="1" applyBorder="1" applyAlignment="1">
      <alignment horizontal="center" vertical="top" wrapText="1"/>
    </xf>
    <xf numFmtId="3" fontId="34" fillId="0" borderId="14" xfId="1633" applyNumberFormat="1" applyFont="1" applyFill="1" applyBorder="1" applyAlignment="1">
      <alignment horizontal="right" vertical="top"/>
    </xf>
    <xf numFmtId="3" fontId="34" fillId="0" borderId="15" xfId="388" applyNumberFormat="1" applyFont="1" applyFill="1" applyBorder="1" applyAlignment="1">
      <alignment vertical="top" wrapText="1"/>
    </xf>
    <xf numFmtId="0" fontId="35" fillId="0" borderId="13" xfId="2998" applyFont="1" applyBorder="1" applyAlignment="1" applyProtection="1">
      <alignment horizontal="center" vertical="top" wrapText="1"/>
      <protection locked="0"/>
    </xf>
    <xf numFmtId="3" fontId="34" fillId="0" borderId="14" xfId="380" applyNumberFormat="1" applyFont="1" applyFill="1" applyBorder="1" applyAlignment="1">
      <alignment horizontal="right" vertical="top"/>
    </xf>
    <xf numFmtId="0" fontId="35" fillId="0" borderId="0" xfId="3006" applyFont="1" applyAlignment="1">
      <alignment horizontal="center" vertical="top" wrapText="1"/>
    </xf>
    <xf numFmtId="3" fontId="35" fillId="0" borderId="0" xfId="1631" applyNumberFormat="1" applyFont="1" applyFill="1" applyBorder="1" applyAlignment="1">
      <alignment horizontal="center" vertical="top"/>
    </xf>
    <xf numFmtId="3" fontId="34" fillId="0" borderId="0" xfId="380" applyNumberFormat="1" applyFont="1" applyFill="1" applyBorder="1" applyAlignment="1">
      <alignment horizontal="right" vertical="top"/>
    </xf>
    <xf numFmtId="0" fontId="34" fillId="0" borderId="0" xfId="3039" applyFont="1" applyAlignment="1">
      <alignment vertical="top"/>
    </xf>
    <xf numFmtId="0" fontId="34" fillId="0" borderId="0" xfId="2995" applyFont="1" applyProtection="1">
      <alignment horizontal="justify" vertical="top" wrapText="1"/>
      <protection locked="0"/>
    </xf>
    <xf numFmtId="0" fontId="37" fillId="0" borderId="14" xfId="3043" applyFont="1" applyBorder="1">
      <alignment horizontal="justify" vertical="top" wrapText="1"/>
    </xf>
    <xf numFmtId="3" fontId="35" fillId="0" borderId="14" xfId="3043" applyNumberFormat="1" applyFont="1" applyBorder="1" applyAlignment="1">
      <alignment horizontal="center" vertical="top" wrapText="1"/>
    </xf>
    <xf numFmtId="0" fontId="35" fillId="0" borderId="14" xfId="3043" applyFont="1" applyBorder="1" applyAlignment="1">
      <alignment horizontal="center" vertical="top" wrapText="1"/>
    </xf>
    <xf numFmtId="4" fontId="34" fillId="0" borderId="14" xfId="380" applyNumberFormat="1" applyFont="1" applyFill="1" applyBorder="1" applyAlignment="1">
      <alignment horizontal="right" vertical="top"/>
    </xf>
    <xf numFmtId="3" fontId="35" fillId="0" borderId="14" xfId="2998" applyNumberFormat="1" applyFont="1" applyBorder="1" applyAlignment="1">
      <alignment horizontal="center" vertical="top" wrapText="1"/>
    </xf>
    <xf numFmtId="0" fontId="34" fillId="0" borderId="0" xfId="3042" applyFont="1" applyAlignment="1">
      <alignment horizontal="center" vertical="top"/>
    </xf>
    <xf numFmtId="0" fontId="34" fillId="0" borderId="0" xfId="3042" applyFont="1">
      <alignment horizontal="justify" vertical="top" wrapText="1"/>
    </xf>
    <xf numFmtId="37" fontId="34" fillId="0" borderId="0" xfId="611" applyNumberFormat="1" applyFont="1" applyFill="1" applyBorder="1" applyAlignment="1">
      <alignment vertical="top"/>
    </xf>
    <xf numFmtId="43" fontId="34" fillId="0" borderId="0" xfId="611" applyFont="1" applyFill="1" applyBorder="1" applyAlignment="1">
      <alignment vertical="top"/>
    </xf>
    <xf numFmtId="43" fontId="34" fillId="0" borderId="0" xfId="611" applyFont="1" applyFill="1" applyAlignment="1">
      <alignment vertical="top"/>
    </xf>
    <xf numFmtId="39" fontId="34" fillId="0" borderId="0" xfId="3042" applyNumberFormat="1" applyFont="1">
      <alignment horizontal="justify" vertical="top" wrapText="1"/>
    </xf>
    <xf numFmtId="43" fontId="34" fillId="0" borderId="0" xfId="3" applyFont="1" applyFill="1">
      <alignment vertical="top"/>
    </xf>
    <xf numFmtId="43" fontId="34" fillId="0" borderId="0" xfId="3042" applyNumberFormat="1" applyFont="1">
      <alignment horizontal="justify" vertical="top" wrapText="1"/>
    </xf>
    <xf numFmtId="166" fontId="34" fillId="0" borderId="0" xfId="3042" applyNumberFormat="1" applyFont="1">
      <alignment horizontal="justify" vertical="top" wrapText="1"/>
    </xf>
    <xf numFmtId="0" fontId="34" fillId="0" borderId="0" xfId="1845" applyFont="1" applyAlignment="1">
      <alignment horizontal="center" vertical="top" wrapText="1"/>
    </xf>
    <xf numFmtId="0" fontId="34" fillId="0" borderId="0" xfId="1845" applyFont="1" applyAlignment="1">
      <alignment vertical="top"/>
    </xf>
    <xf numFmtId="37" fontId="35" fillId="0" borderId="0" xfId="611" quotePrefix="1" applyNumberFormat="1" applyFont="1" applyFill="1" applyBorder="1" applyAlignment="1">
      <alignment horizontal="right" vertical="top"/>
    </xf>
    <xf numFmtId="0" fontId="34" fillId="0" borderId="13" xfId="3042" applyFont="1" applyBorder="1" applyAlignment="1">
      <alignment horizontal="center" vertical="top"/>
    </xf>
    <xf numFmtId="0" fontId="34" fillId="0" borderId="14" xfId="3042" applyFont="1" applyBorder="1">
      <alignment horizontal="justify" vertical="top" wrapText="1"/>
    </xf>
    <xf numFmtId="0" fontId="34" fillId="0" borderId="14" xfId="3042" applyFont="1" applyBorder="1" applyAlignment="1">
      <alignment horizontal="center" vertical="top"/>
    </xf>
    <xf numFmtId="37" fontId="34" fillId="0" borderId="15" xfId="611" applyNumberFormat="1" applyFont="1" applyFill="1" applyBorder="1" applyAlignment="1">
      <alignment vertical="top"/>
    </xf>
    <xf numFmtId="0" fontId="37" fillId="0" borderId="14" xfId="3042" applyFont="1" applyBorder="1">
      <alignment horizontal="justify" vertical="top" wrapText="1"/>
    </xf>
    <xf numFmtId="0" fontId="34" fillId="0" borderId="13" xfId="3042" quotePrefix="1" applyFont="1" applyBorder="1" applyAlignment="1">
      <alignment horizontal="center" vertical="top" wrapText="1"/>
    </xf>
    <xf numFmtId="0" fontId="34" fillId="0" borderId="14" xfId="3042" applyFont="1" applyBorder="1" applyAlignment="1">
      <alignment horizontal="left" vertical="top" wrapText="1"/>
    </xf>
    <xf numFmtId="3" fontId="34" fillId="0" borderId="14" xfId="3042" quotePrefix="1" applyNumberFormat="1" applyFont="1" applyBorder="1" applyAlignment="1">
      <alignment horizontal="center" vertical="top"/>
    </xf>
    <xf numFmtId="39" fontId="34" fillId="0" borderId="15" xfId="3042" applyNumberFormat="1" applyFont="1" applyBorder="1" applyAlignment="1">
      <alignment horizontal="right" vertical="top" wrapText="1"/>
    </xf>
    <xf numFmtId="3" fontId="34" fillId="0" borderId="14" xfId="3042" applyNumberFormat="1" applyFont="1" applyBorder="1">
      <alignment horizontal="justify" vertical="top" wrapText="1"/>
    </xf>
    <xf numFmtId="39" fontId="34" fillId="0" borderId="15" xfId="611" applyNumberFormat="1" applyFont="1" applyFill="1" applyBorder="1" applyAlignment="1">
      <alignment horizontal="right" vertical="top"/>
    </xf>
    <xf numFmtId="0" fontId="39" fillId="0" borderId="0" xfId="0" applyFont="1" applyAlignment="1">
      <alignment horizontal="justify" vertical="top"/>
    </xf>
    <xf numFmtId="0" fontId="40" fillId="0" borderId="0" xfId="0" applyFont="1" applyAlignment="1">
      <alignment horizontal="center" vertical="top"/>
    </xf>
    <xf numFmtId="0" fontId="41" fillId="0" borderId="0" xfId="0" applyFont="1" applyAlignment="1">
      <alignment horizontal="center" vertical="top"/>
    </xf>
    <xf numFmtId="0" fontId="41" fillId="0" borderId="0" xfId="0" applyFont="1" applyAlignment="1">
      <alignment horizontal="center" vertical="top" wrapText="1"/>
    </xf>
    <xf numFmtId="0" fontId="39" fillId="0" borderId="0" xfId="0" applyFont="1" applyAlignment="1">
      <alignment horizontal="center" vertical="top"/>
    </xf>
    <xf numFmtId="39" fontId="36" fillId="0" borderId="0" xfId="611" quotePrefix="1" applyNumberFormat="1" applyFont="1" applyFill="1" applyBorder="1" applyAlignment="1">
      <alignment horizontal="right" vertical="top"/>
    </xf>
    <xf numFmtId="0" fontId="43" fillId="0" borderId="0" xfId="0" applyFont="1" applyAlignment="1">
      <alignment horizontal="justify" vertical="top"/>
    </xf>
    <xf numFmtId="0" fontId="44" fillId="0" borderId="0" xfId="0" applyFont="1" applyAlignment="1">
      <alignment horizontal="center" vertical="top"/>
    </xf>
    <xf numFmtId="0" fontId="45" fillId="0" borderId="0" xfId="0" applyFont="1" applyAlignment="1">
      <alignment horizontal="center" vertical="top"/>
    </xf>
    <xf numFmtId="0" fontId="45" fillId="0" borderId="0" xfId="0" applyFont="1" applyAlignment="1">
      <alignment horizontal="center" vertical="top" wrapText="1"/>
    </xf>
    <xf numFmtId="0" fontId="43" fillId="0" borderId="0" xfId="0" applyFont="1" applyAlignment="1">
      <alignment horizontal="center" vertical="top"/>
    </xf>
    <xf numFmtId="166" fontId="34" fillId="0" borderId="0" xfId="1629" applyNumberFormat="1" applyFont="1" applyFill="1" applyBorder="1">
      <alignment vertical="top"/>
    </xf>
    <xf numFmtId="3" fontId="34" fillId="0" borderId="0" xfId="1632" applyNumberFormat="1" applyFont="1" applyFill="1" applyBorder="1" applyAlignment="1">
      <alignment horizontal="right" vertical="top"/>
    </xf>
    <xf numFmtId="3" fontId="35" fillId="0" borderId="0" xfId="1632" applyNumberFormat="1" applyFont="1" applyFill="1" applyBorder="1" applyAlignment="1">
      <alignment horizontal="right" vertical="top"/>
    </xf>
    <xf numFmtId="0" fontId="34" fillId="0" borderId="0" xfId="0" applyFont="1" applyAlignment="1">
      <alignment horizontal="justify" vertical="top" wrapText="1"/>
    </xf>
    <xf numFmtId="3" fontId="35" fillId="0" borderId="0" xfId="1632" quotePrefix="1" applyNumberFormat="1" applyFont="1" applyFill="1" applyBorder="1" applyAlignment="1">
      <alignment horizontal="right" vertical="top" wrapText="1"/>
    </xf>
    <xf numFmtId="0" fontId="46" fillId="0" borderId="0" xfId="0" applyFont="1" applyAlignment="1">
      <alignment horizontal="left" vertical="top" wrapText="1"/>
    </xf>
    <xf numFmtId="0" fontId="47" fillId="0" borderId="0" xfId="0" applyFont="1">
      <alignment horizontal="justify"/>
    </xf>
    <xf numFmtId="0" fontId="50" fillId="0" borderId="0" xfId="0" applyFont="1" applyAlignment="1">
      <alignment horizontal="center" vertical="center"/>
    </xf>
    <xf numFmtId="0" fontId="47" fillId="0" borderId="0" xfId="0" applyFont="1" applyAlignment="1">
      <alignment horizontal="left"/>
    </xf>
    <xf numFmtId="0" fontId="51" fillId="0" borderId="0" xfId="0" applyFont="1" applyAlignment="1">
      <alignment horizontal="center" vertical="top" wrapText="1"/>
    </xf>
    <xf numFmtId="0" fontId="51" fillId="0" borderId="0" xfId="0" quotePrefix="1" applyFont="1" applyAlignment="1">
      <alignment horizontal="left" vertical="top" wrapText="1"/>
    </xf>
    <xf numFmtId="0" fontId="47" fillId="0" borderId="0" xfId="0" applyFont="1" applyAlignment="1">
      <alignment vertical="top" wrapText="1"/>
    </xf>
    <xf numFmtId="0" fontId="34" fillId="0" borderId="14" xfId="3043" applyFont="1" applyBorder="1">
      <alignment horizontal="justify" vertical="top" wrapText="1"/>
    </xf>
    <xf numFmtId="0" fontId="36" fillId="0" borderId="14" xfId="3043" applyFont="1" applyBorder="1">
      <alignment horizontal="justify" vertical="top" wrapText="1"/>
    </xf>
    <xf numFmtId="3" fontId="34" fillId="0" borderId="0" xfId="1633" applyNumberFormat="1" applyFont="1" applyFill="1" applyBorder="1" applyAlignment="1">
      <alignment horizontal="right" vertical="top"/>
    </xf>
    <xf numFmtId="3" fontId="34" fillId="0" borderId="15" xfId="3006" applyNumberFormat="1" applyFont="1" applyBorder="1" applyAlignment="1">
      <alignment horizontal="right" vertical="top" wrapText="1"/>
    </xf>
    <xf numFmtId="3" fontId="35" fillId="0" borderId="16" xfId="388" applyNumberFormat="1" applyFont="1" applyFill="1" applyBorder="1" applyAlignment="1">
      <alignment vertical="top" wrapText="1"/>
    </xf>
    <xf numFmtId="3" fontId="35" fillId="0" borderId="0" xfId="388" applyNumberFormat="1" applyFont="1" applyFill="1" applyBorder="1" applyAlignment="1">
      <alignment vertical="top" wrapText="1"/>
    </xf>
    <xf numFmtId="0" fontId="35" fillId="0" borderId="14" xfId="2998" applyFont="1" applyBorder="1" applyAlignment="1">
      <alignment horizontal="right" vertical="top" wrapText="1"/>
    </xf>
    <xf numFmtId="0" fontId="35" fillId="0" borderId="0" xfId="2995" applyFont="1" applyAlignment="1" applyProtection="1">
      <alignment horizontal="center" vertical="top" wrapText="1"/>
      <protection locked="0"/>
    </xf>
    <xf numFmtId="0" fontId="38" fillId="0" borderId="0" xfId="2998" quotePrefix="1" applyFont="1" applyAlignment="1">
      <alignment horizontal="right" vertical="top" wrapText="1"/>
    </xf>
    <xf numFmtId="1" fontId="35" fillId="0" borderId="0" xfId="2995" applyNumberFormat="1" applyFont="1" applyAlignment="1">
      <alignment horizontal="center" vertical="top" wrapText="1"/>
    </xf>
    <xf numFmtId="166" fontId="34" fillId="0" borderId="0" xfId="3" applyNumberFormat="1" applyFont="1" applyFill="1">
      <alignment vertical="top"/>
    </xf>
    <xf numFmtId="43" fontId="34" fillId="0" borderId="0" xfId="611" applyFont="1" applyFill="1" applyAlignment="1">
      <alignment vertical="center"/>
    </xf>
    <xf numFmtId="0" fontId="34" fillId="0" borderId="0" xfId="3042" applyFont="1" applyAlignment="1">
      <alignment horizontal="justify" vertical="center" wrapText="1"/>
    </xf>
    <xf numFmtId="37" fontId="34" fillId="0" borderId="0" xfId="3042" applyNumberFormat="1" applyFont="1">
      <alignment horizontal="justify" vertical="top" wrapText="1"/>
    </xf>
    <xf numFmtId="43" fontId="35" fillId="0" borderId="0" xfId="3" applyFont="1" applyFill="1" applyBorder="1">
      <alignment vertical="top"/>
    </xf>
    <xf numFmtId="37" fontId="34" fillId="0" borderId="15" xfId="3042" applyNumberFormat="1" applyFont="1" applyBorder="1" applyAlignment="1">
      <alignment horizontal="right" vertical="top" wrapText="1"/>
    </xf>
    <xf numFmtId="0" fontId="35" fillId="0" borderId="14" xfId="3042" applyFont="1" applyBorder="1" applyAlignment="1">
      <alignment horizontal="left" vertical="top" wrapText="1"/>
    </xf>
    <xf numFmtId="37" fontId="35" fillId="0" borderId="16" xfId="611" applyNumberFormat="1" applyFont="1" applyFill="1" applyBorder="1" applyAlignment="1">
      <alignment vertical="top"/>
    </xf>
    <xf numFmtId="0" fontId="36" fillId="0" borderId="17" xfId="3042" applyFont="1" applyBorder="1" applyAlignment="1">
      <alignment horizontal="center" vertical="center"/>
    </xf>
    <xf numFmtId="0" fontId="36" fillId="0" borderId="18" xfId="3042" applyFont="1" applyBorder="1" applyAlignment="1">
      <alignment horizontal="center" vertical="center"/>
    </xf>
    <xf numFmtId="37" fontId="36" fillId="0" borderId="19" xfId="380" applyNumberFormat="1" applyFont="1" applyFill="1" applyBorder="1" applyAlignment="1">
      <alignment horizontal="center" vertical="center" wrapText="1"/>
    </xf>
    <xf numFmtId="37" fontId="34" fillId="0" borderId="13" xfId="3" applyNumberFormat="1" applyFont="1" applyFill="1" applyBorder="1" applyAlignment="1">
      <alignment horizontal="center" vertical="top"/>
    </xf>
    <xf numFmtId="4" fontId="34" fillId="0" borderId="0" xfId="1632" applyNumberFormat="1" applyFont="1" applyFill="1" applyBorder="1" applyAlignment="1">
      <alignment horizontal="right" vertical="top"/>
    </xf>
    <xf numFmtId="3" fontId="35" fillId="0" borderId="21" xfId="1632" applyNumberFormat="1" applyFont="1" applyFill="1" applyBorder="1" applyAlignment="1">
      <alignment horizontal="right" vertical="top"/>
    </xf>
    <xf numFmtId="3" fontId="34" fillId="0" borderId="20" xfId="1632" applyNumberFormat="1" applyFont="1" applyFill="1" applyBorder="1" applyAlignment="1">
      <alignment horizontal="right" vertical="top"/>
    </xf>
    <xf numFmtId="37" fontId="34" fillId="0" borderId="14" xfId="3" quotePrefix="1" applyNumberFormat="1" applyFont="1" applyFill="1" applyBorder="1" applyAlignment="1">
      <alignment horizontal="center" vertical="top"/>
    </xf>
    <xf numFmtId="3" fontId="35" fillId="0" borderId="20" xfId="1632" applyNumberFormat="1" applyFont="1" applyFill="1" applyBorder="1" applyAlignment="1">
      <alignment horizontal="center" vertical="top" wrapText="1"/>
    </xf>
    <xf numFmtId="0" fontId="34" fillId="0" borderId="0" xfId="3008" applyFont="1" applyAlignment="1">
      <alignment horizontal="justify" vertical="top" wrapText="1"/>
    </xf>
    <xf numFmtId="0" fontId="34" fillId="0" borderId="0" xfId="3008" quotePrefix="1" applyFont="1" applyAlignment="1">
      <alignment horizontal="center" vertical="top"/>
    </xf>
    <xf numFmtId="0" fontId="35" fillId="0" borderId="0" xfId="3001" applyFont="1" applyAlignment="1">
      <alignment horizontal="center" vertical="top"/>
    </xf>
    <xf numFmtId="0" fontId="34" fillId="0" borderId="0" xfId="3001" applyFont="1" applyAlignment="1">
      <alignment horizontal="justify" vertical="top"/>
    </xf>
    <xf numFmtId="3" fontId="34" fillId="0" borderId="0" xfId="3001" applyNumberFormat="1" applyFont="1" applyAlignment="1">
      <alignment horizontal="right" vertical="top" wrapText="1"/>
    </xf>
    <xf numFmtId="0" fontId="35" fillId="0" borderId="0" xfId="3008" applyFont="1" applyAlignment="1">
      <alignment horizontal="justify" vertical="top" wrapText="1"/>
    </xf>
    <xf numFmtId="0" fontId="35" fillId="0" borderId="0" xfId="3008" applyFont="1" applyAlignment="1">
      <alignment horizontal="left" vertical="top"/>
    </xf>
    <xf numFmtId="0" fontId="34" fillId="0" borderId="0" xfId="3008" quotePrefix="1" applyFont="1" applyAlignment="1">
      <alignment horizontal="left" vertical="top"/>
    </xf>
    <xf numFmtId="0" fontId="42" fillId="0" borderId="15" xfId="3008" applyFont="1" applyBorder="1" applyAlignment="1">
      <alignment horizontal="left" vertical="top"/>
    </xf>
    <xf numFmtId="9" fontId="34" fillId="0" borderId="14" xfId="3008" quotePrefix="1" applyNumberFormat="1" applyFont="1" applyBorder="1" applyAlignment="1">
      <alignment horizontal="center" vertical="top"/>
    </xf>
    <xf numFmtId="16" fontId="34" fillId="0" borderId="14" xfId="3008" quotePrefix="1" applyNumberFormat="1" applyFont="1" applyBorder="1" applyAlignment="1">
      <alignment horizontal="center" vertical="top"/>
    </xf>
    <xf numFmtId="0" fontId="35" fillId="0" borderId="0" xfId="3008" quotePrefix="1" applyFont="1" applyAlignment="1">
      <alignment horizontal="left" vertical="top"/>
    </xf>
    <xf numFmtId="16" fontId="35" fillId="0" borderId="0" xfId="3008" quotePrefix="1" applyNumberFormat="1" applyFont="1" applyAlignment="1">
      <alignment horizontal="center" vertical="top"/>
    </xf>
    <xf numFmtId="0" fontId="34" fillId="0" borderId="0" xfId="3008" quotePrefix="1" applyFont="1" applyAlignment="1">
      <alignment horizontal="justify" vertical="top" wrapText="1"/>
    </xf>
    <xf numFmtId="0" fontId="34" fillId="0" borderId="0" xfId="3008" applyFont="1" applyAlignment="1">
      <alignment horizontal="left" vertical="top"/>
    </xf>
    <xf numFmtId="0" fontId="34" fillId="0" borderId="0" xfId="3008" applyFont="1" applyAlignment="1">
      <alignment horizontal="left" vertical="top" wrapText="1"/>
    </xf>
    <xf numFmtId="166" fontId="34" fillId="0" borderId="0" xfId="3008" applyNumberFormat="1" applyFont="1" applyAlignment="1">
      <alignment horizontal="justify" vertical="top" wrapText="1"/>
    </xf>
    <xf numFmtId="3" fontId="34" fillId="0" borderId="0" xfId="3008" applyNumberFormat="1" applyFont="1" applyAlignment="1">
      <alignment horizontal="right" vertical="top" wrapText="1"/>
    </xf>
    <xf numFmtId="3" fontId="34" fillId="0" borderId="0" xfId="0" applyNumberFormat="1" applyFont="1" applyAlignment="1">
      <alignment horizontal="right" vertical="top" wrapText="1"/>
    </xf>
    <xf numFmtId="0" fontId="35" fillId="0" borderId="0" xfId="3008" quotePrefix="1" applyFont="1" applyAlignment="1">
      <alignment horizontal="center" vertical="top" wrapText="1"/>
    </xf>
    <xf numFmtId="0" fontId="36" fillId="0" borderId="0" xfId="3008" quotePrefix="1" applyFont="1" applyAlignment="1">
      <alignment horizontal="center" vertical="top" wrapText="1"/>
    </xf>
    <xf numFmtId="0" fontId="35" fillId="0" borderId="23" xfId="3008" quotePrefix="1" applyFont="1" applyBorder="1" applyAlignment="1">
      <alignment horizontal="left" vertical="top"/>
    </xf>
    <xf numFmtId="16" fontId="35" fillId="0" borderId="26" xfId="3008" quotePrefix="1" applyNumberFormat="1" applyFont="1" applyBorder="1" applyAlignment="1">
      <alignment horizontal="center" vertical="top"/>
    </xf>
    <xf numFmtId="3" fontId="35" fillId="0" borderId="23" xfId="1632" applyNumberFormat="1" applyFont="1" applyFill="1" applyBorder="1" applyAlignment="1">
      <alignment horizontal="right" vertical="top"/>
    </xf>
    <xf numFmtId="37" fontId="34" fillId="0" borderId="0" xfId="3" applyNumberFormat="1" applyFont="1" applyFill="1" applyBorder="1" applyAlignment="1">
      <alignment horizontal="center" vertical="top"/>
    </xf>
    <xf numFmtId="16" fontId="34" fillId="0" borderId="0" xfId="3008" quotePrefix="1" applyNumberFormat="1" applyFont="1" applyAlignment="1">
      <alignment horizontal="left" vertical="top"/>
    </xf>
    <xf numFmtId="0" fontId="35" fillId="0" borderId="14" xfId="3008" applyFont="1" applyBorder="1" applyAlignment="1">
      <alignment vertical="top"/>
    </xf>
    <xf numFmtId="9" fontId="34" fillId="0" borderId="22" xfId="3008" quotePrefix="1" applyNumberFormat="1" applyFont="1" applyBorder="1" applyAlignment="1">
      <alignment horizontal="center" vertical="top"/>
    </xf>
    <xf numFmtId="165" fontId="34" fillId="0" borderId="0" xfId="2998" applyNumberFormat="1" applyFont="1" applyProtection="1">
      <alignment horizontal="justify" vertical="top" wrapText="1"/>
      <protection locked="0"/>
    </xf>
    <xf numFmtId="0" fontId="34" fillId="0" borderId="15" xfId="3008" applyFont="1" applyBorder="1" applyAlignment="1">
      <alignment vertical="top" wrapText="1"/>
    </xf>
    <xf numFmtId="0" fontId="34" fillId="0" borderId="15" xfId="3008" applyFont="1" applyBorder="1" applyAlignment="1">
      <alignment vertical="top"/>
    </xf>
    <xf numFmtId="164" fontId="34" fillId="0" borderId="0" xfId="3052" applyFont="1" applyAlignment="1">
      <alignment horizontal="justify" vertical="top" wrapText="1"/>
    </xf>
    <xf numFmtId="0" fontId="35" fillId="0" borderId="20" xfId="3008" applyFont="1" applyBorder="1" applyAlignment="1">
      <alignment horizontal="center" vertical="top" wrapText="1"/>
    </xf>
    <xf numFmtId="0" fontId="35" fillId="0" borderId="19" xfId="3008" applyFont="1" applyBorder="1" applyAlignment="1">
      <alignment horizontal="center" vertical="top" wrapText="1"/>
    </xf>
    <xf numFmtId="0" fontId="35" fillId="0" borderId="17" xfId="3008" applyFont="1" applyBorder="1" applyAlignment="1">
      <alignment horizontal="center" vertical="top" wrapText="1"/>
    </xf>
    <xf numFmtId="0" fontId="35" fillId="0" borderId="18" xfId="3008" applyFont="1" applyBorder="1" applyAlignment="1">
      <alignment horizontal="center" vertical="top" wrapText="1"/>
    </xf>
    <xf numFmtId="3" fontId="34" fillId="0" borderId="0" xfId="3001" applyNumberFormat="1" applyFont="1" applyAlignment="1">
      <alignment horizontal="center" vertical="top" wrapText="1"/>
    </xf>
    <xf numFmtId="0" fontId="5" fillId="0" borderId="14" xfId="0" applyFont="1" applyBorder="1" applyAlignment="1">
      <alignment vertical="top" wrapText="1"/>
    </xf>
    <xf numFmtId="43" fontId="34" fillId="0" borderId="0" xfId="3" applyFont="1" applyFill="1" applyBorder="1">
      <alignment vertical="top"/>
    </xf>
    <xf numFmtId="43" fontId="36" fillId="0" borderId="18" xfId="3" applyFont="1" applyFill="1" applyBorder="1">
      <alignment vertical="top"/>
    </xf>
    <xf numFmtId="43" fontId="34" fillId="0" borderId="14" xfId="3" applyFont="1" applyFill="1" applyBorder="1">
      <alignment vertical="top"/>
    </xf>
    <xf numFmtId="0" fontId="54" fillId="0" borderId="27" xfId="0" applyFont="1" applyBorder="1" applyAlignment="1">
      <alignment horizontal="center" vertical="top" wrapText="1"/>
    </xf>
    <xf numFmtId="0" fontId="54" fillId="0" borderId="28" xfId="0" applyFont="1" applyBorder="1" applyAlignment="1">
      <alignment vertical="top" wrapText="1"/>
    </xf>
    <xf numFmtId="0" fontId="55" fillId="0" borderId="27" xfId="0" applyFont="1" applyBorder="1" applyAlignment="1">
      <alignment horizontal="left" vertical="top" wrapText="1"/>
    </xf>
    <xf numFmtId="0" fontId="55" fillId="0" borderId="0" xfId="0" applyFont="1" applyAlignment="1">
      <alignment horizontal="left" vertical="top"/>
    </xf>
    <xf numFmtId="0" fontId="54" fillId="0" borderId="30" xfId="0" applyFont="1" applyBorder="1" applyAlignment="1">
      <alignment vertical="top" wrapText="1"/>
    </xf>
    <xf numFmtId="0" fontId="54" fillId="0" borderId="32" xfId="0" applyFont="1" applyBorder="1" applyAlignment="1">
      <alignment vertical="top" wrapText="1"/>
    </xf>
    <xf numFmtId="0" fontId="5" fillId="0" borderId="31" xfId="0" applyFont="1" applyBorder="1" applyAlignment="1">
      <alignment horizontal="center" vertical="top" wrapText="1"/>
    </xf>
    <xf numFmtId="0" fontId="5" fillId="0" borderId="32" xfId="0" applyFont="1" applyBorder="1" applyAlignment="1">
      <alignment vertical="top" wrapText="1"/>
    </xf>
    <xf numFmtId="0" fontId="55" fillId="0" borderId="31" xfId="0" applyFont="1" applyBorder="1" applyAlignment="1">
      <alignment horizontal="center" vertical="top" wrapText="1"/>
    </xf>
    <xf numFmtId="0" fontId="55" fillId="0" borderId="0" xfId="0" applyFont="1" applyAlignment="1">
      <alignment horizontal="center" vertical="top"/>
    </xf>
    <xf numFmtId="0" fontId="54" fillId="0" borderId="0" xfId="0" applyFont="1" applyAlignment="1">
      <alignment vertical="top" wrapText="1"/>
    </xf>
    <xf numFmtId="43" fontId="54" fillId="0" borderId="0" xfId="3" applyFont="1" applyAlignment="1">
      <alignment horizontal="center" vertical="top" wrapText="1"/>
    </xf>
    <xf numFmtId="43" fontId="54" fillId="0" borderId="0" xfId="3" applyFont="1" applyAlignment="1">
      <alignment vertical="top" wrapText="1"/>
    </xf>
    <xf numFmtId="43" fontId="54" fillId="0" borderId="27" xfId="3" applyFont="1" applyBorder="1" applyAlignment="1">
      <alignment horizontal="center" vertical="top" wrapText="1"/>
    </xf>
    <xf numFmtId="0" fontId="55" fillId="0" borderId="29" xfId="0" applyFont="1" applyBorder="1" applyAlignment="1">
      <alignment horizontal="center" vertical="top" wrapText="1"/>
    </xf>
    <xf numFmtId="0" fontId="55" fillId="0" borderId="29" xfId="0" applyFont="1" applyBorder="1" applyAlignment="1">
      <alignment horizontal="left" vertical="top" wrapText="1"/>
    </xf>
    <xf numFmtId="43" fontId="55" fillId="0" borderId="29" xfId="3" applyFont="1" applyBorder="1" applyAlignment="1">
      <alignment horizontal="center" vertical="top" wrapText="1"/>
    </xf>
    <xf numFmtId="43" fontId="55" fillId="0" borderId="29" xfId="3" applyFont="1" applyBorder="1" applyAlignment="1">
      <alignment horizontal="left" vertical="top" wrapText="1"/>
    </xf>
    <xf numFmtId="0" fontId="55" fillId="0" borderId="31" xfId="0" applyFont="1" applyBorder="1" applyAlignment="1">
      <alignment horizontal="left" vertical="top" wrapText="1"/>
    </xf>
    <xf numFmtId="43" fontId="55" fillId="0" borderId="31" xfId="3" applyFont="1" applyBorder="1" applyAlignment="1">
      <alignment horizontal="center" vertical="top" wrapText="1"/>
    </xf>
    <xf numFmtId="43" fontId="55" fillId="0" borderId="31" xfId="3" applyFont="1" applyBorder="1" applyAlignment="1">
      <alignment horizontal="left" vertical="top" wrapText="1"/>
    </xf>
    <xf numFmtId="43" fontId="5" fillId="0" borderId="31" xfId="3" applyFont="1" applyBorder="1" applyAlignment="1">
      <alignment horizontal="right" vertical="top" wrapText="1"/>
    </xf>
    <xf numFmtId="43" fontId="55" fillId="0" borderId="31" xfId="3" applyFont="1" applyBorder="1" applyAlignment="1">
      <alignment horizontal="center" vertical="top" shrinkToFit="1"/>
    </xf>
    <xf numFmtId="43" fontId="55" fillId="0" borderId="31" xfId="3" applyFont="1" applyBorder="1" applyAlignment="1">
      <alignment horizontal="right" vertical="top" shrinkToFit="1"/>
    </xf>
    <xf numFmtId="0" fontId="55" fillId="0" borderId="27" xfId="0" applyFont="1" applyBorder="1" applyAlignment="1">
      <alignment horizontal="center" vertical="top" wrapText="1"/>
    </xf>
    <xf numFmtId="43" fontId="55" fillId="0" borderId="27" xfId="3" applyFont="1" applyBorder="1" applyAlignment="1">
      <alignment horizontal="center" vertical="top" wrapText="1"/>
    </xf>
    <xf numFmtId="43" fontId="55" fillId="0" borderId="27" xfId="3" applyFont="1" applyBorder="1" applyAlignment="1">
      <alignment horizontal="left" vertical="top" wrapText="1"/>
    </xf>
    <xf numFmtId="43" fontId="55" fillId="0" borderId="0" xfId="3" applyFont="1" applyAlignment="1">
      <alignment horizontal="left" vertical="top"/>
    </xf>
    <xf numFmtId="0" fontId="54" fillId="0" borderId="29" xfId="0" applyFont="1" applyBorder="1" applyAlignment="1">
      <alignment horizontal="center" vertical="top" wrapText="1"/>
    </xf>
    <xf numFmtId="43" fontId="54" fillId="0" borderId="29" xfId="3" applyFont="1" applyBorder="1" applyAlignment="1">
      <alignment horizontal="center" vertical="top" wrapText="1"/>
    </xf>
    <xf numFmtId="43" fontId="55" fillId="0" borderId="0" xfId="3" applyFont="1" applyAlignment="1">
      <alignment horizontal="center" vertical="top"/>
    </xf>
    <xf numFmtId="43" fontId="55" fillId="0" borderId="34" xfId="3" applyFont="1" applyBorder="1" applyAlignment="1">
      <alignment vertical="top" wrapText="1"/>
    </xf>
    <xf numFmtId="43" fontId="55" fillId="0" borderId="35" xfId="3" applyFont="1" applyBorder="1" applyAlignment="1">
      <alignment vertical="top" wrapText="1"/>
    </xf>
    <xf numFmtId="43" fontId="54" fillId="0" borderId="33" xfId="3" applyFont="1" applyBorder="1" applyAlignment="1">
      <alignment horizontal="center" vertical="top" wrapText="1"/>
    </xf>
    <xf numFmtId="43" fontId="55" fillId="0" borderId="35" xfId="3" applyFont="1" applyBorder="1" applyAlignment="1">
      <alignment horizontal="left" vertical="top"/>
    </xf>
    <xf numFmtId="43" fontId="55" fillId="0" borderId="35" xfId="3" applyFont="1" applyBorder="1">
      <alignment vertical="top"/>
    </xf>
    <xf numFmtId="43" fontId="55" fillId="0" borderId="28" xfId="3" applyFont="1" applyBorder="1" applyAlignment="1">
      <alignment horizontal="left" vertical="top" wrapText="1"/>
    </xf>
    <xf numFmtId="43" fontId="55" fillId="0" borderId="36" xfId="3" applyFont="1" applyBorder="1" applyAlignment="1">
      <alignment vertical="top" wrapText="1"/>
    </xf>
    <xf numFmtId="17" fontId="52" fillId="0" borderId="0" xfId="0" quotePrefix="1" applyNumberFormat="1" applyFont="1" applyAlignment="1">
      <alignment horizontal="center" vertical="top" wrapText="1"/>
    </xf>
    <xf numFmtId="166" fontId="5" fillId="0" borderId="14" xfId="3051" applyNumberFormat="1" applyFill="1" applyBorder="1" applyAlignment="1">
      <alignment horizontal="center" vertical="top"/>
    </xf>
    <xf numFmtId="0" fontId="5" fillId="0" borderId="0" xfId="3006" applyFont="1">
      <alignment horizontal="justify" vertical="top" wrapText="1"/>
    </xf>
    <xf numFmtId="0" fontId="54" fillId="0" borderId="0" xfId="3006" applyFont="1" applyAlignment="1">
      <alignment horizontal="center" vertical="top" wrapText="1"/>
    </xf>
    <xf numFmtId="3" fontId="5" fillId="0" borderId="0" xfId="1631" applyNumberFormat="1" applyFont="1" applyFill="1" applyBorder="1" applyAlignment="1">
      <alignment horizontal="center" vertical="top"/>
    </xf>
    <xf numFmtId="0" fontId="5" fillId="0" borderId="0" xfId="3006" applyFont="1" applyAlignment="1">
      <alignment horizontal="center" vertical="top" wrapText="1"/>
    </xf>
    <xf numFmtId="3" fontId="5" fillId="0" borderId="0" xfId="380" applyNumberFormat="1" applyFont="1" applyFill="1" applyBorder="1" applyAlignment="1">
      <alignment horizontal="right" vertical="top"/>
    </xf>
    <xf numFmtId="0" fontId="5" fillId="0" borderId="0" xfId="3006" applyFont="1" applyAlignment="1">
      <alignment horizontal="center" vertical="center" wrapText="1"/>
    </xf>
    <xf numFmtId="0" fontId="56" fillId="0" borderId="17" xfId="3006" applyFont="1" applyBorder="1" applyAlignment="1">
      <alignment horizontal="center" vertical="center" wrapText="1"/>
    </xf>
    <xf numFmtId="0" fontId="56" fillId="0" borderId="18" xfId="3006" applyFont="1" applyBorder="1" applyAlignment="1">
      <alignment horizontal="center" vertical="center" wrapText="1"/>
    </xf>
    <xf numFmtId="3" fontId="57" fillId="0" borderId="18" xfId="1631" applyNumberFormat="1" applyFont="1" applyFill="1" applyBorder="1" applyAlignment="1">
      <alignment horizontal="center" vertical="center" wrapText="1"/>
    </xf>
    <xf numFmtId="0" fontId="57" fillId="0" borderId="18" xfId="3006" applyFont="1" applyBorder="1" applyAlignment="1">
      <alignment horizontal="center" vertical="center" wrapText="1"/>
    </xf>
    <xf numFmtId="3" fontId="56" fillId="0" borderId="18" xfId="380" applyNumberFormat="1" applyFont="1" applyFill="1" applyBorder="1" applyAlignment="1">
      <alignment horizontal="center" vertical="center" wrapText="1"/>
    </xf>
    <xf numFmtId="3" fontId="56" fillId="0" borderId="19" xfId="380" applyNumberFormat="1" applyFont="1" applyFill="1" applyBorder="1" applyAlignment="1">
      <alignment horizontal="center" vertical="center" wrapText="1"/>
    </xf>
    <xf numFmtId="0" fontId="5" fillId="0" borderId="0" xfId="3039" applyFont="1" applyAlignment="1">
      <alignment vertical="center"/>
    </xf>
    <xf numFmtId="0" fontId="54" fillId="0" borderId="13" xfId="3040" applyFont="1" applyBorder="1" applyAlignment="1">
      <alignment horizontal="center" vertical="top"/>
    </xf>
    <xf numFmtId="0" fontId="58" fillId="0" borderId="14" xfId="3043" applyFont="1" applyBorder="1">
      <alignment horizontal="justify" vertical="top" wrapText="1"/>
    </xf>
    <xf numFmtId="3" fontId="5" fillId="0" borderId="14" xfId="3043" applyNumberFormat="1" applyBorder="1" applyAlignment="1">
      <alignment horizontal="center" vertical="top" wrapText="1"/>
    </xf>
    <xf numFmtId="0" fontId="5" fillId="0" borderId="14" xfId="3043" applyBorder="1" applyAlignment="1">
      <alignment horizontal="center" vertical="top" wrapText="1"/>
    </xf>
    <xf numFmtId="3" fontId="5" fillId="0" borderId="14" xfId="380" applyNumberFormat="1" applyFont="1" applyFill="1" applyBorder="1" applyAlignment="1">
      <alignment horizontal="right" vertical="top"/>
    </xf>
    <xf numFmtId="4" fontId="5" fillId="0" borderId="15" xfId="3006" applyNumberFormat="1" applyFont="1" applyBorder="1" applyAlignment="1">
      <alignment horizontal="right" vertical="top" wrapText="1"/>
    </xf>
    <xf numFmtId="0" fontId="56" fillId="0" borderId="14" xfId="3043" applyFont="1" applyBorder="1">
      <alignment horizontal="justify" vertical="top" wrapText="1"/>
    </xf>
    <xf numFmtId="0" fontId="56" fillId="0" borderId="0" xfId="3006" applyFont="1">
      <alignment horizontal="justify" vertical="top" wrapText="1"/>
    </xf>
    <xf numFmtId="0" fontId="56" fillId="0" borderId="13" xfId="3040" applyFont="1" applyBorder="1" applyAlignment="1">
      <alignment horizontal="center" vertical="top"/>
    </xf>
    <xf numFmtId="3" fontId="57" fillId="0" borderId="14" xfId="3043" applyNumberFormat="1" applyFont="1" applyBorder="1" applyAlignment="1">
      <alignment horizontal="center" vertical="top" wrapText="1"/>
    </xf>
    <xf numFmtId="0" fontId="57" fillId="0" borderId="14" xfId="3043" applyFont="1" applyBorder="1" applyAlignment="1">
      <alignment horizontal="center" vertical="top" wrapText="1"/>
    </xf>
    <xf numFmtId="3" fontId="56" fillId="0" borderId="14" xfId="380" applyNumberFormat="1" applyFont="1" applyFill="1" applyBorder="1" applyAlignment="1">
      <alignment horizontal="right" vertical="top"/>
    </xf>
    <xf numFmtId="4" fontId="56" fillId="0" borderId="15" xfId="3006" applyNumberFormat="1" applyFont="1" applyBorder="1" applyAlignment="1">
      <alignment horizontal="right" vertical="top" wrapText="1"/>
    </xf>
    <xf numFmtId="0" fontId="5" fillId="0" borderId="0" xfId="2998" applyProtection="1">
      <alignment horizontal="justify" vertical="top" wrapText="1"/>
      <protection locked="0"/>
    </xf>
    <xf numFmtId="0" fontId="54" fillId="0" borderId="13" xfId="2998" applyFont="1" applyBorder="1" applyAlignment="1" applyProtection="1">
      <alignment horizontal="center" vertical="top" wrapText="1"/>
      <protection locked="0"/>
    </xf>
    <xf numFmtId="0" fontId="5" fillId="0" borderId="14" xfId="2998" applyBorder="1">
      <alignment horizontal="justify" vertical="top" wrapText="1"/>
    </xf>
    <xf numFmtId="3" fontId="5" fillId="0" borderId="14" xfId="2998" applyNumberFormat="1" applyBorder="1" applyAlignment="1">
      <alignment horizontal="center" vertical="top" wrapText="1"/>
    </xf>
    <xf numFmtId="0" fontId="5" fillId="0" borderId="14" xfId="2998" applyBorder="1" applyAlignment="1">
      <alignment horizontal="center" vertical="top" wrapText="1"/>
    </xf>
    <xf numFmtId="3" fontId="5" fillId="0" borderId="14" xfId="3046" applyNumberFormat="1" applyFont="1" applyFill="1" applyBorder="1" applyAlignment="1">
      <alignment horizontal="right" vertical="top"/>
    </xf>
    <xf numFmtId="3" fontId="5" fillId="0" borderId="15" xfId="388" applyNumberFormat="1" applyFont="1" applyFill="1" applyBorder="1" applyAlignment="1">
      <alignment vertical="top" wrapText="1"/>
    </xf>
    <xf numFmtId="166" fontId="5" fillId="0" borderId="0" xfId="3" applyNumberFormat="1" applyFont="1" applyFill="1">
      <alignment vertical="top"/>
    </xf>
    <xf numFmtId="165" fontId="5" fillId="0" borderId="0" xfId="2998" applyNumberFormat="1" applyProtection="1">
      <alignment horizontal="justify" vertical="top" wrapText="1"/>
      <protection locked="0"/>
    </xf>
    <xf numFmtId="0" fontId="54" fillId="0" borderId="14" xfId="2998" applyFont="1" applyBorder="1" applyAlignment="1">
      <alignment horizontal="right" vertical="top" wrapText="1"/>
    </xf>
    <xf numFmtId="3" fontId="5" fillId="0" borderId="14" xfId="1633" applyNumberFormat="1" applyFont="1" applyFill="1" applyBorder="1" applyAlignment="1">
      <alignment horizontal="right" vertical="top"/>
    </xf>
    <xf numFmtId="3" fontId="54" fillId="0" borderId="16" xfId="388" applyNumberFormat="1" applyFont="1" applyFill="1" applyBorder="1" applyAlignment="1">
      <alignment vertical="top" wrapText="1"/>
    </xf>
    <xf numFmtId="0" fontId="5" fillId="0" borderId="0" xfId="2995" applyProtection="1">
      <alignment horizontal="justify" vertical="top" wrapText="1"/>
      <protection locked="0"/>
    </xf>
    <xf numFmtId="0" fontId="54" fillId="0" borderId="0" xfId="2995" applyFont="1" applyAlignment="1" applyProtection="1">
      <alignment horizontal="center" vertical="top" wrapText="1"/>
      <protection locked="0"/>
    </xf>
    <xf numFmtId="0" fontId="57" fillId="0" borderId="0" xfId="2998" quotePrefix="1" applyFont="1" applyAlignment="1">
      <alignment horizontal="right" vertical="top" wrapText="1"/>
    </xf>
    <xf numFmtId="1" fontId="5" fillId="0" borderId="0" xfId="2995" applyNumberFormat="1" applyAlignment="1">
      <alignment horizontal="center" vertical="top" wrapText="1"/>
    </xf>
    <xf numFmtId="3" fontId="5" fillId="0" borderId="0" xfId="1633" applyNumberFormat="1" applyFont="1" applyFill="1" applyBorder="1" applyAlignment="1">
      <alignment horizontal="right" vertical="top"/>
    </xf>
    <xf numFmtId="3" fontId="54" fillId="0" borderId="0" xfId="388" applyNumberFormat="1" applyFont="1" applyFill="1" applyBorder="1" applyAlignment="1">
      <alignment vertical="top" wrapText="1"/>
    </xf>
    <xf numFmtId="3" fontId="5" fillId="0" borderId="14" xfId="3046" quotePrefix="1" applyNumberFormat="1" applyFont="1" applyFill="1" applyBorder="1" applyAlignment="1">
      <alignment horizontal="right" vertical="top"/>
    </xf>
    <xf numFmtId="0" fontId="54" fillId="0" borderId="14" xfId="2998" applyFont="1" applyBorder="1">
      <alignment horizontal="justify" vertical="top" wrapText="1"/>
    </xf>
    <xf numFmtId="3" fontId="54" fillId="0" borderId="15" xfId="388" applyNumberFormat="1" applyFont="1" applyFill="1" applyBorder="1" applyAlignment="1">
      <alignment vertical="top" wrapText="1"/>
    </xf>
    <xf numFmtId="3" fontId="56" fillId="0" borderId="18" xfId="1631" applyNumberFormat="1" applyFont="1" applyFill="1" applyBorder="1" applyAlignment="1">
      <alignment horizontal="center" vertical="center" wrapText="1"/>
    </xf>
    <xf numFmtId="4" fontId="5" fillId="0" borderId="14" xfId="380" applyNumberFormat="1" applyFont="1" applyFill="1" applyBorder="1" applyAlignment="1">
      <alignment horizontal="right" vertical="top"/>
    </xf>
    <xf numFmtId="0" fontId="5" fillId="0" borderId="14" xfId="3043" applyBorder="1">
      <alignment horizontal="justify" vertical="top" wrapText="1"/>
    </xf>
    <xf numFmtId="3" fontId="5" fillId="0" borderId="15" xfId="3006" applyNumberFormat="1" applyFont="1" applyBorder="1" applyAlignment="1">
      <alignment horizontal="right" vertical="top" wrapText="1"/>
    </xf>
    <xf numFmtId="43" fontId="34" fillId="0" borderId="0" xfId="3008" applyNumberFormat="1" applyFont="1" applyAlignment="1">
      <alignment horizontal="justify" vertical="top" wrapText="1"/>
    </xf>
    <xf numFmtId="0" fontId="41" fillId="0" borderId="0" xfId="0" applyFont="1" applyAlignment="1">
      <alignment horizontal="center" vertical="center" wrapText="1"/>
    </xf>
    <xf numFmtId="0" fontId="48" fillId="0" borderId="0" xfId="0" applyFont="1" applyAlignment="1">
      <alignment horizontal="center" vertical="top"/>
    </xf>
    <xf numFmtId="0" fontId="49" fillId="0" borderId="0" xfId="0" applyFont="1" applyAlignment="1">
      <alignment horizontal="center" vertical="top" wrapText="1"/>
    </xf>
    <xf numFmtId="0" fontId="49" fillId="0" borderId="0" xfId="0" applyFont="1" applyAlignment="1">
      <alignment horizontal="center" vertical="top"/>
    </xf>
    <xf numFmtId="0" fontId="50" fillId="0" borderId="0" xfId="0" applyFont="1" applyAlignment="1">
      <alignment horizontal="center" vertical="top" wrapText="1"/>
    </xf>
    <xf numFmtId="0" fontId="35" fillId="0" borderId="0" xfId="3008" quotePrefix="1" applyFont="1" applyAlignment="1">
      <alignment horizontal="left" vertical="top" wrapText="1"/>
    </xf>
    <xf numFmtId="0" fontId="34" fillId="0" borderId="0" xfId="0" applyFont="1" applyAlignment="1">
      <alignment horizontal="left" vertical="top" wrapText="1"/>
    </xf>
    <xf numFmtId="0" fontId="35" fillId="0" borderId="0" xfId="3008" applyFont="1" applyAlignment="1">
      <alignment horizontal="justify" vertical="top" wrapText="1"/>
    </xf>
    <xf numFmtId="0" fontId="35" fillId="0" borderId="0" xfId="3008" applyFont="1" applyAlignment="1">
      <alignment horizontal="left" vertical="top" wrapText="1"/>
    </xf>
    <xf numFmtId="0" fontId="34" fillId="0" borderId="0" xfId="3008" applyFont="1" applyAlignment="1">
      <alignment horizontal="left" vertical="top" wrapText="1"/>
    </xf>
    <xf numFmtId="0" fontId="34" fillId="0" borderId="0" xfId="0" applyFont="1" applyAlignment="1">
      <alignment horizontal="justify" vertical="top" wrapText="1"/>
    </xf>
    <xf numFmtId="0" fontId="35" fillId="0" borderId="0" xfId="3008" applyFont="1" applyAlignment="1">
      <alignment horizontal="center" vertical="top" wrapText="1"/>
    </xf>
    <xf numFmtId="0" fontId="34" fillId="0" borderId="0" xfId="0" applyFont="1" applyAlignment="1">
      <alignment horizontal="center" vertical="top" wrapText="1"/>
    </xf>
    <xf numFmtId="0" fontId="34" fillId="0" borderId="0" xfId="3008" quotePrefix="1" applyFont="1" applyAlignment="1">
      <alignment horizontal="left" vertical="top" wrapText="1"/>
    </xf>
    <xf numFmtId="0" fontId="35" fillId="0" borderId="15" xfId="3008" applyFont="1" applyBorder="1" applyAlignment="1">
      <alignment horizontal="right" vertical="top"/>
    </xf>
    <xf numFmtId="0" fontId="35" fillId="0" borderId="0" xfId="3008" applyFont="1" applyAlignment="1">
      <alignment horizontal="right" vertical="top"/>
    </xf>
    <xf numFmtId="0" fontId="35" fillId="0" borderId="24" xfId="3008" applyFont="1" applyBorder="1" applyAlignment="1">
      <alignment horizontal="right" vertical="top"/>
    </xf>
    <xf numFmtId="0" fontId="35" fillId="0" borderId="25" xfId="3008" applyFont="1" applyBorder="1" applyAlignment="1">
      <alignment horizontal="right" vertical="top"/>
    </xf>
    <xf numFmtId="43" fontId="54" fillId="0" borderId="35" xfId="3" applyFont="1" applyBorder="1" applyAlignment="1">
      <alignment horizontal="center" vertical="top" wrapText="1"/>
    </xf>
  </cellXfs>
  <cellStyles count="3053">
    <cellStyle name="0,0_x000d__x000a_NA_x000d__x000a_" xfId="1" xr:uid="{00000000-0005-0000-0000-000000000000}"/>
    <cellStyle name="0,0_x000d__x000a_NA_x000d__x000a_ 2" xfId="2" xr:uid="{00000000-0005-0000-0000-000001000000}"/>
    <cellStyle name="Comma" xfId="3" builtinId="3"/>
    <cellStyle name="Comma [0]" xfId="3052" builtinId="6"/>
    <cellStyle name="Comma [0] 10" xfId="4" xr:uid="{00000000-0005-0000-0000-000004000000}"/>
    <cellStyle name="Comma [0] 10 2" xfId="5" xr:uid="{00000000-0005-0000-0000-000005000000}"/>
    <cellStyle name="Comma [0] 10 2 2" xfId="6" xr:uid="{00000000-0005-0000-0000-000006000000}"/>
    <cellStyle name="Comma [0] 10 3" xfId="7" xr:uid="{00000000-0005-0000-0000-000007000000}"/>
    <cellStyle name="Comma [0] 10 4" xfId="8" xr:uid="{00000000-0005-0000-0000-000008000000}"/>
    <cellStyle name="Comma [0] 10 5" xfId="9" xr:uid="{00000000-0005-0000-0000-000009000000}"/>
    <cellStyle name="Comma [0] 11" xfId="10" xr:uid="{00000000-0005-0000-0000-00000A000000}"/>
    <cellStyle name="Comma [0] 12" xfId="3049" xr:uid="{00000000-0005-0000-0000-00000B000000}"/>
    <cellStyle name="Comma [0] 2" xfId="11" xr:uid="{00000000-0005-0000-0000-00000C000000}"/>
    <cellStyle name="Comma [0] 2 2" xfId="12" xr:uid="{00000000-0005-0000-0000-00000D000000}"/>
    <cellStyle name="Comma [0] 2 2 10" xfId="13" xr:uid="{00000000-0005-0000-0000-00000E000000}"/>
    <cellStyle name="Comma [0] 2 2 11" xfId="14" xr:uid="{00000000-0005-0000-0000-00000F000000}"/>
    <cellStyle name="Comma [0] 2 2 12" xfId="15" xr:uid="{00000000-0005-0000-0000-000010000000}"/>
    <cellStyle name="Comma [0] 2 2 13" xfId="16" xr:uid="{00000000-0005-0000-0000-000011000000}"/>
    <cellStyle name="Comma [0] 2 2 14" xfId="17" xr:uid="{00000000-0005-0000-0000-000012000000}"/>
    <cellStyle name="Comma [0] 2 2 15" xfId="18" xr:uid="{00000000-0005-0000-0000-000013000000}"/>
    <cellStyle name="Comma [0] 2 2 16" xfId="19" xr:uid="{00000000-0005-0000-0000-000014000000}"/>
    <cellStyle name="Comma [0] 2 2 17" xfId="20" xr:uid="{00000000-0005-0000-0000-000015000000}"/>
    <cellStyle name="Comma [0] 2 2 18" xfId="21" xr:uid="{00000000-0005-0000-0000-000016000000}"/>
    <cellStyle name="Comma [0] 2 2 19" xfId="22" xr:uid="{00000000-0005-0000-0000-000017000000}"/>
    <cellStyle name="Comma [0] 2 2 2" xfId="23" xr:uid="{00000000-0005-0000-0000-000018000000}"/>
    <cellStyle name="Comma [0] 2 2 20" xfId="24" xr:uid="{00000000-0005-0000-0000-000019000000}"/>
    <cellStyle name="Comma [0] 2 2 21" xfId="25" xr:uid="{00000000-0005-0000-0000-00001A000000}"/>
    <cellStyle name="Comma [0] 2 2 22" xfId="26" xr:uid="{00000000-0005-0000-0000-00001B000000}"/>
    <cellStyle name="Comma [0] 2 2 23" xfId="27" xr:uid="{00000000-0005-0000-0000-00001C000000}"/>
    <cellStyle name="Comma [0] 2 2 24" xfId="28" xr:uid="{00000000-0005-0000-0000-00001D000000}"/>
    <cellStyle name="Comma [0] 2 2 25" xfId="29" xr:uid="{00000000-0005-0000-0000-00001E000000}"/>
    <cellStyle name="Comma [0] 2 2 26" xfId="30" xr:uid="{00000000-0005-0000-0000-00001F000000}"/>
    <cellStyle name="Comma [0] 2 2 27" xfId="31" xr:uid="{00000000-0005-0000-0000-000020000000}"/>
    <cellStyle name="Comma [0] 2 2 28" xfId="32" xr:uid="{00000000-0005-0000-0000-000021000000}"/>
    <cellStyle name="Comma [0] 2 2 29" xfId="33" xr:uid="{00000000-0005-0000-0000-000022000000}"/>
    <cellStyle name="Comma [0] 2 2 3" xfId="34" xr:uid="{00000000-0005-0000-0000-000023000000}"/>
    <cellStyle name="Comma [0] 2 2 30" xfId="35" xr:uid="{00000000-0005-0000-0000-000024000000}"/>
    <cellStyle name="Comma [0] 2 2 31" xfId="36" xr:uid="{00000000-0005-0000-0000-000025000000}"/>
    <cellStyle name="Comma [0] 2 2 32" xfId="37" xr:uid="{00000000-0005-0000-0000-000026000000}"/>
    <cellStyle name="Comma [0] 2 2 33" xfId="38" xr:uid="{00000000-0005-0000-0000-000027000000}"/>
    <cellStyle name="Comma [0] 2 2 34" xfId="39" xr:uid="{00000000-0005-0000-0000-000028000000}"/>
    <cellStyle name="Comma [0] 2 2 35" xfId="40" xr:uid="{00000000-0005-0000-0000-000029000000}"/>
    <cellStyle name="Comma [0] 2 2 36" xfId="41" xr:uid="{00000000-0005-0000-0000-00002A000000}"/>
    <cellStyle name="Comma [0] 2 2 37" xfId="42" xr:uid="{00000000-0005-0000-0000-00002B000000}"/>
    <cellStyle name="Comma [0] 2 2 38" xfId="43" xr:uid="{00000000-0005-0000-0000-00002C000000}"/>
    <cellStyle name="Comma [0] 2 2 39" xfId="44" xr:uid="{00000000-0005-0000-0000-00002D000000}"/>
    <cellStyle name="Comma [0] 2 2 4" xfId="45" xr:uid="{00000000-0005-0000-0000-00002E000000}"/>
    <cellStyle name="Comma [0] 2 2 40" xfId="46" xr:uid="{00000000-0005-0000-0000-00002F000000}"/>
    <cellStyle name="Comma [0] 2 2 41" xfId="47" xr:uid="{00000000-0005-0000-0000-000030000000}"/>
    <cellStyle name="Comma [0] 2 2 42" xfId="48" xr:uid="{00000000-0005-0000-0000-000031000000}"/>
    <cellStyle name="Comma [0] 2 2 43" xfId="49" xr:uid="{00000000-0005-0000-0000-000032000000}"/>
    <cellStyle name="Comma [0] 2 2 44" xfId="50" xr:uid="{00000000-0005-0000-0000-000033000000}"/>
    <cellStyle name="Comma [0] 2 2 45" xfId="51" xr:uid="{00000000-0005-0000-0000-000034000000}"/>
    <cellStyle name="Comma [0] 2 2 46" xfId="52" xr:uid="{00000000-0005-0000-0000-000035000000}"/>
    <cellStyle name="Comma [0] 2 2 47" xfId="53" xr:uid="{00000000-0005-0000-0000-000036000000}"/>
    <cellStyle name="Comma [0] 2 2 48" xfId="54" xr:uid="{00000000-0005-0000-0000-000037000000}"/>
    <cellStyle name="Comma [0] 2 2 5" xfId="55" xr:uid="{00000000-0005-0000-0000-000038000000}"/>
    <cellStyle name="Comma [0] 2 2 6" xfId="56" xr:uid="{00000000-0005-0000-0000-000039000000}"/>
    <cellStyle name="Comma [0] 2 2 7" xfId="57" xr:uid="{00000000-0005-0000-0000-00003A000000}"/>
    <cellStyle name="Comma [0] 2 2 8" xfId="58" xr:uid="{00000000-0005-0000-0000-00003B000000}"/>
    <cellStyle name="Comma [0] 2 2 9" xfId="59" xr:uid="{00000000-0005-0000-0000-00003C000000}"/>
    <cellStyle name="Comma [0] 2 3" xfId="60" xr:uid="{00000000-0005-0000-0000-00003D000000}"/>
    <cellStyle name="Comma [0] 2 3 2" xfId="61" xr:uid="{00000000-0005-0000-0000-00003E000000}"/>
    <cellStyle name="Comma [0] 2 3 3" xfId="62" xr:uid="{00000000-0005-0000-0000-00003F000000}"/>
    <cellStyle name="Comma [0] 2 4" xfId="63" xr:uid="{00000000-0005-0000-0000-000040000000}"/>
    <cellStyle name="Comma [0] 2 4 2" xfId="64" xr:uid="{00000000-0005-0000-0000-000041000000}"/>
    <cellStyle name="Comma [0] 2 4 3" xfId="65" xr:uid="{00000000-0005-0000-0000-000042000000}"/>
    <cellStyle name="Comma [0] 2 5" xfId="66" xr:uid="{00000000-0005-0000-0000-000043000000}"/>
    <cellStyle name="Comma [0] 2 5 2" xfId="67" xr:uid="{00000000-0005-0000-0000-000044000000}"/>
    <cellStyle name="Comma [0] 2 5 3" xfId="68" xr:uid="{00000000-0005-0000-0000-000045000000}"/>
    <cellStyle name="Comma [0] 2 6" xfId="69" xr:uid="{00000000-0005-0000-0000-000046000000}"/>
    <cellStyle name="Comma [0] 2 6 2" xfId="70" xr:uid="{00000000-0005-0000-0000-000047000000}"/>
    <cellStyle name="Comma [0] 2 6 3" xfId="71" xr:uid="{00000000-0005-0000-0000-000048000000}"/>
    <cellStyle name="Comma [0] 2 7" xfId="72" xr:uid="{00000000-0005-0000-0000-000049000000}"/>
    <cellStyle name="Comma [0] 2 8" xfId="73" xr:uid="{00000000-0005-0000-0000-00004A000000}"/>
    <cellStyle name="Comma [0] 3" xfId="74" xr:uid="{00000000-0005-0000-0000-00004B000000}"/>
    <cellStyle name="Comma [0] 3 2" xfId="75" xr:uid="{00000000-0005-0000-0000-00004C000000}"/>
    <cellStyle name="Comma [0] 3 2 2" xfId="76" xr:uid="{00000000-0005-0000-0000-00004D000000}"/>
    <cellStyle name="Comma [0] 3 2 3" xfId="77" xr:uid="{00000000-0005-0000-0000-00004E000000}"/>
    <cellStyle name="Comma [0] 3 3" xfId="78" xr:uid="{00000000-0005-0000-0000-00004F000000}"/>
    <cellStyle name="Comma [0] 3 3 2" xfId="79" xr:uid="{00000000-0005-0000-0000-000050000000}"/>
    <cellStyle name="Comma [0] 3 3 3" xfId="80" xr:uid="{00000000-0005-0000-0000-000051000000}"/>
    <cellStyle name="Comma [0] 3 4" xfId="81" xr:uid="{00000000-0005-0000-0000-000052000000}"/>
    <cellStyle name="Comma [0] 3 4 2" xfId="82" xr:uid="{00000000-0005-0000-0000-000053000000}"/>
    <cellStyle name="Comma [0] 3 4 3" xfId="83" xr:uid="{00000000-0005-0000-0000-000054000000}"/>
    <cellStyle name="Comma [0] 3 5" xfId="84" xr:uid="{00000000-0005-0000-0000-000055000000}"/>
    <cellStyle name="Comma [0] 3 5 2" xfId="85" xr:uid="{00000000-0005-0000-0000-000056000000}"/>
    <cellStyle name="Comma [0] 3 5 3" xfId="86" xr:uid="{00000000-0005-0000-0000-000057000000}"/>
    <cellStyle name="Comma [0] 3 6" xfId="87" xr:uid="{00000000-0005-0000-0000-000058000000}"/>
    <cellStyle name="Comma [0] 3 6 2" xfId="88" xr:uid="{00000000-0005-0000-0000-000059000000}"/>
    <cellStyle name="Comma [0] 3 6 3" xfId="89" xr:uid="{00000000-0005-0000-0000-00005A000000}"/>
    <cellStyle name="Comma [0] 3 7" xfId="90" xr:uid="{00000000-0005-0000-0000-00005B000000}"/>
    <cellStyle name="Comma [0] 3 8" xfId="91" xr:uid="{00000000-0005-0000-0000-00005C000000}"/>
    <cellStyle name="Comma [0] 4" xfId="92" xr:uid="{00000000-0005-0000-0000-00005D000000}"/>
    <cellStyle name="Comma [0] 4 2" xfId="93" xr:uid="{00000000-0005-0000-0000-00005E000000}"/>
    <cellStyle name="Comma [0] 4 2 2" xfId="94" xr:uid="{00000000-0005-0000-0000-00005F000000}"/>
    <cellStyle name="Comma [0] 4 2 3" xfId="95" xr:uid="{00000000-0005-0000-0000-000060000000}"/>
    <cellStyle name="Comma [0] 4 3" xfId="96" xr:uid="{00000000-0005-0000-0000-000061000000}"/>
    <cellStyle name="Comma [0] 4 3 2" xfId="97" xr:uid="{00000000-0005-0000-0000-000062000000}"/>
    <cellStyle name="Comma [0] 4 3 3" xfId="98" xr:uid="{00000000-0005-0000-0000-000063000000}"/>
    <cellStyle name="Comma [0] 4 4" xfId="99" xr:uid="{00000000-0005-0000-0000-000064000000}"/>
    <cellStyle name="Comma [0] 4 4 2" xfId="100" xr:uid="{00000000-0005-0000-0000-000065000000}"/>
    <cellStyle name="Comma [0] 4 4 3" xfId="101" xr:uid="{00000000-0005-0000-0000-000066000000}"/>
    <cellStyle name="Comma [0] 4 5" xfId="102" xr:uid="{00000000-0005-0000-0000-000067000000}"/>
    <cellStyle name="Comma [0] 4 5 2" xfId="103" xr:uid="{00000000-0005-0000-0000-000068000000}"/>
    <cellStyle name="Comma [0] 4 5 3" xfId="104" xr:uid="{00000000-0005-0000-0000-000069000000}"/>
    <cellStyle name="Comma [0] 4 6" xfId="105" xr:uid="{00000000-0005-0000-0000-00006A000000}"/>
    <cellStyle name="Comma [0] 4 6 2" xfId="106" xr:uid="{00000000-0005-0000-0000-00006B000000}"/>
    <cellStyle name="Comma [0] 4 6 3" xfId="107" xr:uid="{00000000-0005-0000-0000-00006C000000}"/>
    <cellStyle name="Comma [0] 4 7" xfId="108" xr:uid="{00000000-0005-0000-0000-00006D000000}"/>
    <cellStyle name="Comma [0] 4 8" xfId="109" xr:uid="{00000000-0005-0000-0000-00006E000000}"/>
    <cellStyle name="Comma [0] 5" xfId="110" xr:uid="{00000000-0005-0000-0000-00006F000000}"/>
    <cellStyle name="Comma [0] 5 2" xfId="111" xr:uid="{00000000-0005-0000-0000-000070000000}"/>
    <cellStyle name="Comma [0] 5 2 2" xfId="112" xr:uid="{00000000-0005-0000-0000-000071000000}"/>
    <cellStyle name="Comma [0] 5 2 3" xfId="113" xr:uid="{00000000-0005-0000-0000-000072000000}"/>
    <cellStyle name="Comma [0] 5 3" xfId="114" xr:uid="{00000000-0005-0000-0000-000073000000}"/>
    <cellStyle name="Comma [0] 5 3 2" xfId="115" xr:uid="{00000000-0005-0000-0000-000074000000}"/>
    <cellStyle name="Comma [0] 5 3 3" xfId="116" xr:uid="{00000000-0005-0000-0000-000075000000}"/>
    <cellStyle name="Comma [0] 5 4" xfId="117" xr:uid="{00000000-0005-0000-0000-000076000000}"/>
    <cellStyle name="Comma [0] 5 4 2" xfId="118" xr:uid="{00000000-0005-0000-0000-000077000000}"/>
    <cellStyle name="Comma [0] 5 4 3" xfId="119" xr:uid="{00000000-0005-0000-0000-000078000000}"/>
    <cellStyle name="Comma [0] 5 5" xfId="120" xr:uid="{00000000-0005-0000-0000-000079000000}"/>
    <cellStyle name="Comma [0] 5 5 2" xfId="121" xr:uid="{00000000-0005-0000-0000-00007A000000}"/>
    <cellStyle name="Comma [0] 5 5 3" xfId="122" xr:uid="{00000000-0005-0000-0000-00007B000000}"/>
    <cellStyle name="Comma [0] 5 6" xfId="123" xr:uid="{00000000-0005-0000-0000-00007C000000}"/>
    <cellStyle name="Comma [0] 5 6 2" xfId="124" xr:uid="{00000000-0005-0000-0000-00007D000000}"/>
    <cellStyle name="Comma [0] 5 6 3" xfId="125" xr:uid="{00000000-0005-0000-0000-00007E000000}"/>
    <cellStyle name="Comma [0] 5 7" xfId="126" xr:uid="{00000000-0005-0000-0000-00007F000000}"/>
    <cellStyle name="Comma [0] 5 8" xfId="127" xr:uid="{00000000-0005-0000-0000-000080000000}"/>
    <cellStyle name="Comma [0] 6" xfId="128" xr:uid="{00000000-0005-0000-0000-000081000000}"/>
    <cellStyle name="Comma [0] 6 2" xfId="129" xr:uid="{00000000-0005-0000-0000-000082000000}"/>
    <cellStyle name="Comma [0] 6 2 2" xfId="130" xr:uid="{00000000-0005-0000-0000-000083000000}"/>
    <cellStyle name="Comma [0] 6 2 3" xfId="131" xr:uid="{00000000-0005-0000-0000-000084000000}"/>
    <cellStyle name="Comma [0] 6 3" xfId="132" xr:uid="{00000000-0005-0000-0000-000085000000}"/>
    <cellStyle name="Comma [0] 6 3 2" xfId="133" xr:uid="{00000000-0005-0000-0000-000086000000}"/>
    <cellStyle name="Comma [0] 6 3 3" xfId="134" xr:uid="{00000000-0005-0000-0000-000087000000}"/>
    <cellStyle name="Comma [0] 6 4" xfId="135" xr:uid="{00000000-0005-0000-0000-000088000000}"/>
    <cellStyle name="Comma [0] 6 4 2" xfId="136" xr:uid="{00000000-0005-0000-0000-000089000000}"/>
    <cellStyle name="Comma [0] 6 4 3" xfId="137" xr:uid="{00000000-0005-0000-0000-00008A000000}"/>
    <cellStyle name="Comma [0] 6 5" xfId="138" xr:uid="{00000000-0005-0000-0000-00008B000000}"/>
    <cellStyle name="Comma [0] 6 5 2" xfId="139" xr:uid="{00000000-0005-0000-0000-00008C000000}"/>
    <cellStyle name="Comma [0] 6 5 3" xfId="140" xr:uid="{00000000-0005-0000-0000-00008D000000}"/>
    <cellStyle name="Comma [0] 6 6" xfId="141" xr:uid="{00000000-0005-0000-0000-00008E000000}"/>
    <cellStyle name="Comma [0] 6 6 2" xfId="142" xr:uid="{00000000-0005-0000-0000-00008F000000}"/>
    <cellStyle name="Comma [0] 6 6 3" xfId="143" xr:uid="{00000000-0005-0000-0000-000090000000}"/>
    <cellStyle name="Comma [0] 6 7" xfId="144" xr:uid="{00000000-0005-0000-0000-000091000000}"/>
    <cellStyle name="Comma [0] 6 8" xfId="145" xr:uid="{00000000-0005-0000-0000-000092000000}"/>
    <cellStyle name="Comma [0] 7" xfId="146" xr:uid="{00000000-0005-0000-0000-000093000000}"/>
    <cellStyle name="Comma [0] 7 2" xfId="147" xr:uid="{00000000-0005-0000-0000-000094000000}"/>
    <cellStyle name="Comma [0] 7 2 2" xfId="148" xr:uid="{00000000-0005-0000-0000-000095000000}"/>
    <cellStyle name="Comma [0] 7 2 3" xfId="149" xr:uid="{00000000-0005-0000-0000-000096000000}"/>
    <cellStyle name="Comma [0] 7 3" xfId="150" xr:uid="{00000000-0005-0000-0000-000097000000}"/>
    <cellStyle name="Comma [0] 7 3 2" xfId="151" xr:uid="{00000000-0005-0000-0000-000098000000}"/>
    <cellStyle name="Comma [0] 7 3 3" xfId="152" xr:uid="{00000000-0005-0000-0000-000099000000}"/>
    <cellStyle name="Comma [0] 7 4" xfId="153" xr:uid="{00000000-0005-0000-0000-00009A000000}"/>
    <cellStyle name="Comma [0] 7 4 2" xfId="154" xr:uid="{00000000-0005-0000-0000-00009B000000}"/>
    <cellStyle name="Comma [0] 7 4 3" xfId="155" xr:uid="{00000000-0005-0000-0000-00009C000000}"/>
    <cellStyle name="Comma [0] 7 5" xfId="156" xr:uid="{00000000-0005-0000-0000-00009D000000}"/>
    <cellStyle name="Comma [0] 7 5 2" xfId="157" xr:uid="{00000000-0005-0000-0000-00009E000000}"/>
    <cellStyle name="Comma [0] 7 5 3" xfId="158" xr:uid="{00000000-0005-0000-0000-00009F000000}"/>
    <cellStyle name="Comma [0] 7 6" xfId="159" xr:uid="{00000000-0005-0000-0000-0000A0000000}"/>
    <cellStyle name="Comma [0] 7 6 2" xfId="160" xr:uid="{00000000-0005-0000-0000-0000A1000000}"/>
    <cellStyle name="Comma [0] 7 6 3" xfId="161" xr:uid="{00000000-0005-0000-0000-0000A2000000}"/>
    <cellStyle name="Comma [0] 7 7" xfId="162" xr:uid="{00000000-0005-0000-0000-0000A3000000}"/>
    <cellStyle name="Comma [0] 7 8" xfId="163" xr:uid="{00000000-0005-0000-0000-0000A4000000}"/>
    <cellStyle name="Comma [0] 8" xfId="164" xr:uid="{00000000-0005-0000-0000-0000A5000000}"/>
    <cellStyle name="Comma [0] 8 2" xfId="165" xr:uid="{00000000-0005-0000-0000-0000A6000000}"/>
    <cellStyle name="Comma [0] 8 2 2" xfId="166" xr:uid="{00000000-0005-0000-0000-0000A7000000}"/>
    <cellStyle name="Comma [0] 8 2 3" xfId="167" xr:uid="{00000000-0005-0000-0000-0000A8000000}"/>
    <cellStyle name="Comma [0] 8 3" xfId="168" xr:uid="{00000000-0005-0000-0000-0000A9000000}"/>
    <cellStyle name="Comma [0] 8 3 2" xfId="169" xr:uid="{00000000-0005-0000-0000-0000AA000000}"/>
    <cellStyle name="Comma [0] 8 3 3" xfId="170" xr:uid="{00000000-0005-0000-0000-0000AB000000}"/>
    <cellStyle name="Comma [0] 8 4" xfId="171" xr:uid="{00000000-0005-0000-0000-0000AC000000}"/>
    <cellStyle name="Comma [0] 8 4 2" xfId="172" xr:uid="{00000000-0005-0000-0000-0000AD000000}"/>
    <cellStyle name="Comma [0] 8 4 3" xfId="173" xr:uid="{00000000-0005-0000-0000-0000AE000000}"/>
    <cellStyle name="Comma [0] 8 5" xfId="174" xr:uid="{00000000-0005-0000-0000-0000AF000000}"/>
    <cellStyle name="Comma [0] 8 5 2" xfId="175" xr:uid="{00000000-0005-0000-0000-0000B0000000}"/>
    <cellStyle name="Comma [0] 8 5 3" xfId="176" xr:uid="{00000000-0005-0000-0000-0000B1000000}"/>
    <cellStyle name="Comma [0] 8 6" xfId="177" xr:uid="{00000000-0005-0000-0000-0000B2000000}"/>
    <cellStyle name="Comma [0] 8 6 2" xfId="178" xr:uid="{00000000-0005-0000-0000-0000B3000000}"/>
    <cellStyle name="Comma [0] 8 6 3" xfId="179" xr:uid="{00000000-0005-0000-0000-0000B4000000}"/>
    <cellStyle name="Comma [0] 8 7" xfId="180" xr:uid="{00000000-0005-0000-0000-0000B5000000}"/>
    <cellStyle name="Comma [0] 8 8" xfId="181" xr:uid="{00000000-0005-0000-0000-0000B6000000}"/>
    <cellStyle name="Comma [0] 9" xfId="182" xr:uid="{00000000-0005-0000-0000-0000B7000000}"/>
    <cellStyle name="Comma [0] 9 2" xfId="183" xr:uid="{00000000-0005-0000-0000-0000B8000000}"/>
    <cellStyle name="Comma [0] 9 2 2" xfId="184" xr:uid="{00000000-0005-0000-0000-0000B9000000}"/>
    <cellStyle name="Comma [0] 9 2 3" xfId="185" xr:uid="{00000000-0005-0000-0000-0000BA000000}"/>
    <cellStyle name="Comma [0] 9 3" xfId="186" xr:uid="{00000000-0005-0000-0000-0000BB000000}"/>
    <cellStyle name="Comma [0] 9 3 2" xfId="187" xr:uid="{00000000-0005-0000-0000-0000BC000000}"/>
    <cellStyle name="Comma [0] 9 3 3" xfId="188" xr:uid="{00000000-0005-0000-0000-0000BD000000}"/>
    <cellStyle name="Comma [0] 9 4" xfId="189" xr:uid="{00000000-0005-0000-0000-0000BE000000}"/>
    <cellStyle name="Comma [0] 9 4 2" xfId="190" xr:uid="{00000000-0005-0000-0000-0000BF000000}"/>
    <cellStyle name="Comma [0] 9 4 3" xfId="191" xr:uid="{00000000-0005-0000-0000-0000C0000000}"/>
    <cellStyle name="Comma [0] 9 5" xfId="192" xr:uid="{00000000-0005-0000-0000-0000C1000000}"/>
    <cellStyle name="Comma [0] 9 5 2" xfId="193" xr:uid="{00000000-0005-0000-0000-0000C2000000}"/>
    <cellStyle name="Comma [0] 9 5 3" xfId="194" xr:uid="{00000000-0005-0000-0000-0000C3000000}"/>
    <cellStyle name="Comma [0] 9 6" xfId="195" xr:uid="{00000000-0005-0000-0000-0000C4000000}"/>
    <cellStyle name="Comma [0] 9 6 2" xfId="196" xr:uid="{00000000-0005-0000-0000-0000C5000000}"/>
    <cellStyle name="Comma [0] 9 6 3" xfId="197" xr:uid="{00000000-0005-0000-0000-0000C6000000}"/>
    <cellStyle name="Comma [0] 9 7" xfId="198" xr:uid="{00000000-0005-0000-0000-0000C7000000}"/>
    <cellStyle name="Comma [0] 9 8" xfId="199" xr:uid="{00000000-0005-0000-0000-0000C8000000}"/>
    <cellStyle name="Comma 10" xfId="200" xr:uid="{00000000-0005-0000-0000-0000C9000000}"/>
    <cellStyle name="Comma 10 2" xfId="201" xr:uid="{00000000-0005-0000-0000-0000CA000000}"/>
    <cellStyle name="Comma 10 2 2" xfId="202" xr:uid="{00000000-0005-0000-0000-0000CB000000}"/>
    <cellStyle name="Comma 10 3" xfId="203" xr:uid="{00000000-0005-0000-0000-0000CC000000}"/>
    <cellStyle name="Comma 10 3 2" xfId="204" xr:uid="{00000000-0005-0000-0000-0000CD000000}"/>
    <cellStyle name="Comma 10 3 3" xfId="205" xr:uid="{00000000-0005-0000-0000-0000CE000000}"/>
    <cellStyle name="Comma 10 4" xfId="206" xr:uid="{00000000-0005-0000-0000-0000CF000000}"/>
    <cellStyle name="Comma 10 4 2" xfId="207" xr:uid="{00000000-0005-0000-0000-0000D0000000}"/>
    <cellStyle name="Comma 10 4 3" xfId="208" xr:uid="{00000000-0005-0000-0000-0000D1000000}"/>
    <cellStyle name="Comma 10 5" xfId="209" xr:uid="{00000000-0005-0000-0000-0000D2000000}"/>
    <cellStyle name="Comma 10 5 2" xfId="210" xr:uid="{00000000-0005-0000-0000-0000D3000000}"/>
    <cellStyle name="Comma 10 5 3" xfId="211" xr:uid="{00000000-0005-0000-0000-0000D4000000}"/>
    <cellStyle name="Comma 10 6" xfId="212" xr:uid="{00000000-0005-0000-0000-0000D5000000}"/>
    <cellStyle name="Comma 10 6 2" xfId="213" xr:uid="{00000000-0005-0000-0000-0000D6000000}"/>
    <cellStyle name="Comma 10 6 3" xfId="214" xr:uid="{00000000-0005-0000-0000-0000D7000000}"/>
    <cellStyle name="Comma 10 7" xfId="215" xr:uid="{00000000-0005-0000-0000-0000D8000000}"/>
    <cellStyle name="Comma 10 7 2" xfId="216" xr:uid="{00000000-0005-0000-0000-0000D9000000}"/>
    <cellStyle name="Comma 10 8" xfId="217" xr:uid="{00000000-0005-0000-0000-0000DA000000}"/>
    <cellStyle name="Comma 10_LOT 1.2 - MITYANA GH(1) 08-08-12" xfId="218" xr:uid="{00000000-0005-0000-0000-0000DB000000}"/>
    <cellStyle name="Comma 11" xfId="219" xr:uid="{00000000-0005-0000-0000-0000DC000000}"/>
    <cellStyle name="Comma 11 2" xfId="220" xr:uid="{00000000-0005-0000-0000-0000DD000000}"/>
    <cellStyle name="Comma 11 2 2" xfId="221" xr:uid="{00000000-0005-0000-0000-0000DE000000}"/>
    <cellStyle name="Comma 11 2 3" xfId="222" xr:uid="{00000000-0005-0000-0000-0000DF000000}"/>
    <cellStyle name="Comma 11 2 4" xfId="223" xr:uid="{00000000-0005-0000-0000-0000E0000000}"/>
    <cellStyle name="Comma 11 3" xfId="224" xr:uid="{00000000-0005-0000-0000-0000E1000000}"/>
    <cellStyle name="Comma 11 3 2" xfId="225" xr:uid="{00000000-0005-0000-0000-0000E2000000}"/>
    <cellStyle name="Comma 11 3 3" xfId="226" xr:uid="{00000000-0005-0000-0000-0000E3000000}"/>
    <cellStyle name="Comma 11 4" xfId="227" xr:uid="{00000000-0005-0000-0000-0000E4000000}"/>
    <cellStyle name="Comma 11 4 2" xfId="228" xr:uid="{00000000-0005-0000-0000-0000E5000000}"/>
    <cellStyle name="Comma 11 4 3" xfId="229" xr:uid="{00000000-0005-0000-0000-0000E6000000}"/>
    <cellStyle name="Comma 11 5" xfId="230" xr:uid="{00000000-0005-0000-0000-0000E7000000}"/>
    <cellStyle name="Comma 11 5 2" xfId="231" xr:uid="{00000000-0005-0000-0000-0000E8000000}"/>
    <cellStyle name="Comma 11 5 3" xfId="232" xr:uid="{00000000-0005-0000-0000-0000E9000000}"/>
    <cellStyle name="Comma 11 6" xfId="233" xr:uid="{00000000-0005-0000-0000-0000EA000000}"/>
    <cellStyle name="Comma 11 6 2" xfId="234" xr:uid="{00000000-0005-0000-0000-0000EB000000}"/>
    <cellStyle name="Comma 11 6 3" xfId="235" xr:uid="{00000000-0005-0000-0000-0000EC000000}"/>
    <cellStyle name="Comma 11 7" xfId="236" xr:uid="{00000000-0005-0000-0000-0000ED000000}"/>
    <cellStyle name="Comma 11 8" xfId="237" xr:uid="{00000000-0005-0000-0000-0000EE000000}"/>
    <cellStyle name="Comma 11_LOT 1.2 - MITYANA GH(1) 08-08-12" xfId="238" xr:uid="{00000000-0005-0000-0000-0000EF000000}"/>
    <cellStyle name="Comma 12" xfId="239" xr:uid="{00000000-0005-0000-0000-0000F0000000}"/>
    <cellStyle name="Comma 12 2" xfId="240" xr:uid="{00000000-0005-0000-0000-0000F1000000}"/>
    <cellStyle name="Comma 12 2 2" xfId="241" xr:uid="{00000000-0005-0000-0000-0000F2000000}"/>
    <cellStyle name="Comma 12 2 3" xfId="242" xr:uid="{00000000-0005-0000-0000-0000F3000000}"/>
    <cellStyle name="Comma 12 3" xfId="243" xr:uid="{00000000-0005-0000-0000-0000F4000000}"/>
    <cellStyle name="Comma 12 3 2" xfId="244" xr:uid="{00000000-0005-0000-0000-0000F5000000}"/>
    <cellStyle name="Comma 12 3 3" xfId="245" xr:uid="{00000000-0005-0000-0000-0000F6000000}"/>
    <cellStyle name="Comma 12 4" xfId="246" xr:uid="{00000000-0005-0000-0000-0000F7000000}"/>
    <cellStyle name="Comma 12 4 2" xfId="247" xr:uid="{00000000-0005-0000-0000-0000F8000000}"/>
    <cellStyle name="Comma 12 4 3" xfId="248" xr:uid="{00000000-0005-0000-0000-0000F9000000}"/>
    <cellStyle name="Comma 12 5" xfId="249" xr:uid="{00000000-0005-0000-0000-0000FA000000}"/>
    <cellStyle name="Comma 12 5 2" xfId="250" xr:uid="{00000000-0005-0000-0000-0000FB000000}"/>
    <cellStyle name="Comma 12 5 3" xfId="251" xr:uid="{00000000-0005-0000-0000-0000FC000000}"/>
    <cellStyle name="Comma 12 6" xfId="252" xr:uid="{00000000-0005-0000-0000-0000FD000000}"/>
    <cellStyle name="Comma 12 6 2" xfId="253" xr:uid="{00000000-0005-0000-0000-0000FE000000}"/>
    <cellStyle name="Comma 12 6 3" xfId="254" xr:uid="{00000000-0005-0000-0000-0000FF000000}"/>
    <cellStyle name="Comma 12 7" xfId="255" xr:uid="{00000000-0005-0000-0000-000000010000}"/>
    <cellStyle name="Comma 12 8" xfId="256" xr:uid="{00000000-0005-0000-0000-000001010000}"/>
    <cellStyle name="Comma 12 9" xfId="257" xr:uid="{00000000-0005-0000-0000-000002010000}"/>
    <cellStyle name="Comma 13" xfId="258" xr:uid="{00000000-0005-0000-0000-000003010000}"/>
    <cellStyle name="Comma 13 2" xfId="259" xr:uid="{00000000-0005-0000-0000-000004010000}"/>
    <cellStyle name="Comma 13 2 2" xfId="260" xr:uid="{00000000-0005-0000-0000-000005010000}"/>
    <cellStyle name="Comma 13 2 3" xfId="261" xr:uid="{00000000-0005-0000-0000-000006010000}"/>
    <cellStyle name="Comma 13 3" xfId="262" xr:uid="{00000000-0005-0000-0000-000007010000}"/>
    <cellStyle name="Comma 13 3 2" xfId="263" xr:uid="{00000000-0005-0000-0000-000008010000}"/>
    <cellStyle name="Comma 13 3 3" xfId="264" xr:uid="{00000000-0005-0000-0000-000009010000}"/>
    <cellStyle name="Comma 13 4" xfId="265" xr:uid="{00000000-0005-0000-0000-00000A010000}"/>
    <cellStyle name="Comma 13 4 2" xfId="266" xr:uid="{00000000-0005-0000-0000-00000B010000}"/>
    <cellStyle name="Comma 13 4 3" xfId="267" xr:uid="{00000000-0005-0000-0000-00000C010000}"/>
    <cellStyle name="Comma 13 5" xfId="268" xr:uid="{00000000-0005-0000-0000-00000D010000}"/>
    <cellStyle name="Comma 13 5 2" xfId="269" xr:uid="{00000000-0005-0000-0000-00000E010000}"/>
    <cellStyle name="Comma 13 5 3" xfId="270" xr:uid="{00000000-0005-0000-0000-00000F010000}"/>
    <cellStyle name="Comma 13 6" xfId="271" xr:uid="{00000000-0005-0000-0000-000010010000}"/>
    <cellStyle name="Comma 13 6 2" xfId="272" xr:uid="{00000000-0005-0000-0000-000011010000}"/>
    <cellStyle name="Comma 13 6 3" xfId="273" xr:uid="{00000000-0005-0000-0000-000012010000}"/>
    <cellStyle name="Comma 13 7" xfId="274" xr:uid="{00000000-0005-0000-0000-000013010000}"/>
    <cellStyle name="Comma 13 8" xfId="275" xr:uid="{00000000-0005-0000-0000-000014010000}"/>
    <cellStyle name="Comma 13 9" xfId="276" xr:uid="{00000000-0005-0000-0000-000015010000}"/>
    <cellStyle name="Comma 14" xfId="277" xr:uid="{00000000-0005-0000-0000-000016010000}"/>
    <cellStyle name="Comma 14 2" xfId="278" xr:uid="{00000000-0005-0000-0000-000017010000}"/>
    <cellStyle name="Comma 14 2 2" xfId="279" xr:uid="{00000000-0005-0000-0000-000018010000}"/>
    <cellStyle name="Comma 14 2 3" xfId="280" xr:uid="{00000000-0005-0000-0000-000019010000}"/>
    <cellStyle name="Comma 14 3" xfId="281" xr:uid="{00000000-0005-0000-0000-00001A010000}"/>
    <cellStyle name="Comma 14 3 2" xfId="282" xr:uid="{00000000-0005-0000-0000-00001B010000}"/>
    <cellStyle name="Comma 14 3 3" xfId="283" xr:uid="{00000000-0005-0000-0000-00001C010000}"/>
    <cellStyle name="Comma 14 4" xfId="284" xr:uid="{00000000-0005-0000-0000-00001D010000}"/>
    <cellStyle name="Comma 14 4 2" xfId="285" xr:uid="{00000000-0005-0000-0000-00001E010000}"/>
    <cellStyle name="Comma 14 4 3" xfId="286" xr:uid="{00000000-0005-0000-0000-00001F010000}"/>
    <cellStyle name="Comma 14 5" xfId="287" xr:uid="{00000000-0005-0000-0000-000020010000}"/>
    <cellStyle name="Comma 14 5 2" xfId="288" xr:uid="{00000000-0005-0000-0000-000021010000}"/>
    <cellStyle name="Comma 14 5 3" xfId="289" xr:uid="{00000000-0005-0000-0000-000022010000}"/>
    <cellStyle name="Comma 14 6" xfId="290" xr:uid="{00000000-0005-0000-0000-000023010000}"/>
    <cellStyle name="Comma 14 6 2" xfId="291" xr:uid="{00000000-0005-0000-0000-000024010000}"/>
    <cellStyle name="Comma 14 6 3" xfId="292" xr:uid="{00000000-0005-0000-0000-000025010000}"/>
    <cellStyle name="Comma 14 7" xfId="293" xr:uid="{00000000-0005-0000-0000-000026010000}"/>
    <cellStyle name="Comma 14 8" xfId="294" xr:uid="{00000000-0005-0000-0000-000027010000}"/>
    <cellStyle name="Comma 14 9" xfId="295" xr:uid="{00000000-0005-0000-0000-000028010000}"/>
    <cellStyle name="Comma 15" xfId="296" xr:uid="{00000000-0005-0000-0000-000029010000}"/>
    <cellStyle name="Comma 15 2" xfId="297" xr:uid="{00000000-0005-0000-0000-00002A010000}"/>
    <cellStyle name="Comma 15 2 2" xfId="298" xr:uid="{00000000-0005-0000-0000-00002B010000}"/>
    <cellStyle name="Comma 15 2 3" xfId="299" xr:uid="{00000000-0005-0000-0000-00002C010000}"/>
    <cellStyle name="Comma 15 2 4" xfId="300" xr:uid="{00000000-0005-0000-0000-00002D010000}"/>
    <cellStyle name="Comma 15 2 5" xfId="301" xr:uid="{00000000-0005-0000-0000-00002E010000}"/>
    <cellStyle name="Comma 15 3" xfId="302" xr:uid="{00000000-0005-0000-0000-00002F010000}"/>
    <cellStyle name="Comma 15 3 2" xfId="303" xr:uid="{00000000-0005-0000-0000-000030010000}"/>
    <cellStyle name="Comma 15 3 3" xfId="304" xr:uid="{00000000-0005-0000-0000-000031010000}"/>
    <cellStyle name="Comma 15 4" xfId="305" xr:uid="{00000000-0005-0000-0000-000032010000}"/>
    <cellStyle name="Comma 15 4 2" xfId="306" xr:uid="{00000000-0005-0000-0000-000033010000}"/>
    <cellStyle name="Comma 15 4 3" xfId="307" xr:uid="{00000000-0005-0000-0000-000034010000}"/>
    <cellStyle name="Comma 15 5" xfId="308" xr:uid="{00000000-0005-0000-0000-000035010000}"/>
    <cellStyle name="Comma 15 5 2" xfId="309" xr:uid="{00000000-0005-0000-0000-000036010000}"/>
    <cellStyle name="Comma 15 5 3" xfId="310" xr:uid="{00000000-0005-0000-0000-000037010000}"/>
    <cellStyle name="Comma 15 6" xfId="311" xr:uid="{00000000-0005-0000-0000-000038010000}"/>
    <cellStyle name="Comma 15 6 2" xfId="312" xr:uid="{00000000-0005-0000-0000-000039010000}"/>
    <cellStyle name="Comma 15 6 3" xfId="313" xr:uid="{00000000-0005-0000-0000-00003A010000}"/>
    <cellStyle name="Comma 15 7" xfId="314" xr:uid="{00000000-0005-0000-0000-00003B010000}"/>
    <cellStyle name="Comma 15 8" xfId="315" xr:uid="{00000000-0005-0000-0000-00003C010000}"/>
    <cellStyle name="Comma 15 9" xfId="316" xr:uid="{00000000-0005-0000-0000-00003D010000}"/>
    <cellStyle name="Comma 15_LOT 1.2 - MITYANA GH(1) 08-08-12" xfId="317" xr:uid="{00000000-0005-0000-0000-00003E010000}"/>
    <cellStyle name="Comma 16" xfId="318" xr:uid="{00000000-0005-0000-0000-00003F010000}"/>
    <cellStyle name="Comma 16 2" xfId="319" xr:uid="{00000000-0005-0000-0000-000040010000}"/>
    <cellStyle name="Comma 16 2 2" xfId="320" xr:uid="{00000000-0005-0000-0000-000041010000}"/>
    <cellStyle name="Comma 16 2 3" xfId="321" xr:uid="{00000000-0005-0000-0000-000042010000}"/>
    <cellStyle name="Comma 16 2 4" xfId="322" xr:uid="{00000000-0005-0000-0000-000043010000}"/>
    <cellStyle name="Comma 16 3" xfId="323" xr:uid="{00000000-0005-0000-0000-000044010000}"/>
    <cellStyle name="Comma 16 3 2" xfId="324" xr:uid="{00000000-0005-0000-0000-000045010000}"/>
    <cellStyle name="Comma 16 3 3" xfId="325" xr:uid="{00000000-0005-0000-0000-000046010000}"/>
    <cellStyle name="Comma 16 4" xfId="326" xr:uid="{00000000-0005-0000-0000-000047010000}"/>
    <cellStyle name="Comma 16 4 2" xfId="327" xr:uid="{00000000-0005-0000-0000-000048010000}"/>
    <cellStyle name="Comma 16 4 3" xfId="328" xr:uid="{00000000-0005-0000-0000-000049010000}"/>
    <cellStyle name="Comma 16 5" xfId="329" xr:uid="{00000000-0005-0000-0000-00004A010000}"/>
    <cellStyle name="Comma 16 5 2" xfId="330" xr:uid="{00000000-0005-0000-0000-00004B010000}"/>
    <cellStyle name="Comma 16 5 3" xfId="331" xr:uid="{00000000-0005-0000-0000-00004C010000}"/>
    <cellStyle name="Comma 16 6" xfId="332" xr:uid="{00000000-0005-0000-0000-00004D010000}"/>
    <cellStyle name="Comma 16 6 2" xfId="333" xr:uid="{00000000-0005-0000-0000-00004E010000}"/>
    <cellStyle name="Comma 16 6 3" xfId="334" xr:uid="{00000000-0005-0000-0000-00004F010000}"/>
    <cellStyle name="Comma 16 7" xfId="335" xr:uid="{00000000-0005-0000-0000-000050010000}"/>
    <cellStyle name="Comma 16 8" xfId="336" xr:uid="{00000000-0005-0000-0000-000051010000}"/>
    <cellStyle name="Comma 16 9" xfId="337" xr:uid="{00000000-0005-0000-0000-000052010000}"/>
    <cellStyle name="Comma 16_LOT 1.2 - MITYANA GH(1) 08-08-12" xfId="338" xr:uid="{00000000-0005-0000-0000-000053010000}"/>
    <cellStyle name="Comma 17" xfId="339" xr:uid="{00000000-0005-0000-0000-000054010000}"/>
    <cellStyle name="Comma 17 2" xfId="340" xr:uid="{00000000-0005-0000-0000-000055010000}"/>
    <cellStyle name="Comma 17 2 2" xfId="341" xr:uid="{00000000-0005-0000-0000-000056010000}"/>
    <cellStyle name="Comma 17 2 3" xfId="342" xr:uid="{00000000-0005-0000-0000-000057010000}"/>
    <cellStyle name="Comma 17 2 4" xfId="343" xr:uid="{00000000-0005-0000-0000-000058010000}"/>
    <cellStyle name="Comma 17 3" xfId="344" xr:uid="{00000000-0005-0000-0000-000059010000}"/>
    <cellStyle name="Comma 17 3 2" xfId="345" xr:uid="{00000000-0005-0000-0000-00005A010000}"/>
    <cellStyle name="Comma 17 3 3" xfId="346" xr:uid="{00000000-0005-0000-0000-00005B010000}"/>
    <cellStyle name="Comma 17 3 4" xfId="347" xr:uid="{00000000-0005-0000-0000-00005C010000}"/>
    <cellStyle name="Comma 17 4" xfId="348" xr:uid="{00000000-0005-0000-0000-00005D010000}"/>
    <cellStyle name="Comma 17 4 2" xfId="349" xr:uid="{00000000-0005-0000-0000-00005E010000}"/>
    <cellStyle name="Comma 17 4 3" xfId="350" xr:uid="{00000000-0005-0000-0000-00005F010000}"/>
    <cellStyle name="Comma 17 5" xfId="351" xr:uid="{00000000-0005-0000-0000-000060010000}"/>
    <cellStyle name="Comma 17 5 2" xfId="352" xr:uid="{00000000-0005-0000-0000-000061010000}"/>
    <cellStyle name="Comma 17 5 3" xfId="353" xr:uid="{00000000-0005-0000-0000-000062010000}"/>
    <cellStyle name="Comma 17 6" xfId="354" xr:uid="{00000000-0005-0000-0000-000063010000}"/>
    <cellStyle name="Comma 17 6 2" xfId="355" xr:uid="{00000000-0005-0000-0000-000064010000}"/>
    <cellStyle name="Comma 17 6 3" xfId="356" xr:uid="{00000000-0005-0000-0000-000065010000}"/>
    <cellStyle name="Comma 17 7" xfId="357" xr:uid="{00000000-0005-0000-0000-000066010000}"/>
    <cellStyle name="Comma 17 8" xfId="358" xr:uid="{00000000-0005-0000-0000-000067010000}"/>
    <cellStyle name="Comma 18" xfId="359" xr:uid="{00000000-0005-0000-0000-000068010000}"/>
    <cellStyle name="Comma 18 2" xfId="360" xr:uid="{00000000-0005-0000-0000-000069010000}"/>
    <cellStyle name="Comma 18 2 2" xfId="361" xr:uid="{00000000-0005-0000-0000-00006A010000}"/>
    <cellStyle name="Comma 18 2 3" xfId="362" xr:uid="{00000000-0005-0000-0000-00006B010000}"/>
    <cellStyle name="Comma 18 2 4" xfId="363" xr:uid="{00000000-0005-0000-0000-00006C010000}"/>
    <cellStyle name="Comma 18 3" xfId="364" xr:uid="{00000000-0005-0000-0000-00006D010000}"/>
    <cellStyle name="Comma 18 3 2" xfId="365" xr:uid="{00000000-0005-0000-0000-00006E010000}"/>
    <cellStyle name="Comma 18 3 3" xfId="366" xr:uid="{00000000-0005-0000-0000-00006F010000}"/>
    <cellStyle name="Comma 18 3 4" xfId="367" xr:uid="{00000000-0005-0000-0000-000070010000}"/>
    <cellStyle name="Comma 18 4" xfId="368" xr:uid="{00000000-0005-0000-0000-000071010000}"/>
    <cellStyle name="Comma 18 4 2" xfId="369" xr:uid="{00000000-0005-0000-0000-000072010000}"/>
    <cellStyle name="Comma 18 4 3" xfId="370" xr:uid="{00000000-0005-0000-0000-000073010000}"/>
    <cellStyle name="Comma 18 5" xfId="371" xr:uid="{00000000-0005-0000-0000-000074010000}"/>
    <cellStyle name="Comma 18 5 2" xfId="372" xr:uid="{00000000-0005-0000-0000-000075010000}"/>
    <cellStyle name="Comma 18 5 3" xfId="373" xr:uid="{00000000-0005-0000-0000-000076010000}"/>
    <cellStyle name="Comma 18 6" xfId="374" xr:uid="{00000000-0005-0000-0000-000077010000}"/>
    <cellStyle name="Comma 18 6 2" xfId="375" xr:uid="{00000000-0005-0000-0000-000078010000}"/>
    <cellStyle name="Comma 18 6 3" xfId="376" xr:uid="{00000000-0005-0000-0000-000079010000}"/>
    <cellStyle name="Comma 18 7" xfId="377" xr:uid="{00000000-0005-0000-0000-00007A010000}"/>
    <cellStyle name="Comma 18 8" xfId="378" xr:uid="{00000000-0005-0000-0000-00007B010000}"/>
    <cellStyle name="Comma 19" xfId="379" xr:uid="{00000000-0005-0000-0000-00007C010000}"/>
    <cellStyle name="Comma 19 2" xfId="380" xr:uid="{00000000-0005-0000-0000-00007D010000}"/>
    <cellStyle name="Comma 19 2 2" xfId="381" xr:uid="{00000000-0005-0000-0000-00007E010000}"/>
    <cellStyle name="Comma 19 3" xfId="382" xr:uid="{00000000-0005-0000-0000-00007F010000}"/>
    <cellStyle name="Comma 19 4" xfId="383" xr:uid="{00000000-0005-0000-0000-000080010000}"/>
    <cellStyle name="Comma 19_LOT 1.2 - MITYANA GH(1) 08-08-12" xfId="384" xr:uid="{00000000-0005-0000-0000-000081010000}"/>
    <cellStyle name="Comma 2" xfId="385" xr:uid="{00000000-0005-0000-0000-000082010000}"/>
    <cellStyle name="Comma 2 10" xfId="386" xr:uid="{00000000-0005-0000-0000-000083010000}"/>
    <cellStyle name="Comma 2 10 2" xfId="387" xr:uid="{00000000-0005-0000-0000-000084010000}"/>
    <cellStyle name="Comma 2 10 2 2" xfId="388" xr:uid="{00000000-0005-0000-0000-000085010000}"/>
    <cellStyle name="Comma 2 10 2 2 2" xfId="389" xr:uid="{00000000-0005-0000-0000-000086010000}"/>
    <cellStyle name="Comma 2 10 3" xfId="390" xr:uid="{00000000-0005-0000-0000-000087010000}"/>
    <cellStyle name="Comma 2 10 3 2" xfId="391" xr:uid="{00000000-0005-0000-0000-000088010000}"/>
    <cellStyle name="Comma 2 10 3 3" xfId="392" xr:uid="{00000000-0005-0000-0000-000089010000}"/>
    <cellStyle name="Comma 2 10 4" xfId="393" xr:uid="{00000000-0005-0000-0000-00008A010000}"/>
    <cellStyle name="Comma 2 10 4 2" xfId="394" xr:uid="{00000000-0005-0000-0000-00008B010000}"/>
    <cellStyle name="Comma 2 10 4 3" xfId="395" xr:uid="{00000000-0005-0000-0000-00008C010000}"/>
    <cellStyle name="Comma 2 10 5" xfId="396" xr:uid="{00000000-0005-0000-0000-00008D010000}"/>
    <cellStyle name="Comma 2 10 5 2" xfId="397" xr:uid="{00000000-0005-0000-0000-00008E010000}"/>
    <cellStyle name="Comma 2 10 5 3" xfId="398" xr:uid="{00000000-0005-0000-0000-00008F010000}"/>
    <cellStyle name="Comma 2 10 6" xfId="399" xr:uid="{00000000-0005-0000-0000-000090010000}"/>
    <cellStyle name="Comma 2 10 6 2" xfId="400" xr:uid="{00000000-0005-0000-0000-000091010000}"/>
    <cellStyle name="Comma 2 10 6 3" xfId="401" xr:uid="{00000000-0005-0000-0000-000092010000}"/>
    <cellStyle name="Comma 2 11" xfId="402" xr:uid="{00000000-0005-0000-0000-000093010000}"/>
    <cellStyle name="Comma 2 11 2" xfId="403" xr:uid="{00000000-0005-0000-0000-000094010000}"/>
    <cellStyle name="Comma 2 11 2 2" xfId="404" xr:uid="{00000000-0005-0000-0000-000095010000}"/>
    <cellStyle name="Comma 2 11 2 3" xfId="405" xr:uid="{00000000-0005-0000-0000-000096010000}"/>
    <cellStyle name="Comma 2 11 3" xfId="406" xr:uid="{00000000-0005-0000-0000-000097010000}"/>
    <cellStyle name="Comma 2 11 3 2" xfId="407" xr:uid="{00000000-0005-0000-0000-000098010000}"/>
    <cellStyle name="Comma 2 11 3 3" xfId="408" xr:uid="{00000000-0005-0000-0000-000099010000}"/>
    <cellStyle name="Comma 2 11 4" xfId="409" xr:uid="{00000000-0005-0000-0000-00009A010000}"/>
    <cellStyle name="Comma 2 11 4 2" xfId="410" xr:uid="{00000000-0005-0000-0000-00009B010000}"/>
    <cellStyle name="Comma 2 11 4 3" xfId="411" xr:uid="{00000000-0005-0000-0000-00009C010000}"/>
    <cellStyle name="Comma 2 11 5" xfId="412" xr:uid="{00000000-0005-0000-0000-00009D010000}"/>
    <cellStyle name="Comma 2 11 5 2" xfId="413" xr:uid="{00000000-0005-0000-0000-00009E010000}"/>
    <cellStyle name="Comma 2 11 5 3" xfId="414" xr:uid="{00000000-0005-0000-0000-00009F010000}"/>
    <cellStyle name="Comma 2 11 6" xfId="415" xr:uid="{00000000-0005-0000-0000-0000A0010000}"/>
    <cellStyle name="Comma 2 11 6 2" xfId="416" xr:uid="{00000000-0005-0000-0000-0000A1010000}"/>
    <cellStyle name="Comma 2 11 6 3" xfId="417" xr:uid="{00000000-0005-0000-0000-0000A2010000}"/>
    <cellStyle name="Comma 2 11 7" xfId="418" xr:uid="{00000000-0005-0000-0000-0000A3010000}"/>
    <cellStyle name="Comma 2 11 8" xfId="419" xr:uid="{00000000-0005-0000-0000-0000A4010000}"/>
    <cellStyle name="Comma 2 12" xfId="420" xr:uid="{00000000-0005-0000-0000-0000A5010000}"/>
    <cellStyle name="Comma 2 12 2" xfId="421" xr:uid="{00000000-0005-0000-0000-0000A6010000}"/>
    <cellStyle name="Comma 2 12 3" xfId="422" xr:uid="{00000000-0005-0000-0000-0000A7010000}"/>
    <cellStyle name="Comma 2 12 4" xfId="423" xr:uid="{00000000-0005-0000-0000-0000A8010000}"/>
    <cellStyle name="Comma 2 12 5" xfId="424" xr:uid="{00000000-0005-0000-0000-0000A9010000}"/>
    <cellStyle name="Comma 2 12 6" xfId="425" xr:uid="{00000000-0005-0000-0000-0000AA010000}"/>
    <cellStyle name="Comma 2 12 7" xfId="426" xr:uid="{00000000-0005-0000-0000-0000AB010000}"/>
    <cellStyle name="Comma 2 13" xfId="427" xr:uid="{00000000-0005-0000-0000-0000AC010000}"/>
    <cellStyle name="Comma 2 13 2" xfId="428" xr:uid="{00000000-0005-0000-0000-0000AD010000}"/>
    <cellStyle name="Comma 2 13 3" xfId="429" xr:uid="{00000000-0005-0000-0000-0000AE010000}"/>
    <cellStyle name="Comma 2 13 4" xfId="430" xr:uid="{00000000-0005-0000-0000-0000AF010000}"/>
    <cellStyle name="Comma 2 14" xfId="431" xr:uid="{00000000-0005-0000-0000-0000B0010000}"/>
    <cellStyle name="Comma 2 14 2" xfId="432" xr:uid="{00000000-0005-0000-0000-0000B1010000}"/>
    <cellStyle name="Comma 2 14 3" xfId="433" xr:uid="{00000000-0005-0000-0000-0000B2010000}"/>
    <cellStyle name="Comma 2 14 4" xfId="434" xr:uid="{00000000-0005-0000-0000-0000B3010000}"/>
    <cellStyle name="Comma 2 15" xfId="435" xr:uid="{00000000-0005-0000-0000-0000B4010000}"/>
    <cellStyle name="Comma 2 15 2" xfId="436" xr:uid="{00000000-0005-0000-0000-0000B5010000}"/>
    <cellStyle name="Comma 2 15 3" xfId="437" xr:uid="{00000000-0005-0000-0000-0000B6010000}"/>
    <cellStyle name="Comma 2 15 4" xfId="438" xr:uid="{00000000-0005-0000-0000-0000B7010000}"/>
    <cellStyle name="Comma 2 16" xfId="439" xr:uid="{00000000-0005-0000-0000-0000B8010000}"/>
    <cellStyle name="Comma 2 16 2" xfId="440" xr:uid="{00000000-0005-0000-0000-0000B9010000}"/>
    <cellStyle name="Comma 2 16 3" xfId="441" xr:uid="{00000000-0005-0000-0000-0000BA010000}"/>
    <cellStyle name="Comma 2 16 4" xfId="442" xr:uid="{00000000-0005-0000-0000-0000BB010000}"/>
    <cellStyle name="Comma 2 17" xfId="443" xr:uid="{00000000-0005-0000-0000-0000BC010000}"/>
    <cellStyle name="Comma 2 17 2" xfId="444" xr:uid="{00000000-0005-0000-0000-0000BD010000}"/>
    <cellStyle name="Comma 2 18" xfId="445" xr:uid="{00000000-0005-0000-0000-0000BE010000}"/>
    <cellStyle name="Comma 2 18 2" xfId="446" xr:uid="{00000000-0005-0000-0000-0000BF010000}"/>
    <cellStyle name="Comma 2 19" xfId="447" xr:uid="{00000000-0005-0000-0000-0000C0010000}"/>
    <cellStyle name="Comma 2 19 2" xfId="448" xr:uid="{00000000-0005-0000-0000-0000C1010000}"/>
    <cellStyle name="Comma 2 2" xfId="449" xr:uid="{00000000-0005-0000-0000-0000C2010000}"/>
    <cellStyle name="Comma 2 2 2" xfId="450" xr:uid="{00000000-0005-0000-0000-0000C3010000}"/>
    <cellStyle name="Comma 2 2 2 2" xfId="451" xr:uid="{00000000-0005-0000-0000-0000C4010000}"/>
    <cellStyle name="Comma 2 2 2 2 2" xfId="452" xr:uid="{00000000-0005-0000-0000-0000C5010000}"/>
    <cellStyle name="Comma 2 2 2 3" xfId="453" xr:uid="{00000000-0005-0000-0000-0000C6010000}"/>
    <cellStyle name="Comma 2 2 3" xfId="454" xr:uid="{00000000-0005-0000-0000-0000C7010000}"/>
    <cellStyle name="Comma 2 2 3 2" xfId="455" xr:uid="{00000000-0005-0000-0000-0000C8010000}"/>
    <cellStyle name="Comma 2 2 3 3" xfId="456" xr:uid="{00000000-0005-0000-0000-0000C9010000}"/>
    <cellStyle name="Comma 2 2 4" xfId="457" xr:uid="{00000000-0005-0000-0000-0000CA010000}"/>
    <cellStyle name="Comma 2 2 4 2" xfId="458" xr:uid="{00000000-0005-0000-0000-0000CB010000}"/>
    <cellStyle name="Comma 2 2 4 3" xfId="459" xr:uid="{00000000-0005-0000-0000-0000CC010000}"/>
    <cellStyle name="Comma 2 2 4 4" xfId="460" xr:uid="{00000000-0005-0000-0000-0000CD010000}"/>
    <cellStyle name="Comma 2 2 5" xfId="461" xr:uid="{00000000-0005-0000-0000-0000CE010000}"/>
    <cellStyle name="Comma 2 2 5 2" xfId="462" xr:uid="{00000000-0005-0000-0000-0000CF010000}"/>
    <cellStyle name="Comma 2 2 5 3" xfId="463" xr:uid="{00000000-0005-0000-0000-0000D0010000}"/>
    <cellStyle name="Comma 2 2 6" xfId="464" xr:uid="{00000000-0005-0000-0000-0000D1010000}"/>
    <cellStyle name="Comma 2 2 6 2" xfId="465" xr:uid="{00000000-0005-0000-0000-0000D2010000}"/>
    <cellStyle name="Comma 2 2 6 3" xfId="466" xr:uid="{00000000-0005-0000-0000-0000D3010000}"/>
    <cellStyle name="Comma 2 2 7" xfId="467" xr:uid="{00000000-0005-0000-0000-0000D4010000}"/>
    <cellStyle name="Comma 2 2 7 2" xfId="468" xr:uid="{00000000-0005-0000-0000-0000D5010000}"/>
    <cellStyle name="Comma 2 2 7 3" xfId="469" xr:uid="{00000000-0005-0000-0000-0000D6010000}"/>
    <cellStyle name="Comma 2 2 8" xfId="470" xr:uid="{00000000-0005-0000-0000-0000D7010000}"/>
    <cellStyle name="Comma 2 20" xfId="471" xr:uid="{00000000-0005-0000-0000-0000D8010000}"/>
    <cellStyle name="Comma 2 20 2" xfId="472" xr:uid="{00000000-0005-0000-0000-0000D9010000}"/>
    <cellStyle name="Comma 2 21" xfId="473" xr:uid="{00000000-0005-0000-0000-0000DA010000}"/>
    <cellStyle name="Comma 2 22" xfId="474" xr:uid="{00000000-0005-0000-0000-0000DB010000}"/>
    <cellStyle name="Comma 2 23" xfId="475" xr:uid="{00000000-0005-0000-0000-0000DC010000}"/>
    <cellStyle name="Comma 2 24" xfId="476" xr:uid="{00000000-0005-0000-0000-0000DD010000}"/>
    <cellStyle name="Comma 2 25" xfId="477" xr:uid="{00000000-0005-0000-0000-0000DE010000}"/>
    <cellStyle name="Comma 2 26" xfId="478" xr:uid="{00000000-0005-0000-0000-0000DF010000}"/>
    <cellStyle name="Comma 2 27" xfId="479" xr:uid="{00000000-0005-0000-0000-0000E0010000}"/>
    <cellStyle name="Comma 2 28" xfId="480" xr:uid="{00000000-0005-0000-0000-0000E1010000}"/>
    <cellStyle name="Comma 2 29" xfId="3051" xr:uid="{00000000-0005-0000-0000-0000E2010000}"/>
    <cellStyle name="Comma 2 3" xfId="481" xr:uid="{00000000-0005-0000-0000-0000E3010000}"/>
    <cellStyle name="Comma 2 3 2" xfId="482" xr:uid="{00000000-0005-0000-0000-0000E4010000}"/>
    <cellStyle name="Comma 2 3 2 2" xfId="483" xr:uid="{00000000-0005-0000-0000-0000E5010000}"/>
    <cellStyle name="Comma 2 3 2 3" xfId="484" xr:uid="{00000000-0005-0000-0000-0000E6010000}"/>
    <cellStyle name="Comma 2 3 2 4" xfId="485" xr:uid="{00000000-0005-0000-0000-0000E7010000}"/>
    <cellStyle name="Comma 2 3 3" xfId="486" xr:uid="{00000000-0005-0000-0000-0000E8010000}"/>
    <cellStyle name="Comma 2 3 3 2" xfId="487" xr:uid="{00000000-0005-0000-0000-0000E9010000}"/>
    <cellStyle name="Comma 2 3 3 3" xfId="488" xr:uid="{00000000-0005-0000-0000-0000EA010000}"/>
    <cellStyle name="Comma 2 3 4" xfId="489" xr:uid="{00000000-0005-0000-0000-0000EB010000}"/>
    <cellStyle name="Comma 2 3 4 2" xfId="490" xr:uid="{00000000-0005-0000-0000-0000EC010000}"/>
    <cellStyle name="Comma 2 3 4 3" xfId="491" xr:uid="{00000000-0005-0000-0000-0000ED010000}"/>
    <cellStyle name="Comma 2 3 5" xfId="492" xr:uid="{00000000-0005-0000-0000-0000EE010000}"/>
    <cellStyle name="Comma 2 3 5 2" xfId="493" xr:uid="{00000000-0005-0000-0000-0000EF010000}"/>
    <cellStyle name="Comma 2 3 5 3" xfId="494" xr:uid="{00000000-0005-0000-0000-0000F0010000}"/>
    <cellStyle name="Comma 2 3 6" xfId="495" xr:uid="{00000000-0005-0000-0000-0000F1010000}"/>
    <cellStyle name="Comma 2 3 6 2" xfId="496" xr:uid="{00000000-0005-0000-0000-0000F2010000}"/>
    <cellStyle name="Comma 2 3 6 3" xfId="497" xr:uid="{00000000-0005-0000-0000-0000F3010000}"/>
    <cellStyle name="Comma 2 3 7" xfId="498" xr:uid="{00000000-0005-0000-0000-0000F4010000}"/>
    <cellStyle name="Comma 2 3 8" xfId="499" xr:uid="{00000000-0005-0000-0000-0000F5010000}"/>
    <cellStyle name="Comma 2 3 9" xfId="500" xr:uid="{00000000-0005-0000-0000-0000F6010000}"/>
    <cellStyle name="Comma 2 4" xfId="501" xr:uid="{00000000-0005-0000-0000-0000F7010000}"/>
    <cellStyle name="Comma 2 4 2" xfId="502" xr:uid="{00000000-0005-0000-0000-0000F8010000}"/>
    <cellStyle name="Comma 2 4 2 2" xfId="503" xr:uid="{00000000-0005-0000-0000-0000F9010000}"/>
    <cellStyle name="Comma 2 4 2 3" xfId="504" xr:uid="{00000000-0005-0000-0000-0000FA010000}"/>
    <cellStyle name="Comma 2 4 3" xfId="505" xr:uid="{00000000-0005-0000-0000-0000FB010000}"/>
    <cellStyle name="Comma 2 4 3 2" xfId="506" xr:uid="{00000000-0005-0000-0000-0000FC010000}"/>
    <cellStyle name="Comma 2 4 3 3" xfId="507" xr:uid="{00000000-0005-0000-0000-0000FD010000}"/>
    <cellStyle name="Comma 2 4 4" xfId="508" xr:uid="{00000000-0005-0000-0000-0000FE010000}"/>
    <cellStyle name="Comma 2 4 4 2" xfId="509" xr:uid="{00000000-0005-0000-0000-0000FF010000}"/>
    <cellStyle name="Comma 2 4 4 3" xfId="510" xr:uid="{00000000-0005-0000-0000-000000020000}"/>
    <cellStyle name="Comma 2 4 5" xfId="511" xr:uid="{00000000-0005-0000-0000-000001020000}"/>
    <cellStyle name="Comma 2 4 5 2" xfId="512" xr:uid="{00000000-0005-0000-0000-000002020000}"/>
    <cellStyle name="Comma 2 4 5 3" xfId="513" xr:uid="{00000000-0005-0000-0000-000003020000}"/>
    <cellStyle name="Comma 2 4 6" xfId="514" xr:uid="{00000000-0005-0000-0000-000004020000}"/>
    <cellStyle name="Comma 2 4 6 2" xfId="515" xr:uid="{00000000-0005-0000-0000-000005020000}"/>
    <cellStyle name="Comma 2 4 6 3" xfId="516" xr:uid="{00000000-0005-0000-0000-000006020000}"/>
    <cellStyle name="Comma 2 4 7" xfId="517" xr:uid="{00000000-0005-0000-0000-000007020000}"/>
    <cellStyle name="Comma 2 4 8" xfId="518" xr:uid="{00000000-0005-0000-0000-000008020000}"/>
    <cellStyle name="Comma 2 5" xfId="519" xr:uid="{00000000-0005-0000-0000-000009020000}"/>
    <cellStyle name="Comma 2 5 2" xfId="520" xr:uid="{00000000-0005-0000-0000-00000A020000}"/>
    <cellStyle name="Comma 2 5 2 2" xfId="521" xr:uid="{00000000-0005-0000-0000-00000B020000}"/>
    <cellStyle name="Comma 2 5 2 3" xfId="522" xr:uid="{00000000-0005-0000-0000-00000C020000}"/>
    <cellStyle name="Comma 2 5 3" xfId="523" xr:uid="{00000000-0005-0000-0000-00000D020000}"/>
    <cellStyle name="Comma 2 5 3 2" xfId="524" xr:uid="{00000000-0005-0000-0000-00000E020000}"/>
    <cellStyle name="Comma 2 5 3 3" xfId="525" xr:uid="{00000000-0005-0000-0000-00000F020000}"/>
    <cellStyle name="Comma 2 5 4" xfId="526" xr:uid="{00000000-0005-0000-0000-000010020000}"/>
    <cellStyle name="Comma 2 5 4 2" xfId="527" xr:uid="{00000000-0005-0000-0000-000011020000}"/>
    <cellStyle name="Comma 2 5 4 3" xfId="528" xr:uid="{00000000-0005-0000-0000-000012020000}"/>
    <cellStyle name="Comma 2 5 5" xfId="529" xr:uid="{00000000-0005-0000-0000-000013020000}"/>
    <cellStyle name="Comma 2 5 5 2" xfId="530" xr:uid="{00000000-0005-0000-0000-000014020000}"/>
    <cellStyle name="Comma 2 5 5 3" xfId="531" xr:uid="{00000000-0005-0000-0000-000015020000}"/>
    <cellStyle name="Comma 2 5 6" xfId="532" xr:uid="{00000000-0005-0000-0000-000016020000}"/>
    <cellStyle name="Comma 2 5 6 2" xfId="533" xr:uid="{00000000-0005-0000-0000-000017020000}"/>
    <cellStyle name="Comma 2 5 6 3" xfId="534" xr:uid="{00000000-0005-0000-0000-000018020000}"/>
    <cellStyle name="Comma 2 5 7" xfId="535" xr:uid="{00000000-0005-0000-0000-000019020000}"/>
    <cellStyle name="Comma 2 5 8" xfId="536" xr:uid="{00000000-0005-0000-0000-00001A020000}"/>
    <cellStyle name="Comma 2 6" xfId="537" xr:uid="{00000000-0005-0000-0000-00001B020000}"/>
    <cellStyle name="Comma 2 6 2" xfId="538" xr:uid="{00000000-0005-0000-0000-00001C020000}"/>
    <cellStyle name="Comma 2 6 2 2" xfId="539" xr:uid="{00000000-0005-0000-0000-00001D020000}"/>
    <cellStyle name="Comma 2 6 2 3" xfId="540" xr:uid="{00000000-0005-0000-0000-00001E020000}"/>
    <cellStyle name="Comma 2 6 3" xfId="541" xr:uid="{00000000-0005-0000-0000-00001F020000}"/>
    <cellStyle name="Comma 2 6 3 2" xfId="542" xr:uid="{00000000-0005-0000-0000-000020020000}"/>
    <cellStyle name="Comma 2 6 3 3" xfId="543" xr:uid="{00000000-0005-0000-0000-000021020000}"/>
    <cellStyle name="Comma 2 6 4" xfId="544" xr:uid="{00000000-0005-0000-0000-000022020000}"/>
    <cellStyle name="Comma 2 6 4 2" xfId="545" xr:uid="{00000000-0005-0000-0000-000023020000}"/>
    <cellStyle name="Comma 2 6 4 3" xfId="546" xr:uid="{00000000-0005-0000-0000-000024020000}"/>
    <cellStyle name="Comma 2 6 5" xfId="547" xr:uid="{00000000-0005-0000-0000-000025020000}"/>
    <cellStyle name="Comma 2 6 5 2" xfId="548" xr:uid="{00000000-0005-0000-0000-000026020000}"/>
    <cellStyle name="Comma 2 6 5 3" xfId="549" xr:uid="{00000000-0005-0000-0000-000027020000}"/>
    <cellStyle name="Comma 2 6 6" xfId="550" xr:uid="{00000000-0005-0000-0000-000028020000}"/>
    <cellStyle name="Comma 2 6 6 2" xfId="551" xr:uid="{00000000-0005-0000-0000-000029020000}"/>
    <cellStyle name="Comma 2 6 6 3" xfId="552" xr:uid="{00000000-0005-0000-0000-00002A020000}"/>
    <cellStyle name="Comma 2 6 7" xfId="553" xr:uid="{00000000-0005-0000-0000-00002B020000}"/>
    <cellStyle name="Comma 2 6 8" xfId="554" xr:uid="{00000000-0005-0000-0000-00002C020000}"/>
    <cellStyle name="Comma 2 7" xfId="555" xr:uid="{00000000-0005-0000-0000-00002D020000}"/>
    <cellStyle name="Comma 2 7 2" xfId="556" xr:uid="{00000000-0005-0000-0000-00002E020000}"/>
    <cellStyle name="Comma 2 7 2 2" xfId="557" xr:uid="{00000000-0005-0000-0000-00002F020000}"/>
    <cellStyle name="Comma 2 7 2 3" xfId="558" xr:uid="{00000000-0005-0000-0000-000030020000}"/>
    <cellStyle name="Comma 2 7 3" xfId="559" xr:uid="{00000000-0005-0000-0000-000031020000}"/>
    <cellStyle name="Comma 2 7 3 2" xfId="560" xr:uid="{00000000-0005-0000-0000-000032020000}"/>
    <cellStyle name="Comma 2 7 3 3" xfId="561" xr:uid="{00000000-0005-0000-0000-000033020000}"/>
    <cellStyle name="Comma 2 7 4" xfId="562" xr:uid="{00000000-0005-0000-0000-000034020000}"/>
    <cellStyle name="Comma 2 7 4 2" xfId="563" xr:uid="{00000000-0005-0000-0000-000035020000}"/>
    <cellStyle name="Comma 2 7 4 3" xfId="564" xr:uid="{00000000-0005-0000-0000-000036020000}"/>
    <cellStyle name="Comma 2 7 5" xfId="565" xr:uid="{00000000-0005-0000-0000-000037020000}"/>
    <cellStyle name="Comma 2 7 5 2" xfId="566" xr:uid="{00000000-0005-0000-0000-000038020000}"/>
    <cellStyle name="Comma 2 7 5 3" xfId="567" xr:uid="{00000000-0005-0000-0000-000039020000}"/>
    <cellStyle name="Comma 2 7 6" xfId="568" xr:uid="{00000000-0005-0000-0000-00003A020000}"/>
    <cellStyle name="Comma 2 7 6 2" xfId="569" xr:uid="{00000000-0005-0000-0000-00003B020000}"/>
    <cellStyle name="Comma 2 7 6 3" xfId="570" xr:uid="{00000000-0005-0000-0000-00003C020000}"/>
    <cellStyle name="Comma 2 7 7" xfId="571" xr:uid="{00000000-0005-0000-0000-00003D020000}"/>
    <cellStyle name="Comma 2 7 8" xfId="572" xr:uid="{00000000-0005-0000-0000-00003E020000}"/>
    <cellStyle name="Comma 2 8" xfId="573" xr:uid="{00000000-0005-0000-0000-00003F020000}"/>
    <cellStyle name="Comma 2 8 2" xfId="574" xr:uid="{00000000-0005-0000-0000-000040020000}"/>
    <cellStyle name="Comma 2 8 2 2" xfId="575" xr:uid="{00000000-0005-0000-0000-000041020000}"/>
    <cellStyle name="Comma 2 8 2 3" xfId="576" xr:uid="{00000000-0005-0000-0000-000042020000}"/>
    <cellStyle name="Comma 2 8 3" xfId="577" xr:uid="{00000000-0005-0000-0000-000043020000}"/>
    <cellStyle name="Comma 2 8 3 2" xfId="578" xr:uid="{00000000-0005-0000-0000-000044020000}"/>
    <cellStyle name="Comma 2 8 3 3" xfId="579" xr:uid="{00000000-0005-0000-0000-000045020000}"/>
    <cellStyle name="Comma 2 8 4" xfId="580" xr:uid="{00000000-0005-0000-0000-000046020000}"/>
    <cellStyle name="Comma 2 8 4 2" xfId="581" xr:uid="{00000000-0005-0000-0000-000047020000}"/>
    <cellStyle name="Comma 2 8 4 3" xfId="582" xr:uid="{00000000-0005-0000-0000-000048020000}"/>
    <cellStyle name="Comma 2 8 5" xfId="583" xr:uid="{00000000-0005-0000-0000-000049020000}"/>
    <cellStyle name="Comma 2 8 5 2" xfId="584" xr:uid="{00000000-0005-0000-0000-00004A020000}"/>
    <cellStyle name="Comma 2 8 5 3" xfId="585" xr:uid="{00000000-0005-0000-0000-00004B020000}"/>
    <cellStyle name="Comma 2 8 6" xfId="586" xr:uid="{00000000-0005-0000-0000-00004C020000}"/>
    <cellStyle name="Comma 2 8 6 2" xfId="587" xr:uid="{00000000-0005-0000-0000-00004D020000}"/>
    <cellStyle name="Comma 2 8 6 3" xfId="588" xr:uid="{00000000-0005-0000-0000-00004E020000}"/>
    <cellStyle name="Comma 2 8 7" xfId="589" xr:uid="{00000000-0005-0000-0000-00004F020000}"/>
    <cellStyle name="Comma 2 8 8" xfId="590" xr:uid="{00000000-0005-0000-0000-000050020000}"/>
    <cellStyle name="Comma 2 9" xfId="591" xr:uid="{00000000-0005-0000-0000-000051020000}"/>
    <cellStyle name="Comma 2 9 2" xfId="592" xr:uid="{00000000-0005-0000-0000-000052020000}"/>
    <cellStyle name="Comma 2 9 2 2" xfId="593" xr:uid="{00000000-0005-0000-0000-000053020000}"/>
    <cellStyle name="Comma 2 9 2 3" xfId="594" xr:uid="{00000000-0005-0000-0000-000054020000}"/>
    <cellStyle name="Comma 2 9 3" xfId="595" xr:uid="{00000000-0005-0000-0000-000055020000}"/>
    <cellStyle name="Comma 2 9 3 2" xfId="596" xr:uid="{00000000-0005-0000-0000-000056020000}"/>
    <cellStyle name="Comma 2 9 3 3" xfId="597" xr:uid="{00000000-0005-0000-0000-000057020000}"/>
    <cellStyle name="Comma 2 9 4" xfId="598" xr:uid="{00000000-0005-0000-0000-000058020000}"/>
    <cellStyle name="Comma 2 9 4 2" xfId="599" xr:uid="{00000000-0005-0000-0000-000059020000}"/>
    <cellStyle name="Comma 2 9 4 3" xfId="600" xr:uid="{00000000-0005-0000-0000-00005A020000}"/>
    <cellStyle name="Comma 2 9 5" xfId="601" xr:uid="{00000000-0005-0000-0000-00005B020000}"/>
    <cellStyle name="Comma 2 9 5 2" xfId="602" xr:uid="{00000000-0005-0000-0000-00005C020000}"/>
    <cellStyle name="Comma 2 9 5 3" xfId="603" xr:uid="{00000000-0005-0000-0000-00005D020000}"/>
    <cellStyle name="Comma 2 9 6" xfId="604" xr:uid="{00000000-0005-0000-0000-00005E020000}"/>
    <cellStyle name="Comma 2 9 6 2" xfId="605" xr:uid="{00000000-0005-0000-0000-00005F020000}"/>
    <cellStyle name="Comma 2 9 6 3" xfId="606" xr:uid="{00000000-0005-0000-0000-000060020000}"/>
    <cellStyle name="Comma 2 9 7" xfId="607" xr:uid="{00000000-0005-0000-0000-000061020000}"/>
    <cellStyle name="Comma 2 9 8" xfId="608" xr:uid="{00000000-0005-0000-0000-000062020000}"/>
    <cellStyle name="Comma 2_Electrical Boqs Phase 2" xfId="609" xr:uid="{00000000-0005-0000-0000-000063020000}"/>
    <cellStyle name="Comma 20" xfId="610" xr:uid="{00000000-0005-0000-0000-000064020000}"/>
    <cellStyle name="Comma 20 2" xfId="611" xr:uid="{00000000-0005-0000-0000-000065020000}"/>
    <cellStyle name="Comma 20 2 2" xfId="612" xr:uid="{00000000-0005-0000-0000-000066020000}"/>
    <cellStyle name="Comma 20 2 3" xfId="613" xr:uid="{00000000-0005-0000-0000-000067020000}"/>
    <cellStyle name="Comma 20 3" xfId="614" xr:uid="{00000000-0005-0000-0000-000068020000}"/>
    <cellStyle name="Comma 21" xfId="615" xr:uid="{00000000-0005-0000-0000-000069020000}"/>
    <cellStyle name="Comma 21 2" xfId="616" xr:uid="{00000000-0005-0000-0000-00006A020000}"/>
    <cellStyle name="Comma 21 3" xfId="617" xr:uid="{00000000-0005-0000-0000-00006B020000}"/>
    <cellStyle name="Comma 21 3 2" xfId="618" xr:uid="{00000000-0005-0000-0000-00006C020000}"/>
    <cellStyle name="Comma 22" xfId="619" xr:uid="{00000000-0005-0000-0000-00006D020000}"/>
    <cellStyle name="Comma 22 2" xfId="620" xr:uid="{00000000-0005-0000-0000-00006E020000}"/>
    <cellStyle name="Comma 22 3" xfId="621" xr:uid="{00000000-0005-0000-0000-00006F020000}"/>
    <cellStyle name="Comma 22 4" xfId="622" xr:uid="{00000000-0005-0000-0000-000070020000}"/>
    <cellStyle name="Comma 23" xfId="623" xr:uid="{00000000-0005-0000-0000-000071020000}"/>
    <cellStyle name="Comma 23 2" xfId="624" xr:uid="{00000000-0005-0000-0000-000072020000}"/>
    <cellStyle name="Comma 23 2 2" xfId="625" xr:uid="{00000000-0005-0000-0000-000073020000}"/>
    <cellStyle name="Comma 23 2 3" xfId="626" xr:uid="{00000000-0005-0000-0000-000074020000}"/>
    <cellStyle name="Comma 23 2 4" xfId="627" xr:uid="{00000000-0005-0000-0000-000075020000}"/>
    <cellStyle name="Comma 23 3" xfId="628" xr:uid="{00000000-0005-0000-0000-000076020000}"/>
    <cellStyle name="Comma 23 4" xfId="629" xr:uid="{00000000-0005-0000-0000-000077020000}"/>
    <cellStyle name="Comma 23 5" xfId="630" xr:uid="{00000000-0005-0000-0000-000078020000}"/>
    <cellStyle name="Comma 23_LOT 1.2 - MITYANA GH(1) 08-08-12" xfId="631" xr:uid="{00000000-0005-0000-0000-000079020000}"/>
    <cellStyle name="Comma 24" xfId="632" xr:uid="{00000000-0005-0000-0000-00007A020000}"/>
    <cellStyle name="Comma 24 2" xfId="633" xr:uid="{00000000-0005-0000-0000-00007B020000}"/>
    <cellStyle name="Comma 24 3" xfId="634" xr:uid="{00000000-0005-0000-0000-00007C020000}"/>
    <cellStyle name="Comma 24 3 2" xfId="635" xr:uid="{00000000-0005-0000-0000-00007D020000}"/>
    <cellStyle name="Comma 24 4" xfId="636" xr:uid="{00000000-0005-0000-0000-00007E020000}"/>
    <cellStyle name="Comma 24 4 2" xfId="637" xr:uid="{00000000-0005-0000-0000-00007F020000}"/>
    <cellStyle name="Comma 24 5" xfId="638" xr:uid="{00000000-0005-0000-0000-000080020000}"/>
    <cellStyle name="Comma 24 6" xfId="639" xr:uid="{00000000-0005-0000-0000-000081020000}"/>
    <cellStyle name="Comma 24 7" xfId="640" xr:uid="{00000000-0005-0000-0000-000082020000}"/>
    <cellStyle name="Comma 25" xfId="641" xr:uid="{00000000-0005-0000-0000-000083020000}"/>
    <cellStyle name="Comma 25 2" xfId="642" xr:uid="{00000000-0005-0000-0000-000084020000}"/>
    <cellStyle name="Comma 25 2 2" xfId="643" xr:uid="{00000000-0005-0000-0000-000085020000}"/>
    <cellStyle name="Comma 26" xfId="644" xr:uid="{00000000-0005-0000-0000-000086020000}"/>
    <cellStyle name="Comma 26 2" xfId="645" xr:uid="{00000000-0005-0000-0000-000087020000}"/>
    <cellStyle name="Comma 27" xfId="646" xr:uid="{00000000-0005-0000-0000-000088020000}"/>
    <cellStyle name="Comma 28" xfId="647" xr:uid="{00000000-0005-0000-0000-000089020000}"/>
    <cellStyle name="Comma 28 2" xfId="648" xr:uid="{00000000-0005-0000-0000-00008A020000}"/>
    <cellStyle name="Comma 29" xfId="649" xr:uid="{00000000-0005-0000-0000-00008B020000}"/>
    <cellStyle name="Comma 29 2" xfId="650" xr:uid="{00000000-0005-0000-0000-00008C020000}"/>
    <cellStyle name="Comma 29_LOT 1.2 - MITYANA GH(1) 08-08-12" xfId="651" xr:uid="{00000000-0005-0000-0000-00008D020000}"/>
    <cellStyle name="Comma 3" xfId="652" xr:uid="{00000000-0005-0000-0000-00008E020000}"/>
    <cellStyle name="Comma 3 10" xfId="653" xr:uid="{00000000-0005-0000-0000-00008F020000}"/>
    <cellStyle name="Comma 3 10 2" xfId="654" xr:uid="{00000000-0005-0000-0000-000090020000}"/>
    <cellStyle name="Comma 3 10 2 2" xfId="655" xr:uid="{00000000-0005-0000-0000-000091020000}"/>
    <cellStyle name="Comma 3 10 3" xfId="656" xr:uid="{00000000-0005-0000-0000-000092020000}"/>
    <cellStyle name="Comma 3 10 3 2" xfId="657" xr:uid="{00000000-0005-0000-0000-000093020000}"/>
    <cellStyle name="Comma 3 10 3 3" xfId="658" xr:uid="{00000000-0005-0000-0000-000094020000}"/>
    <cellStyle name="Comma 3 10 4" xfId="659" xr:uid="{00000000-0005-0000-0000-000095020000}"/>
    <cellStyle name="Comma 3 10 4 2" xfId="660" xr:uid="{00000000-0005-0000-0000-000096020000}"/>
    <cellStyle name="Comma 3 10 4 3" xfId="661" xr:uid="{00000000-0005-0000-0000-000097020000}"/>
    <cellStyle name="Comma 3 10 5" xfId="662" xr:uid="{00000000-0005-0000-0000-000098020000}"/>
    <cellStyle name="Comma 3 10 5 2" xfId="663" xr:uid="{00000000-0005-0000-0000-000099020000}"/>
    <cellStyle name="Comma 3 10 5 3" xfId="664" xr:uid="{00000000-0005-0000-0000-00009A020000}"/>
    <cellStyle name="Comma 3 10 6" xfId="665" xr:uid="{00000000-0005-0000-0000-00009B020000}"/>
    <cellStyle name="Comma 3 10 6 2" xfId="666" xr:uid="{00000000-0005-0000-0000-00009C020000}"/>
    <cellStyle name="Comma 3 10 6 3" xfId="667" xr:uid="{00000000-0005-0000-0000-00009D020000}"/>
    <cellStyle name="Comma 3 11" xfId="668" xr:uid="{00000000-0005-0000-0000-00009E020000}"/>
    <cellStyle name="Comma 3 11 2" xfId="669" xr:uid="{00000000-0005-0000-0000-00009F020000}"/>
    <cellStyle name="Comma 3 11 2 2" xfId="670" xr:uid="{00000000-0005-0000-0000-0000A0020000}"/>
    <cellStyle name="Comma 3 11 2 3" xfId="671" xr:uid="{00000000-0005-0000-0000-0000A1020000}"/>
    <cellStyle name="Comma 3 11 3" xfId="672" xr:uid="{00000000-0005-0000-0000-0000A2020000}"/>
    <cellStyle name="Comma 3 11 3 2" xfId="673" xr:uid="{00000000-0005-0000-0000-0000A3020000}"/>
    <cellStyle name="Comma 3 11 3 3" xfId="674" xr:uid="{00000000-0005-0000-0000-0000A4020000}"/>
    <cellStyle name="Comma 3 11 4" xfId="675" xr:uid="{00000000-0005-0000-0000-0000A5020000}"/>
    <cellStyle name="Comma 3 11 4 2" xfId="676" xr:uid="{00000000-0005-0000-0000-0000A6020000}"/>
    <cellStyle name="Comma 3 11 4 3" xfId="677" xr:uid="{00000000-0005-0000-0000-0000A7020000}"/>
    <cellStyle name="Comma 3 11 5" xfId="678" xr:uid="{00000000-0005-0000-0000-0000A8020000}"/>
    <cellStyle name="Comma 3 11 5 2" xfId="679" xr:uid="{00000000-0005-0000-0000-0000A9020000}"/>
    <cellStyle name="Comma 3 11 5 3" xfId="680" xr:uid="{00000000-0005-0000-0000-0000AA020000}"/>
    <cellStyle name="Comma 3 11 6" xfId="681" xr:uid="{00000000-0005-0000-0000-0000AB020000}"/>
    <cellStyle name="Comma 3 11 6 2" xfId="682" xr:uid="{00000000-0005-0000-0000-0000AC020000}"/>
    <cellStyle name="Comma 3 11 6 3" xfId="683" xr:uid="{00000000-0005-0000-0000-0000AD020000}"/>
    <cellStyle name="Comma 3 11 7" xfId="684" xr:uid="{00000000-0005-0000-0000-0000AE020000}"/>
    <cellStyle name="Comma 3 11 8" xfId="685" xr:uid="{00000000-0005-0000-0000-0000AF020000}"/>
    <cellStyle name="Comma 3 12" xfId="686" xr:uid="{00000000-0005-0000-0000-0000B0020000}"/>
    <cellStyle name="Comma 3 12 2" xfId="687" xr:uid="{00000000-0005-0000-0000-0000B1020000}"/>
    <cellStyle name="Comma 3 12 3" xfId="688" xr:uid="{00000000-0005-0000-0000-0000B2020000}"/>
    <cellStyle name="Comma 3 13" xfId="689" xr:uid="{00000000-0005-0000-0000-0000B3020000}"/>
    <cellStyle name="Comma 3 13 2" xfId="690" xr:uid="{00000000-0005-0000-0000-0000B4020000}"/>
    <cellStyle name="Comma 3 13 3" xfId="691" xr:uid="{00000000-0005-0000-0000-0000B5020000}"/>
    <cellStyle name="Comma 3 14" xfId="692" xr:uid="{00000000-0005-0000-0000-0000B6020000}"/>
    <cellStyle name="Comma 3 14 2" xfId="693" xr:uid="{00000000-0005-0000-0000-0000B7020000}"/>
    <cellStyle name="Comma 3 14 3" xfId="694" xr:uid="{00000000-0005-0000-0000-0000B8020000}"/>
    <cellStyle name="Comma 3 15" xfId="695" xr:uid="{00000000-0005-0000-0000-0000B9020000}"/>
    <cellStyle name="Comma 3 15 2" xfId="696" xr:uid="{00000000-0005-0000-0000-0000BA020000}"/>
    <cellStyle name="Comma 3 15 3" xfId="697" xr:uid="{00000000-0005-0000-0000-0000BB020000}"/>
    <cellStyle name="Comma 3 16" xfId="698" xr:uid="{00000000-0005-0000-0000-0000BC020000}"/>
    <cellStyle name="Comma 3 16 2" xfId="699" xr:uid="{00000000-0005-0000-0000-0000BD020000}"/>
    <cellStyle name="Comma 3 16 3" xfId="700" xr:uid="{00000000-0005-0000-0000-0000BE020000}"/>
    <cellStyle name="Comma 3 17" xfId="701" xr:uid="{00000000-0005-0000-0000-0000BF020000}"/>
    <cellStyle name="Comma 3 18" xfId="702" xr:uid="{00000000-0005-0000-0000-0000C0020000}"/>
    <cellStyle name="Comma 3 19" xfId="703" xr:uid="{00000000-0005-0000-0000-0000C1020000}"/>
    <cellStyle name="Comma 3 2" xfId="704" xr:uid="{00000000-0005-0000-0000-0000C2020000}"/>
    <cellStyle name="Comma 3 2 2" xfId="705" xr:uid="{00000000-0005-0000-0000-0000C3020000}"/>
    <cellStyle name="Comma 3 2 2 2" xfId="706" xr:uid="{00000000-0005-0000-0000-0000C4020000}"/>
    <cellStyle name="Comma 3 2 2 3" xfId="707" xr:uid="{00000000-0005-0000-0000-0000C5020000}"/>
    <cellStyle name="Comma 3 2 2 4" xfId="708" xr:uid="{00000000-0005-0000-0000-0000C6020000}"/>
    <cellStyle name="Comma 3 2 3" xfId="709" xr:uid="{00000000-0005-0000-0000-0000C7020000}"/>
    <cellStyle name="Comma 3 2 3 2" xfId="710" xr:uid="{00000000-0005-0000-0000-0000C8020000}"/>
    <cellStyle name="Comma 3 2 3 3" xfId="711" xr:uid="{00000000-0005-0000-0000-0000C9020000}"/>
    <cellStyle name="Comma 3 2 3 4" xfId="712" xr:uid="{00000000-0005-0000-0000-0000CA020000}"/>
    <cellStyle name="Comma 3 2 4" xfId="713" xr:uid="{00000000-0005-0000-0000-0000CB020000}"/>
    <cellStyle name="Comma 3 2 4 2" xfId="714" xr:uid="{00000000-0005-0000-0000-0000CC020000}"/>
    <cellStyle name="Comma 3 2 4 3" xfId="715" xr:uid="{00000000-0005-0000-0000-0000CD020000}"/>
    <cellStyle name="Comma 3 2 5" xfId="716" xr:uid="{00000000-0005-0000-0000-0000CE020000}"/>
    <cellStyle name="Comma 3 2 5 2" xfId="717" xr:uid="{00000000-0005-0000-0000-0000CF020000}"/>
    <cellStyle name="Comma 3 2 5 3" xfId="718" xr:uid="{00000000-0005-0000-0000-0000D0020000}"/>
    <cellStyle name="Comma 3 2 6" xfId="719" xr:uid="{00000000-0005-0000-0000-0000D1020000}"/>
    <cellStyle name="Comma 3 2 6 2" xfId="720" xr:uid="{00000000-0005-0000-0000-0000D2020000}"/>
    <cellStyle name="Comma 3 2 6 3" xfId="721" xr:uid="{00000000-0005-0000-0000-0000D3020000}"/>
    <cellStyle name="Comma 3 2 7" xfId="722" xr:uid="{00000000-0005-0000-0000-0000D4020000}"/>
    <cellStyle name="Comma 3 2 8" xfId="723" xr:uid="{00000000-0005-0000-0000-0000D5020000}"/>
    <cellStyle name="Comma 3 2 9" xfId="724" xr:uid="{00000000-0005-0000-0000-0000D6020000}"/>
    <cellStyle name="Comma 3 26" xfId="3048" xr:uid="{00000000-0005-0000-0000-0000D7020000}"/>
    <cellStyle name="Comma 3 3" xfId="725" xr:uid="{00000000-0005-0000-0000-0000D8020000}"/>
    <cellStyle name="Comma 3 3 2" xfId="726" xr:uid="{00000000-0005-0000-0000-0000D9020000}"/>
    <cellStyle name="Comma 3 3 2 2" xfId="727" xr:uid="{00000000-0005-0000-0000-0000DA020000}"/>
    <cellStyle name="Comma 3 3 2 3" xfId="728" xr:uid="{00000000-0005-0000-0000-0000DB020000}"/>
    <cellStyle name="Comma 3 3 3" xfId="729" xr:uid="{00000000-0005-0000-0000-0000DC020000}"/>
    <cellStyle name="Comma 3 3 3 2" xfId="730" xr:uid="{00000000-0005-0000-0000-0000DD020000}"/>
    <cellStyle name="Comma 3 3 3 3" xfId="731" xr:uid="{00000000-0005-0000-0000-0000DE020000}"/>
    <cellStyle name="Comma 3 3 4" xfId="732" xr:uid="{00000000-0005-0000-0000-0000DF020000}"/>
    <cellStyle name="Comma 3 3 4 2" xfId="733" xr:uid="{00000000-0005-0000-0000-0000E0020000}"/>
    <cellStyle name="Comma 3 3 4 3" xfId="734" xr:uid="{00000000-0005-0000-0000-0000E1020000}"/>
    <cellStyle name="Comma 3 3 5" xfId="735" xr:uid="{00000000-0005-0000-0000-0000E2020000}"/>
    <cellStyle name="Comma 3 3 5 2" xfId="736" xr:uid="{00000000-0005-0000-0000-0000E3020000}"/>
    <cellStyle name="Comma 3 3 5 3" xfId="737" xr:uid="{00000000-0005-0000-0000-0000E4020000}"/>
    <cellStyle name="Comma 3 3 6" xfId="738" xr:uid="{00000000-0005-0000-0000-0000E5020000}"/>
    <cellStyle name="Comma 3 3 6 2" xfId="739" xr:uid="{00000000-0005-0000-0000-0000E6020000}"/>
    <cellStyle name="Comma 3 3 6 3" xfId="740" xr:uid="{00000000-0005-0000-0000-0000E7020000}"/>
    <cellStyle name="Comma 3 3 7" xfId="741" xr:uid="{00000000-0005-0000-0000-0000E8020000}"/>
    <cellStyle name="Comma 3 3 8" xfId="742" xr:uid="{00000000-0005-0000-0000-0000E9020000}"/>
    <cellStyle name="Comma 3 4" xfId="743" xr:uid="{00000000-0005-0000-0000-0000EA020000}"/>
    <cellStyle name="Comma 3 4 2" xfId="744" xr:uid="{00000000-0005-0000-0000-0000EB020000}"/>
    <cellStyle name="Comma 3 4 2 2" xfId="745" xr:uid="{00000000-0005-0000-0000-0000EC020000}"/>
    <cellStyle name="Comma 3 4 2 3" xfId="746" xr:uid="{00000000-0005-0000-0000-0000ED020000}"/>
    <cellStyle name="Comma 3 4 3" xfId="747" xr:uid="{00000000-0005-0000-0000-0000EE020000}"/>
    <cellStyle name="Comma 3 4 3 2" xfId="748" xr:uid="{00000000-0005-0000-0000-0000EF020000}"/>
    <cellStyle name="Comma 3 4 3 3" xfId="749" xr:uid="{00000000-0005-0000-0000-0000F0020000}"/>
    <cellStyle name="Comma 3 4 4" xfId="750" xr:uid="{00000000-0005-0000-0000-0000F1020000}"/>
    <cellStyle name="Comma 3 4 4 2" xfId="751" xr:uid="{00000000-0005-0000-0000-0000F2020000}"/>
    <cellStyle name="Comma 3 4 4 3" xfId="752" xr:uid="{00000000-0005-0000-0000-0000F3020000}"/>
    <cellStyle name="Comma 3 4 5" xfId="753" xr:uid="{00000000-0005-0000-0000-0000F4020000}"/>
    <cellStyle name="Comma 3 4 5 2" xfId="754" xr:uid="{00000000-0005-0000-0000-0000F5020000}"/>
    <cellStyle name="Comma 3 4 5 3" xfId="755" xr:uid="{00000000-0005-0000-0000-0000F6020000}"/>
    <cellStyle name="Comma 3 4 6" xfId="756" xr:uid="{00000000-0005-0000-0000-0000F7020000}"/>
    <cellStyle name="Comma 3 4 6 2" xfId="757" xr:uid="{00000000-0005-0000-0000-0000F8020000}"/>
    <cellStyle name="Comma 3 4 6 3" xfId="758" xr:uid="{00000000-0005-0000-0000-0000F9020000}"/>
    <cellStyle name="Comma 3 4 7" xfId="759" xr:uid="{00000000-0005-0000-0000-0000FA020000}"/>
    <cellStyle name="Comma 3 4 8" xfId="760" xr:uid="{00000000-0005-0000-0000-0000FB020000}"/>
    <cellStyle name="Comma 3 5" xfId="761" xr:uid="{00000000-0005-0000-0000-0000FC020000}"/>
    <cellStyle name="Comma 3 5 2" xfId="762" xr:uid="{00000000-0005-0000-0000-0000FD020000}"/>
    <cellStyle name="Comma 3 5 2 2" xfId="763" xr:uid="{00000000-0005-0000-0000-0000FE020000}"/>
    <cellStyle name="Comma 3 5 2 3" xfId="764" xr:uid="{00000000-0005-0000-0000-0000FF020000}"/>
    <cellStyle name="Comma 3 5 3" xfId="765" xr:uid="{00000000-0005-0000-0000-000000030000}"/>
    <cellStyle name="Comma 3 5 3 2" xfId="766" xr:uid="{00000000-0005-0000-0000-000001030000}"/>
    <cellStyle name="Comma 3 5 3 3" xfId="767" xr:uid="{00000000-0005-0000-0000-000002030000}"/>
    <cellStyle name="Comma 3 5 4" xfId="768" xr:uid="{00000000-0005-0000-0000-000003030000}"/>
    <cellStyle name="Comma 3 5 4 2" xfId="769" xr:uid="{00000000-0005-0000-0000-000004030000}"/>
    <cellStyle name="Comma 3 5 4 3" xfId="770" xr:uid="{00000000-0005-0000-0000-000005030000}"/>
    <cellStyle name="Comma 3 5 5" xfId="771" xr:uid="{00000000-0005-0000-0000-000006030000}"/>
    <cellStyle name="Comma 3 5 5 2" xfId="772" xr:uid="{00000000-0005-0000-0000-000007030000}"/>
    <cellStyle name="Comma 3 5 5 3" xfId="773" xr:uid="{00000000-0005-0000-0000-000008030000}"/>
    <cellStyle name="Comma 3 5 6" xfId="774" xr:uid="{00000000-0005-0000-0000-000009030000}"/>
    <cellStyle name="Comma 3 5 6 2" xfId="775" xr:uid="{00000000-0005-0000-0000-00000A030000}"/>
    <cellStyle name="Comma 3 5 6 3" xfId="776" xr:uid="{00000000-0005-0000-0000-00000B030000}"/>
    <cellStyle name="Comma 3 5 7" xfId="777" xr:uid="{00000000-0005-0000-0000-00000C030000}"/>
    <cellStyle name="Comma 3 5 8" xfId="778" xr:uid="{00000000-0005-0000-0000-00000D030000}"/>
    <cellStyle name="Comma 3 6" xfId="779" xr:uid="{00000000-0005-0000-0000-00000E030000}"/>
    <cellStyle name="Comma 3 6 2" xfId="780" xr:uid="{00000000-0005-0000-0000-00000F030000}"/>
    <cellStyle name="Comma 3 6 2 2" xfId="781" xr:uid="{00000000-0005-0000-0000-000010030000}"/>
    <cellStyle name="Comma 3 6 2 3" xfId="782" xr:uid="{00000000-0005-0000-0000-000011030000}"/>
    <cellStyle name="Comma 3 6 3" xfId="783" xr:uid="{00000000-0005-0000-0000-000012030000}"/>
    <cellStyle name="Comma 3 6 3 2" xfId="784" xr:uid="{00000000-0005-0000-0000-000013030000}"/>
    <cellStyle name="Comma 3 6 3 3" xfId="785" xr:uid="{00000000-0005-0000-0000-000014030000}"/>
    <cellStyle name="Comma 3 6 4" xfId="786" xr:uid="{00000000-0005-0000-0000-000015030000}"/>
    <cellStyle name="Comma 3 6 4 2" xfId="787" xr:uid="{00000000-0005-0000-0000-000016030000}"/>
    <cellStyle name="Comma 3 6 4 3" xfId="788" xr:uid="{00000000-0005-0000-0000-000017030000}"/>
    <cellStyle name="Comma 3 6 5" xfId="789" xr:uid="{00000000-0005-0000-0000-000018030000}"/>
    <cellStyle name="Comma 3 6 5 2" xfId="790" xr:uid="{00000000-0005-0000-0000-000019030000}"/>
    <cellStyle name="Comma 3 6 5 3" xfId="791" xr:uid="{00000000-0005-0000-0000-00001A030000}"/>
    <cellStyle name="Comma 3 6 6" xfId="792" xr:uid="{00000000-0005-0000-0000-00001B030000}"/>
    <cellStyle name="Comma 3 6 6 2" xfId="793" xr:uid="{00000000-0005-0000-0000-00001C030000}"/>
    <cellStyle name="Comma 3 6 6 3" xfId="794" xr:uid="{00000000-0005-0000-0000-00001D030000}"/>
    <cellStyle name="Comma 3 6 7" xfId="795" xr:uid="{00000000-0005-0000-0000-00001E030000}"/>
    <cellStyle name="Comma 3 6 8" xfId="796" xr:uid="{00000000-0005-0000-0000-00001F030000}"/>
    <cellStyle name="Comma 3 7" xfId="797" xr:uid="{00000000-0005-0000-0000-000020030000}"/>
    <cellStyle name="Comma 3 7 2" xfId="798" xr:uid="{00000000-0005-0000-0000-000021030000}"/>
    <cellStyle name="Comma 3 7 2 2" xfId="799" xr:uid="{00000000-0005-0000-0000-000022030000}"/>
    <cellStyle name="Comma 3 7 2 3" xfId="800" xr:uid="{00000000-0005-0000-0000-000023030000}"/>
    <cellStyle name="Comma 3 7 3" xfId="801" xr:uid="{00000000-0005-0000-0000-000024030000}"/>
    <cellStyle name="Comma 3 7 3 2" xfId="802" xr:uid="{00000000-0005-0000-0000-000025030000}"/>
    <cellStyle name="Comma 3 7 3 3" xfId="803" xr:uid="{00000000-0005-0000-0000-000026030000}"/>
    <cellStyle name="Comma 3 7 4" xfId="804" xr:uid="{00000000-0005-0000-0000-000027030000}"/>
    <cellStyle name="Comma 3 7 4 2" xfId="805" xr:uid="{00000000-0005-0000-0000-000028030000}"/>
    <cellStyle name="Comma 3 7 4 3" xfId="806" xr:uid="{00000000-0005-0000-0000-000029030000}"/>
    <cellStyle name="Comma 3 7 5" xfId="807" xr:uid="{00000000-0005-0000-0000-00002A030000}"/>
    <cellStyle name="Comma 3 7 5 2" xfId="808" xr:uid="{00000000-0005-0000-0000-00002B030000}"/>
    <cellStyle name="Comma 3 7 5 3" xfId="809" xr:uid="{00000000-0005-0000-0000-00002C030000}"/>
    <cellStyle name="Comma 3 7 6" xfId="810" xr:uid="{00000000-0005-0000-0000-00002D030000}"/>
    <cellStyle name="Comma 3 7 6 2" xfId="811" xr:uid="{00000000-0005-0000-0000-00002E030000}"/>
    <cellStyle name="Comma 3 7 6 3" xfId="812" xr:uid="{00000000-0005-0000-0000-00002F030000}"/>
    <cellStyle name="Comma 3 7 7" xfId="813" xr:uid="{00000000-0005-0000-0000-000030030000}"/>
    <cellStyle name="Comma 3 7 8" xfId="814" xr:uid="{00000000-0005-0000-0000-000031030000}"/>
    <cellStyle name="Comma 3 8" xfId="815" xr:uid="{00000000-0005-0000-0000-000032030000}"/>
    <cellStyle name="Comma 3 8 2" xfId="816" xr:uid="{00000000-0005-0000-0000-000033030000}"/>
    <cellStyle name="Comma 3 8 2 2" xfId="817" xr:uid="{00000000-0005-0000-0000-000034030000}"/>
    <cellStyle name="Comma 3 8 2 3" xfId="818" xr:uid="{00000000-0005-0000-0000-000035030000}"/>
    <cellStyle name="Comma 3 8 3" xfId="819" xr:uid="{00000000-0005-0000-0000-000036030000}"/>
    <cellStyle name="Comma 3 8 3 2" xfId="820" xr:uid="{00000000-0005-0000-0000-000037030000}"/>
    <cellStyle name="Comma 3 8 3 3" xfId="821" xr:uid="{00000000-0005-0000-0000-000038030000}"/>
    <cellStyle name="Comma 3 8 4" xfId="822" xr:uid="{00000000-0005-0000-0000-000039030000}"/>
    <cellStyle name="Comma 3 8 4 2" xfId="823" xr:uid="{00000000-0005-0000-0000-00003A030000}"/>
    <cellStyle name="Comma 3 8 4 3" xfId="824" xr:uid="{00000000-0005-0000-0000-00003B030000}"/>
    <cellStyle name="Comma 3 8 5" xfId="825" xr:uid="{00000000-0005-0000-0000-00003C030000}"/>
    <cellStyle name="Comma 3 8 5 2" xfId="826" xr:uid="{00000000-0005-0000-0000-00003D030000}"/>
    <cellStyle name="Comma 3 8 5 3" xfId="827" xr:uid="{00000000-0005-0000-0000-00003E030000}"/>
    <cellStyle name="Comma 3 8 6" xfId="828" xr:uid="{00000000-0005-0000-0000-00003F030000}"/>
    <cellStyle name="Comma 3 8 6 2" xfId="829" xr:uid="{00000000-0005-0000-0000-000040030000}"/>
    <cellStyle name="Comma 3 8 6 3" xfId="830" xr:uid="{00000000-0005-0000-0000-000041030000}"/>
    <cellStyle name="Comma 3 8 7" xfId="831" xr:uid="{00000000-0005-0000-0000-000042030000}"/>
    <cellStyle name="Comma 3 8 8" xfId="832" xr:uid="{00000000-0005-0000-0000-000043030000}"/>
    <cellStyle name="Comma 3 9" xfId="833" xr:uid="{00000000-0005-0000-0000-000044030000}"/>
    <cellStyle name="Comma 3 9 2" xfId="834" xr:uid="{00000000-0005-0000-0000-000045030000}"/>
    <cellStyle name="Comma 3 9 2 2" xfId="835" xr:uid="{00000000-0005-0000-0000-000046030000}"/>
    <cellStyle name="Comma 3 9 2 3" xfId="836" xr:uid="{00000000-0005-0000-0000-000047030000}"/>
    <cellStyle name="Comma 3 9 3" xfId="837" xr:uid="{00000000-0005-0000-0000-000048030000}"/>
    <cellStyle name="Comma 3 9 3 2" xfId="838" xr:uid="{00000000-0005-0000-0000-000049030000}"/>
    <cellStyle name="Comma 3 9 3 3" xfId="839" xr:uid="{00000000-0005-0000-0000-00004A030000}"/>
    <cellStyle name="Comma 3 9 4" xfId="840" xr:uid="{00000000-0005-0000-0000-00004B030000}"/>
    <cellStyle name="Comma 3 9 4 2" xfId="841" xr:uid="{00000000-0005-0000-0000-00004C030000}"/>
    <cellStyle name="Comma 3 9 4 3" xfId="842" xr:uid="{00000000-0005-0000-0000-00004D030000}"/>
    <cellStyle name="Comma 3 9 5" xfId="843" xr:uid="{00000000-0005-0000-0000-00004E030000}"/>
    <cellStyle name="Comma 3 9 5 2" xfId="844" xr:uid="{00000000-0005-0000-0000-00004F030000}"/>
    <cellStyle name="Comma 3 9 5 3" xfId="845" xr:uid="{00000000-0005-0000-0000-000050030000}"/>
    <cellStyle name="Comma 3 9 6" xfId="846" xr:uid="{00000000-0005-0000-0000-000051030000}"/>
    <cellStyle name="Comma 3 9 6 2" xfId="847" xr:uid="{00000000-0005-0000-0000-000052030000}"/>
    <cellStyle name="Comma 3 9 6 3" xfId="848" xr:uid="{00000000-0005-0000-0000-000053030000}"/>
    <cellStyle name="Comma 3 9 7" xfId="849" xr:uid="{00000000-0005-0000-0000-000054030000}"/>
    <cellStyle name="Comma 3 9 8" xfId="850" xr:uid="{00000000-0005-0000-0000-000055030000}"/>
    <cellStyle name="Comma 3_Electrical Boqs Phase 2" xfId="851" xr:uid="{00000000-0005-0000-0000-000056030000}"/>
    <cellStyle name="Comma 30" xfId="852" xr:uid="{00000000-0005-0000-0000-000057030000}"/>
    <cellStyle name="Comma 31" xfId="853" xr:uid="{00000000-0005-0000-0000-000058030000}"/>
    <cellStyle name="Comma 32" xfId="854" xr:uid="{00000000-0005-0000-0000-000059030000}"/>
    <cellStyle name="Comma 33" xfId="855" xr:uid="{00000000-0005-0000-0000-00005A030000}"/>
    <cellStyle name="Comma 34" xfId="856" xr:uid="{00000000-0005-0000-0000-00005B030000}"/>
    <cellStyle name="Comma 35" xfId="857" xr:uid="{00000000-0005-0000-0000-00005C030000}"/>
    <cellStyle name="Comma 36" xfId="858" xr:uid="{00000000-0005-0000-0000-00005D030000}"/>
    <cellStyle name="Comma 37" xfId="859" xr:uid="{00000000-0005-0000-0000-00005E030000}"/>
    <cellStyle name="Comma 38" xfId="860" xr:uid="{00000000-0005-0000-0000-00005F030000}"/>
    <cellStyle name="Comma 39" xfId="861" xr:uid="{00000000-0005-0000-0000-000060030000}"/>
    <cellStyle name="Comma 4" xfId="862" xr:uid="{00000000-0005-0000-0000-000061030000}"/>
    <cellStyle name="Comma 4 10" xfId="863" xr:uid="{00000000-0005-0000-0000-000062030000}"/>
    <cellStyle name="Comma 4 10 2" xfId="864" xr:uid="{00000000-0005-0000-0000-000063030000}"/>
    <cellStyle name="Comma 4 10 2 2" xfId="865" xr:uid="{00000000-0005-0000-0000-000064030000}"/>
    <cellStyle name="Comma 4 10 2 3" xfId="866" xr:uid="{00000000-0005-0000-0000-000065030000}"/>
    <cellStyle name="Comma 4 10 3" xfId="867" xr:uid="{00000000-0005-0000-0000-000066030000}"/>
    <cellStyle name="Comma 4 10 3 2" xfId="868" xr:uid="{00000000-0005-0000-0000-000067030000}"/>
    <cellStyle name="Comma 4 10 3 3" xfId="869" xr:uid="{00000000-0005-0000-0000-000068030000}"/>
    <cellStyle name="Comma 4 10 4" xfId="870" xr:uid="{00000000-0005-0000-0000-000069030000}"/>
    <cellStyle name="Comma 4 10 4 2" xfId="871" xr:uid="{00000000-0005-0000-0000-00006A030000}"/>
    <cellStyle name="Comma 4 10 4 3" xfId="872" xr:uid="{00000000-0005-0000-0000-00006B030000}"/>
    <cellStyle name="Comma 4 10 5" xfId="873" xr:uid="{00000000-0005-0000-0000-00006C030000}"/>
    <cellStyle name="Comma 4 10 5 2" xfId="874" xr:uid="{00000000-0005-0000-0000-00006D030000}"/>
    <cellStyle name="Comma 4 10 5 3" xfId="875" xr:uid="{00000000-0005-0000-0000-00006E030000}"/>
    <cellStyle name="Comma 4 10 6" xfId="876" xr:uid="{00000000-0005-0000-0000-00006F030000}"/>
    <cellStyle name="Comma 4 10 6 2" xfId="877" xr:uid="{00000000-0005-0000-0000-000070030000}"/>
    <cellStyle name="Comma 4 10 6 3" xfId="878" xr:uid="{00000000-0005-0000-0000-000071030000}"/>
    <cellStyle name="Comma 4 10 7" xfId="879" xr:uid="{00000000-0005-0000-0000-000072030000}"/>
    <cellStyle name="Comma 4 10 8" xfId="880" xr:uid="{00000000-0005-0000-0000-000073030000}"/>
    <cellStyle name="Comma 4 10_LOT 1.2 - MITYANA GH(1) 08-08-12" xfId="881" xr:uid="{00000000-0005-0000-0000-000074030000}"/>
    <cellStyle name="Comma 4 11" xfId="882" xr:uid="{00000000-0005-0000-0000-000075030000}"/>
    <cellStyle name="Comma 4 11 2" xfId="883" xr:uid="{00000000-0005-0000-0000-000076030000}"/>
    <cellStyle name="Comma 4 11 2 2" xfId="884" xr:uid="{00000000-0005-0000-0000-000077030000}"/>
    <cellStyle name="Comma 4 11 2 3" xfId="885" xr:uid="{00000000-0005-0000-0000-000078030000}"/>
    <cellStyle name="Comma 4 11 3" xfId="886" xr:uid="{00000000-0005-0000-0000-000079030000}"/>
    <cellStyle name="Comma 4 11 3 2" xfId="887" xr:uid="{00000000-0005-0000-0000-00007A030000}"/>
    <cellStyle name="Comma 4 11 3 3" xfId="888" xr:uid="{00000000-0005-0000-0000-00007B030000}"/>
    <cellStyle name="Comma 4 11 4" xfId="889" xr:uid="{00000000-0005-0000-0000-00007C030000}"/>
    <cellStyle name="Comma 4 11 4 2" xfId="890" xr:uid="{00000000-0005-0000-0000-00007D030000}"/>
    <cellStyle name="Comma 4 11 4 3" xfId="891" xr:uid="{00000000-0005-0000-0000-00007E030000}"/>
    <cellStyle name="Comma 4 11 5" xfId="892" xr:uid="{00000000-0005-0000-0000-00007F030000}"/>
    <cellStyle name="Comma 4 11 5 2" xfId="893" xr:uid="{00000000-0005-0000-0000-000080030000}"/>
    <cellStyle name="Comma 4 11 5 3" xfId="894" xr:uid="{00000000-0005-0000-0000-000081030000}"/>
    <cellStyle name="Comma 4 11 6" xfId="895" xr:uid="{00000000-0005-0000-0000-000082030000}"/>
    <cellStyle name="Comma 4 11 6 2" xfId="896" xr:uid="{00000000-0005-0000-0000-000083030000}"/>
    <cellStyle name="Comma 4 11 6 3" xfId="897" xr:uid="{00000000-0005-0000-0000-000084030000}"/>
    <cellStyle name="Comma 4 11 7" xfId="898" xr:uid="{00000000-0005-0000-0000-000085030000}"/>
    <cellStyle name="Comma 4 11 8" xfId="899" xr:uid="{00000000-0005-0000-0000-000086030000}"/>
    <cellStyle name="Comma 4 11 9" xfId="900" xr:uid="{00000000-0005-0000-0000-000087030000}"/>
    <cellStyle name="Comma 4 12" xfId="901" xr:uid="{00000000-0005-0000-0000-000088030000}"/>
    <cellStyle name="Comma 4 12 2" xfId="902" xr:uid="{00000000-0005-0000-0000-000089030000}"/>
    <cellStyle name="Comma 4 12 3" xfId="903" xr:uid="{00000000-0005-0000-0000-00008A030000}"/>
    <cellStyle name="Comma 4 12 4" xfId="904" xr:uid="{00000000-0005-0000-0000-00008B030000}"/>
    <cellStyle name="Comma 4 13" xfId="905" xr:uid="{00000000-0005-0000-0000-00008C030000}"/>
    <cellStyle name="Comma 4 13 2" xfId="906" xr:uid="{00000000-0005-0000-0000-00008D030000}"/>
    <cellStyle name="Comma 4 13 3" xfId="907" xr:uid="{00000000-0005-0000-0000-00008E030000}"/>
    <cellStyle name="Comma 4 13 4" xfId="908" xr:uid="{00000000-0005-0000-0000-00008F030000}"/>
    <cellStyle name="Comma 4 14" xfId="909" xr:uid="{00000000-0005-0000-0000-000090030000}"/>
    <cellStyle name="Comma 4 14 2" xfId="910" xr:uid="{00000000-0005-0000-0000-000091030000}"/>
    <cellStyle name="Comma 4 14 3" xfId="911" xr:uid="{00000000-0005-0000-0000-000092030000}"/>
    <cellStyle name="Comma 4 14 4" xfId="912" xr:uid="{00000000-0005-0000-0000-000093030000}"/>
    <cellStyle name="Comma 4 15" xfId="913" xr:uid="{00000000-0005-0000-0000-000094030000}"/>
    <cellStyle name="Comma 4 15 2" xfId="914" xr:uid="{00000000-0005-0000-0000-000095030000}"/>
    <cellStyle name="Comma 4 15 3" xfId="915" xr:uid="{00000000-0005-0000-0000-000096030000}"/>
    <cellStyle name="Comma 4 15 4" xfId="916" xr:uid="{00000000-0005-0000-0000-000097030000}"/>
    <cellStyle name="Comma 4 16" xfId="917" xr:uid="{00000000-0005-0000-0000-000098030000}"/>
    <cellStyle name="Comma 4 16 2" xfId="918" xr:uid="{00000000-0005-0000-0000-000099030000}"/>
    <cellStyle name="Comma 4 16 3" xfId="919" xr:uid="{00000000-0005-0000-0000-00009A030000}"/>
    <cellStyle name="Comma 4 16 4" xfId="920" xr:uid="{00000000-0005-0000-0000-00009B030000}"/>
    <cellStyle name="Comma 4 17" xfId="921" xr:uid="{00000000-0005-0000-0000-00009C030000}"/>
    <cellStyle name="Comma 4 17 2" xfId="922" xr:uid="{00000000-0005-0000-0000-00009D030000}"/>
    <cellStyle name="Comma 4 18" xfId="923" xr:uid="{00000000-0005-0000-0000-00009E030000}"/>
    <cellStyle name="Comma 4 19" xfId="924" xr:uid="{00000000-0005-0000-0000-00009F030000}"/>
    <cellStyle name="Comma 4 2" xfId="925" xr:uid="{00000000-0005-0000-0000-0000A0030000}"/>
    <cellStyle name="Comma 4 2 2" xfId="926" xr:uid="{00000000-0005-0000-0000-0000A1030000}"/>
    <cellStyle name="Comma 4 2 2 2" xfId="927" xr:uid="{00000000-0005-0000-0000-0000A2030000}"/>
    <cellStyle name="Comma 4 2 2 3" xfId="928" xr:uid="{00000000-0005-0000-0000-0000A3030000}"/>
    <cellStyle name="Comma 4 2 3" xfId="929" xr:uid="{00000000-0005-0000-0000-0000A4030000}"/>
    <cellStyle name="Comma 4 2 3 2" xfId="930" xr:uid="{00000000-0005-0000-0000-0000A5030000}"/>
    <cellStyle name="Comma 4 2 3 3" xfId="931" xr:uid="{00000000-0005-0000-0000-0000A6030000}"/>
    <cellStyle name="Comma 4 2 4" xfId="932" xr:uid="{00000000-0005-0000-0000-0000A7030000}"/>
    <cellStyle name="Comma 4 2 4 2" xfId="933" xr:uid="{00000000-0005-0000-0000-0000A8030000}"/>
    <cellStyle name="Comma 4 2 4 3" xfId="934" xr:uid="{00000000-0005-0000-0000-0000A9030000}"/>
    <cellStyle name="Comma 4 2 5" xfId="935" xr:uid="{00000000-0005-0000-0000-0000AA030000}"/>
    <cellStyle name="Comma 4 2 5 2" xfId="936" xr:uid="{00000000-0005-0000-0000-0000AB030000}"/>
    <cellStyle name="Comma 4 2 5 3" xfId="937" xr:uid="{00000000-0005-0000-0000-0000AC030000}"/>
    <cellStyle name="Comma 4 2 6" xfId="938" xr:uid="{00000000-0005-0000-0000-0000AD030000}"/>
    <cellStyle name="Comma 4 2 6 2" xfId="939" xr:uid="{00000000-0005-0000-0000-0000AE030000}"/>
    <cellStyle name="Comma 4 2 6 3" xfId="940" xr:uid="{00000000-0005-0000-0000-0000AF030000}"/>
    <cellStyle name="Comma 4 2 7" xfId="941" xr:uid="{00000000-0005-0000-0000-0000B0030000}"/>
    <cellStyle name="Comma 4 2 8" xfId="942" xr:uid="{00000000-0005-0000-0000-0000B1030000}"/>
    <cellStyle name="Comma 4 2_LOT 1.2 - MITYANA GH(1) 08-08-12" xfId="943" xr:uid="{00000000-0005-0000-0000-0000B2030000}"/>
    <cellStyle name="Comma 4 20" xfId="944" xr:uid="{00000000-0005-0000-0000-0000B3030000}"/>
    <cellStyle name="Comma 4 21" xfId="945" xr:uid="{00000000-0005-0000-0000-0000B4030000}"/>
    <cellStyle name="Comma 4 22" xfId="946" xr:uid="{00000000-0005-0000-0000-0000B5030000}"/>
    <cellStyle name="Comma 4 23" xfId="947" xr:uid="{00000000-0005-0000-0000-0000B6030000}"/>
    <cellStyle name="Comma 4 24" xfId="948" xr:uid="{00000000-0005-0000-0000-0000B7030000}"/>
    <cellStyle name="Comma 4 25" xfId="949" xr:uid="{00000000-0005-0000-0000-0000B8030000}"/>
    <cellStyle name="Comma 4 26" xfId="950" xr:uid="{00000000-0005-0000-0000-0000B9030000}"/>
    <cellStyle name="Comma 4 27" xfId="951" xr:uid="{00000000-0005-0000-0000-0000BA030000}"/>
    <cellStyle name="Comma 4 28" xfId="952" xr:uid="{00000000-0005-0000-0000-0000BB030000}"/>
    <cellStyle name="Comma 4 29" xfId="953" xr:uid="{00000000-0005-0000-0000-0000BC030000}"/>
    <cellStyle name="Comma 4 3" xfId="954" xr:uid="{00000000-0005-0000-0000-0000BD030000}"/>
    <cellStyle name="Comma 4 3 2" xfId="955" xr:uid="{00000000-0005-0000-0000-0000BE030000}"/>
    <cellStyle name="Comma 4 3 2 2" xfId="956" xr:uid="{00000000-0005-0000-0000-0000BF030000}"/>
    <cellStyle name="Comma 4 3 2 3" xfId="957" xr:uid="{00000000-0005-0000-0000-0000C0030000}"/>
    <cellStyle name="Comma 4 3 3" xfId="958" xr:uid="{00000000-0005-0000-0000-0000C1030000}"/>
    <cellStyle name="Comma 4 3 3 2" xfId="959" xr:uid="{00000000-0005-0000-0000-0000C2030000}"/>
    <cellStyle name="Comma 4 3 3 3" xfId="960" xr:uid="{00000000-0005-0000-0000-0000C3030000}"/>
    <cellStyle name="Comma 4 3 4" xfId="961" xr:uid="{00000000-0005-0000-0000-0000C4030000}"/>
    <cellStyle name="Comma 4 3 4 2" xfId="962" xr:uid="{00000000-0005-0000-0000-0000C5030000}"/>
    <cellStyle name="Comma 4 3 4 3" xfId="963" xr:uid="{00000000-0005-0000-0000-0000C6030000}"/>
    <cellStyle name="Comma 4 3 5" xfId="964" xr:uid="{00000000-0005-0000-0000-0000C7030000}"/>
    <cellStyle name="Comma 4 3 5 2" xfId="965" xr:uid="{00000000-0005-0000-0000-0000C8030000}"/>
    <cellStyle name="Comma 4 3 5 3" xfId="966" xr:uid="{00000000-0005-0000-0000-0000C9030000}"/>
    <cellStyle name="Comma 4 3 6" xfId="967" xr:uid="{00000000-0005-0000-0000-0000CA030000}"/>
    <cellStyle name="Comma 4 3 6 2" xfId="968" xr:uid="{00000000-0005-0000-0000-0000CB030000}"/>
    <cellStyle name="Comma 4 3 6 3" xfId="969" xr:uid="{00000000-0005-0000-0000-0000CC030000}"/>
    <cellStyle name="Comma 4 3 7" xfId="970" xr:uid="{00000000-0005-0000-0000-0000CD030000}"/>
    <cellStyle name="Comma 4 3 8" xfId="971" xr:uid="{00000000-0005-0000-0000-0000CE030000}"/>
    <cellStyle name="Comma 4 3 9" xfId="972" xr:uid="{00000000-0005-0000-0000-0000CF030000}"/>
    <cellStyle name="Comma 4 30" xfId="973" xr:uid="{00000000-0005-0000-0000-0000D0030000}"/>
    <cellStyle name="Comma 4 31" xfId="974" xr:uid="{00000000-0005-0000-0000-0000D1030000}"/>
    <cellStyle name="Comma 4 32" xfId="975" xr:uid="{00000000-0005-0000-0000-0000D2030000}"/>
    <cellStyle name="Comma 4 33" xfId="976" xr:uid="{00000000-0005-0000-0000-0000D3030000}"/>
    <cellStyle name="Comma 4 34" xfId="977" xr:uid="{00000000-0005-0000-0000-0000D4030000}"/>
    <cellStyle name="Comma 4 35" xfId="978" xr:uid="{00000000-0005-0000-0000-0000D5030000}"/>
    <cellStyle name="Comma 4 36" xfId="979" xr:uid="{00000000-0005-0000-0000-0000D6030000}"/>
    <cellStyle name="Comma 4 37" xfId="980" xr:uid="{00000000-0005-0000-0000-0000D7030000}"/>
    <cellStyle name="Comma 4 38" xfId="981" xr:uid="{00000000-0005-0000-0000-0000D8030000}"/>
    <cellStyle name="Comma 4 39" xfId="982" xr:uid="{00000000-0005-0000-0000-0000D9030000}"/>
    <cellStyle name="Comma 4 4" xfId="983" xr:uid="{00000000-0005-0000-0000-0000DA030000}"/>
    <cellStyle name="Comma 4 4 2" xfId="984" xr:uid="{00000000-0005-0000-0000-0000DB030000}"/>
    <cellStyle name="Comma 4 4 2 2" xfId="985" xr:uid="{00000000-0005-0000-0000-0000DC030000}"/>
    <cellStyle name="Comma 4 4 2 3" xfId="986" xr:uid="{00000000-0005-0000-0000-0000DD030000}"/>
    <cellStyle name="Comma 4 4 3" xfId="987" xr:uid="{00000000-0005-0000-0000-0000DE030000}"/>
    <cellStyle name="Comma 4 4 3 2" xfId="988" xr:uid="{00000000-0005-0000-0000-0000DF030000}"/>
    <cellStyle name="Comma 4 4 3 3" xfId="989" xr:uid="{00000000-0005-0000-0000-0000E0030000}"/>
    <cellStyle name="Comma 4 4 4" xfId="990" xr:uid="{00000000-0005-0000-0000-0000E1030000}"/>
    <cellStyle name="Comma 4 4 4 2" xfId="991" xr:uid="{00000000-0005-0000-0000-0000E2030000}"/>
    <cellStyle name="Comma 4 4 4 3" xfId="992" xr:uid="{00000000-0005-0000-0000-0000E3030000}"/>
    <cellStyle name="Comma 4 4 5" xfId="993" xr:uid="{00000000-0005-0000-0000-0000E4030000}"/>
    <cellStyle name="Comma 4 4 5 2" xfId="994" xr:uid="{00000000-0005-0000-0000-0000E5030000}"/>
    <cellStyle name="Comma 4 4 5 3" xfId="995" xr:uid="{00000000-0005-0000-0000-0000E6030000}"/>
    <cellStyle name="Comma 4 4 6" xfId="996" xr:uid="{00000000-0005-0000-0000-0000E7030000}"/>
    <cellStyle name="Comma 4 4 6 2" xfId="997" xr:uid="{00000000-0005-0000-0000-0000E8030000}"/>
    <cellStyle name="Comma 4 4 6 3" xfId="998" xr:uid="{00000000-0005-0000-0000-0000E9030000}"/>
    <cellStyle name="Comma 4 4 7" xfId="999" xr:uid="{00000000-0005-0000-0000-0000EA030000}"/>
    <cellStyle name="Comma 4 4 8" xfId="1000" xr:uid="{00000000-0005-0000-0000-0000EB030000}"/>
    <cellStyle name="Comma 4 4 9" xfId="1001" xr:uid="{00000000-0005-0000-0000-0000EC030000}"/>
    <cellStyle name="Comma 4 40" xfId="1002" xr:uid="{00000000-0005-0000-0000-0000ED030000}"/>
    <cellStyle name="Comma 4 41" xfId="1003" xr:uid="{00000000-0005-0000-0000-0000EE030000}"/>
    <cellStyle name="Comma 4 42" xfId="1004" xr:uid="{00000000-0005-0000-0000-0000EF030000}"/>
    <cellStyle name="Comma 4 43" xfId="1005" xr:uid="{00000000-0005-0000-0000-0000F0030000}"/>
    <cellStyle name="Comma 4 44" xfId="1006" xr:uid="{00000000-0005-0000-0000-0000F1030000}"/>
    <cellStyle name="Comma 4 45" xfId="1007" xr:uid="{00000000-0005-0000-0000-0000F2030000}"/>
    <cellStyle name="Comma 4 46" xfId="1008" xr:uid="{00000000-0005-0000-0000-0000F3030000}"/>
    <cellStyle name="Comma 4 47" xfId="1009" xr:uid="{00000000-0005-0000-0000-0000F4030000}"/>
    <cellStyle name="Comma 4 48" xfId="1010" xr:uid="{00000000-0005-0000-0000-0000F5030000}"/>
    <cellStyle name="Comma 4 5" xfId="1011" xr:uid="{00000000-0005-0000-0000-0000F6030000}"/>
    <cellStyle name="Comma 4 5 2" xfId="1012" xr:uid="{00000000-0005-0000-0000-0000F7030000}"/>
    <cellStyle name="Comma 4 5 2 2" xfId="1013" xr:uid="{00000000-0005-0000-0000-0000F8030000}"/>
    <cellStyle name="Comma 4 5 2 3" xfId="1014" xr:uid="{00000000-0005-0000-0000-0000F9030000}"/>
    <cellStyle name="Comma 4 5 3" xfId="1015" xr:uid="{00000000-0005-0000-0000-0000FA030000}"/>
    <cellStyle name="Comma 4 5 3 2" xfId="1016" xr:uid="{00000000-0005-0000-0000-0000FB030000}"/>
    <cellStyle name="Comma 4 5 3 3" xfId="1017" xr:uid="{00000000-0005-0000-0000-0000FC030000}"/>
    <cellStyle name="Comma 4 5 4" xfId="1018" xr:uid="{00000000-0005-0000-0000-0000FD030000}"/>
    <cellStyle name="Comma 4 5 4 2" xfId="1019" xr:uid="{00000000-0005-0000-0000-0000FE030000}"/>
    <cellStyle name="Comma 4 5 4 3" xfId="1020" xr:uid="{00000000-0005-0000-0000-0000FF030000}"/>
    <cellStyle name="Comma 4 5 5" xfId="1021" xr:uid="{00000000-0005-0000-0000-000000040000}"/>
    <cellStyle name="Comma 4 5 5 2" xfId="1022" xr:uid="{00000000-0005-0000-0000-000001040000}"/>
    <cellStyle name="Comma 4 5 5 3" xfId="1023" xr:uid="{00000000-0005-0000-0000-000002040000}"/>
    <cellStyle name="Comma 4 5 6" xfId="1024" xr:uid="{00000000-0005-0000-0000-000003040000}"/>
    <cellStyle name="Comma 4 5 6 2" xfId="1025" xr:uid="{00000000-0005-0000-0000-000004040000}"/>
    <cellStyle name="Comma 4 5 6 3" xfId="1026" xr:uid="{00000000-0005-0000-0000-000005040000}"/>
    <cellStyle name="Comma 4 5 7" xfId="1027" xr:uid="{00000000-0005-0000-0000-000006040000}"/>
    <cellStyle name="Comma 4 5 8" xfId="1028" xr:uid="{00000000-0005-0000-0000-000007040000}"/>
    <cellStyle name="Comma 4 5 9" xfId="1029" xr:uid="{00000000-0005-0000-0000-000008040000}"/>
    <cellStyle name="Comma 4 6" xfId="1030" xr:uid="{00000000-0005-0000-0000-000009040000}"/>
    <cellStyle name="Comma 4 6 2" xfId="1031" xr:uid="{00000000-0005-0000-0000-00000A040000}"/>
    <cellStyle name="Comma 4 6 2 2" xfId="1032" xr:uid="{00000000-0005-0000-0000-00000B040000}"/>
    <cellStyle name="Comma 4 6 2 3" xfId="1033" xr:uid="{00000000-0005-0000-0000-00000C040000}"/>
    <cellStyle name="Comma 4 6 3" xfId="1034" xr:uid="{00000000-0005-0000-0000-00000D040000}"/>
    <cellStyle name="Comma 4 6 3 2" xfId="1035" xr:uid="{00000000-0005-0000-0000-00000E040000}"/>
    <cellStyle name="Comma 4 6 3 3" xfId="1036" xr:uid="{00000000-0005-0000-0000-00000F040000}"/>
    <cellStyle name="Comma 4 6 4" xfId="1037" xr:uid="{00000000-0005-0000-0000-000010040000}"/>
    <cellStyle name="Comma 4 6 4 2" xfId="1038" xr:uid="{00000000-0005-0000-0000-000011040000}"/>
    <cellStyle name="Comma 4 6 4 3" xfId="1039" xr:uid="{00000000-0005-0000-0000-000012040000}"/>
    <cellStyle name="Comma 4 6 5" xfId="1040" xr:uid="{00000000-0005-0000-0000-000013040000}"/>
    <cellStyle name="Comma 4 6 5 2" xfId="1041" xr:uid="{00000000-0005-0000-0000-000014040000}"/>
    <cellStyle name="Comma 4 6 5 3" xfId="1042" xr:uid="{00000000-0005-0000-0000-000015040000}"/>
    <cellStyle name="Comma 4 6 6" xfId="1043" xr:uid="{00000000-0005-0000-0000-000016040000}"/>
    <cellStyle name="Comma 4 6 6 2" xfId="1044" xr:uid="{00000000-0005-0000-0000-000017040000}"/>
    <cellStyle name="Comma 4 6 6 3" xfId="1045" xr:uid="{00000000-0005-0000-0000-000018040000}"/>
    <cellStyle name="Comma 4 6 7" xfId="1046" xr:uid="{00000000-0005-0000-0000-000019040000}"/>
    <cellStyle name="Comma 4 6 8" xfId="1047" xr:uid="{00000000-0005-0000-0000-00001A040000}"/>
    <cellStyle name="Comma 4 6 9" xfId="1048" xr:uid="{00000000-0005-0000-0000-00001B040000}"/>
    <cellStyle name="Comma 4 7" xfId="1049" xr:uid="{00000000-0005-0000-0000-00001C040000}"/>
    <cellStyle name="Comma 4 7 2" xfId="1050" xr:uid="{00000000-0005-0000-0000-00001D040000}"/>
    <cellStyle name="Comma 4 7 2 2" xfId="1051" xr:uid="{00000000-0005-0000-0000-00001E040000}"/>
    <cellStyle name="Comma 4 7 2 3" xfId="1052" xr:uid="{00000000-0005-0000-0000-00001F040000}"/>
    <cellStyle name="Comma 4 7 3" xfId="1053" xr:uid="{00000000-0005-0000-0000-000020040000}"/>
    <cellStyle name="Comma 4 7 3 2" xfId="1054" xr:uid="{00000000-0005-0000-0000-000021040000}"/>
    <cellStyle name="Comma 4 7 3 3" xfId="1055" xr:uid="{00000000-0005-0000-0000-000022040000}"/>
    <cellStyle name="Comma 4 7 4" xfId="1056" xr:uid="{00000000-0005-0000-0000-000023040000}"/>
    <cellStyle name="Comma 4 7 4 2" xfId="1057" xr:uid="{00000000-0005-0000-0000-000024040000}"/>
    <cellStyle name="Comma 4 7 4 3" xfId="1058" xr:uid="{00000000-0005-0000-0000-000025040000}"/>
    <cellStyle name="Comma 4 7 5" xfId="1059" xr:uid="{00000000-0005-0000-0000-000026040000}"/>
    <cellStyle name="Comma 4 7 5 2" xfId="1060" xr:uid="{00000000-0005-0000-0000-000027040000}"/>
    <cellStyle name="Comma 4 7 5 3" xfId="1061" xr:uid="{00000000-0005-0000-0000-000028040000}"/>
    <cellStyle name="Comma 4 7 6" xfId="1062" xr:uid="{00000000-0005-0000-0000-000029040000}"/>
    <cellStyle name="Comma 4 7 6 2" xfId="1063" xr:uid="{00000000-0005-0000-0000-00002A040000}"/>
    <cellStyle name="Comma 4 7 6 3" xfId="1064" xr:uid="{00000000-0005-0000-0000-00002B040000}"/>
    <cellStyle name="Comma 4 7 7" xfId="1065" xr:uid="{00000000-0005-0000-0000-00002C040000}"/>
    <cellStyle name="Comma 4 7 8" xfId="1066" xr:uid="{00000000-0005-0000-0000-00002D040000}"/>
    <cellStyle name="Comma 4 7 9" xfId="1067" xr:uid="{00000000-0005-0000-0000-00002E040000}"/>
    <cellStyle name="Comma 4 8" xfId="1068" xr:uid="{00000000-0005-0000-0000-00002F040000}"/>
    <cellStyle name="Comma 4 8 2" xfId="1069" xr:uid="{00000000-0005-0000-0000-000030040000}"/>
    <cellStyle name="Comma 4 8 2 2" xfId="1070" xr:uid="{00000000-0005-0000-0000-000031040000}"/>
    <cellStyle name="Comma 4 8 2 3" xfId="1071" xr:uid="{00000000-0005-0000-0000-000032040000}"/>
    <cellStyle name="Comma 4 8 3" xfId="1072" xr:uid="{00000000-0005-0000-0000-000033040000}"/>
    <cellStyle name="Comma 4 8 3 2" xfId="1073" xr:uid="{00000000-0005-0000-0000-000034040000}"/>
    <cellStyle name="Comma 4 8 3 3" xfId="1074" xr:uid="{00000000-0005-0000-0000-000035040000}"/>
    <cellStyle name="Comma 4 8 4" xfId="1075" xr:uid="{00000000-0005-0000-0000-000036040000}"/>
    <cellStyle name="Comma 4 8 4 2" xfId="1076" xr:uid="{00000000-0005-0000-0000-000037040000}"/>
    <cellStyle name="Comma 4 8 4 3" xfId="1077" xr:uid="{00000000-0005-0000-0000-000038040000}"/>
    <cellStyle name="Comma 4 8 5" xfId="1078" xr:uid="{00000000-0005-0000-0000-000039040000}"/>
    <cellStyle name="Comma 4 8 5 2" xfId="1079" xr:uid="{00000000-0005-0000-0000-00003A040000}"/>
    <cellStyle name="Comma 4 8 5 3" xfId="1080" xr:uid="{00000000-0005-0000-0000-00003B040000}"/>
    <cellStyle name="Comma 4 8 6" xfId="1081" xr:uid="{00000000-0005-0000-0000-00003C040000}"/>
    <cellStyle name="Comma 4 8 6 2" xfId="1082" xr:uid="{00000000-0005-0000-0000-00003D040000}"/>
    <cellStyle name="Comma 4 8 6 3" xfId="1083" xr:uid="{00000000-0005-0000-0000-00003E040000}"/>
    <cellStyle name="Comma 4 8 7" xfId="1084" xr:uid="{00000000-0005-0000-0000-00003F040000}"/>
    <cellStyle name="Comma 4 8 8" xfId="1085" xr:uid="{00000000-0005-0000-0000-000040040000}"/>
    <cellStyle name="Comma 4 8 9" xfId="1086" xr:uid="{00000000-0005-0000-0000-000041040000}"/>
    <cellStyle name="Comma 4 9" xfId="1087" xr:uid="{00000000-0005-0000-0000-000042040000}"/>
    <cellStyle name="Comma 4 9 2" xfId="1088" xr:uid="{00000000-0005-0000-0000-000043040000}"/>
    <cellStyle name="Comma 4 9 2 2" xfId="1089" xr:uid="{00000000-0005-0000-0000-000044040000}"/>
    <cellStyle name="Comma 4 9 2 3" xfId="1090" xr:uid="{00000000-0005-0000-0000-000045040000}"/>
    <cellStyle name="Comma 4 9 3" xfId="1091" xr:uid="{00000000-0005-0000-0000-000046040000}"/>
    <cellStyle name="Comma 4 9 3 2" xfId="1092" xr:uid="{00000000-0005-0000-0000-000047040000}"/>
    <cellStyle name="Comma 4 9 3 3" xfId="1093" xr:uid="{00000000-0005-0000-0000-000048040000}"/>
    <cellStyle name="Comma 4 9 4" xfId="1094" xr:uid="{00000000-0005-0000-0000-000049040000}"/>
    <cellStyle name="Comma 4 9 4 2" xfId="1095" xr:uid="{00000000-0005-0000-0000-00004A040000}"/>
    <cellStyle name="Comma 4 9 4 3" xfId="1096" xr:uid="{00000000-0005-0000-0000-00004B040000}"/>
    <cellStyle name="Comma 4 9 5" xfId="1097" xr:uid="{00000000-0005-0000-0000-00004C040000}"/>
    <cellStyle name="Comma 4 9 5 2" xfId="1098" xr:uid="{00000000-0005-0000-0000-00004D040000}"/>
    <cellStyle name="Comma 4 9 5 3" xfId="1099" xr:uid="{00000000-0005-0000-0000-00004E040000}"/>
    <cellStyle name="Comma 4 9 6" xfId="1100" xr:uid="{00000000-0005-0000-0000-00004F040000}"/>
    <cellStyle name="Comma 4 9 6 2" xfId="1101" xr:uid="{00000000-0005-0000-0000-000050040000}"/>
    <cellStyle name="Comma 4 9 6 3" xfId="1102" xr:uid="{00000000-0005-0000-0000-000051040000}"/>
    <cellStyle name="Comma 4 9 7" xfId="1103" xr:uid="{00000000-0005-0000-0000-000052040000}"/>
    <cellStyle name="Comma 4 9 8" xfId="1104" xr:uid="{00000000-0005-0000-0000-000053040000}"/>
    <cellStyle name="Comma 4 9 9" xfId="1105" xr:uid="{00000000-0005-0000-0000-000054040000}"/>
    <cellStyle name="Comma 4_Electrical Boqs Phase 2" xfId="1106" xr:uid="{00000000-0005-0000-0000-000055040000}"/>
    <cellStyle name="Comma 40" xfId="1107" xr:uid="{00000000-0005-0000-0000-000056040000}"/>
    <cellStyle name="Comma 41" xfId="1108" xr:uid="{00000000-0005-0000-0000-000057040000}"/>
    <cellStyle name="Comma 42" xfId="1109" xr:uid="{00000000-0005-0000-0000-000058040000}"/>
    <cellStyle name="Comma 43" xfId="1110" xr:uid="{00000000-0005-0000-0000-000059040000}"/>
    <cellStyle name="Comma 44" xfId="1111" xr:uid="{00000000-0005-0000-0000-00005A040000}"/>
    <cellStyle name="Comma 45" xfId="1112" xr:uid="{00000000-0005-0000-0000-00005B040000}"/>
    <cellStyle name="Comma 46" xfId="1113" xr:uid="{00000000-0005-0000-0000-00005C040000}"/>
    <cellStyle name="Comma 46 2" xfId="1114" xr:uid="{00000000-0005-0000-0000-00005D040000}"/>
    <cellStyle name="Comma 47" xfId="1115" xr:uid="{00000000-0005-0000-0000-00005E040000}"/>
    <cellStyle name="Comma 48" xfId="1116" xr:uid="{00000000-0005-0000-0000-00005F040000}"/>
    <cellStyle name="Comma 49" xfId="1117" xr:uid="{00000000-0005-0000-0000-000060040000}"/>
    <cellStyle name="Comma 5" xfId="1118" xr:uid="{00000000-0005-0000-0000-000061040000}"/>
    <cellStyle name="Comma 5 10" xfId="1119" xr:uid="{00000000-0005-0000-0000-000062040000}"/>
    <cellStyle name="Comma 5 10 2" xfId="1120" xr:uid="{00000000-0005-0000-0000-000063040000}"/>
    <cellStyle name="Comma 5 10 2 2" xfId="1121" xr:uid="{00000000-0005-0000-0000-000064040000}"/>
    <cellStyle name="Comma 5 10 2 3" xfId="1122" xr:uid="{00000000-0005-0000-0000-000065040000}"/>
    <cellStyle name="Comma 5 10 3" xfId="1123" xr:uid="{00000000-0005-0000-0000-000066040000}"/>
    <cellStyle name="Comma 5 10 3 2" xfId="1124" xr:uid="{00000000-0005-0000-0000-000067040000}"/>
    <cellStyle name="Comma 5 10 3 3" xfId="1125" xr:uid="{00000000-0005-0000-0000-000068040000}"/>
    <cellStyle name="Comma 5 10 4" xfId="1126" xr:uid="{00000000-0005-0000-0000-000069040000}"/>
    <cellStyle name="Comma 5 10 4 2" xfId="1127" xr:uid="{00000000-0005-0000-0000-00006A040000}"/>
    <cellStyle name="Comma 5 10 4 3" xfId="1128" xr:uid="{00000000-0005-0000-0000-00006B040000}"/>
    <cellStyle name="Comma 5 10 5" xfId="1129" xr:uid="{00000000-0005-0000-0000-00006C040000}"/>
    <cellStyle name="Comma 5 10 5 2" xfId="1130" xr:uid="{00000000-0005-0000-0000-00006D040000}"/>
    <cellStyle name="Comma 5 10 5 3" xfId="1131" xr:uid="{00000000-0005-0000-0000-00006E040000}"/>
    <cellStyle name="Comma 5 10 6" xfId="1132" xr:uid="{00000000-0005-0000-0000-00006F040000}"/>
    <cellStyle name="Comma 5 10 6 2" xfId="1133" xr:uid="{00000000-0005-0000-0000-000070040000}"/>
    <cellStyle name="Comma 5 10 6 3" xfId="1134" xr:uid="{00000000-0005-0000-0000-000071040000}"/>
    <cellStyle name="Comma 5 10 7" xfId="1135" xr:uid="{00000000-0005-0000-0000-000072040000}"/>
    <cellStyle name="Comma 5 10 8" xfId="1136" xr:uid="{00000000-0005-0000-0000-000073040000}"/>
    <cellStyle name="Comma 5 11" xfId="1137" xr:uid="{00000000-0005-0000-0000-000074040000}"/>
    <cellStyle name="Comma 5 11 2" xfId="1138" xr:uid="{00000000-0005-0000-0000-000075040000}"/>
    <cellStyle name="Comma 5 11 2 2" xfId="1139" xr:uid="{00000000-0005-0000-0000-000076040000}"/>
    <cellStyle name="Comma 5 11 2 3" xfId="1140" xr:uid="{00000000-0005-0000-0000-000077040000}"/>
    <cellStyle name="Comma 5 11 3" xfId="1141" xr:uid="{00000000-0005-0000-0000-000078040000}"/>
    <cellStyle name="Comma 5 11 3 2" xfId="1142" xr:uid="{00000000-0005-0000-0000-000079040000}"/>
    <cellStyle name="Comma 5 11 3 3" xfId="1143" xr:uid="{00000000-0005-0000-0000-00007A040000}"/>
    <cellStyle name="Comma 5 11 4" xfId="1144" xr:uid="{00000000-0005-0000-0000-00007B040000}"/>
    <cellStyle name="Comma 5 11 4 2" xfId="1145" xr:uid="{00000000-0005-0000-0000-00007C040000}"/>
    <cellStyle name="Comma 5 11 4 3" xfId="1146" xr:uid="{00000000-0005-0000-0000-00007D040000}"/>
    <cellStyle name="Comma 5 11 5" xfId="1147" xr:uid="{00000000-0005-0000-0000-00007E040000}"/>
    <cellStyle name="Comma 5 11 5 2" xfId="1148" xr:uid="{00000000-0005-0000-0000-00007F040000}"/>
    <cellStyle name="Comma 5 11 5 3" xfId="1149" xr:uid="{00000000-0005-0000-0000-000080040000}"/>
    <cellStyle name="Comma 5 11 6" xfId="1150" xr:uid="{00000000-0005-0000-0000-000081040000}"/>
    <cellStyle name="Comma 5 11 6 2" xfId="1151" xr:uid="{00000000-0005-0000-0000-000082040000}"/>
    <cellStyle name="Comma 5 11 6 3" xfId="1152" xr:uid="{00000000-0005-0000-0000-000083040000}"/>
    <cellStyle name="Comma 5 11 7" xfId="1153" xr:uid="{00000000-0005-0000-0000-000084040000}"/>
    <cellStyle name="Comma 5 11 8" xfId="1154" xr:uid="{00000000-0005-0000-0000-000085040000}"/>
    <cellStyle name="Comma 5 12" xfId="1155" xr:uid="{00000000-0005-0000-0000-000086040000}"/>
    <cellStyle name="Comma 5 12 2" xfId="1156" xr:uid="{00000000-0005-0000-0000-000087040000}"/>
    <cellStyle name="Comma 5 12 3" xfId="1157" xr:uid="{00000000-0005-0000-0000-000088040000}"/>
    <cellStyle name="Comma 5 13" xfId="1158" xr:uid="{00000000-0005-0000-0000-000089040000}"/>
    <cellStyle name="Comma 5 13 2" xfId="1159" xr:uid="{00000000-0005-0000-0000-00008A040000}"/>
    <cellStyle name="Comma 5 13 3" xfId="1160" xr:uid="{00000000-0005-0000-0000-00008B040000}"/>
    <cellStyle name="Comma 5 14" xfId="1161" xr:uid="{00000000-0005-0000-0000-00008C040000}"/>
    <cellStyle name="Comma 5 14 2" xfId="1162" xr:uid="{00000000-0005-0000-0000-00008D040000}"/>
    <cellStyle name="Comma 5 14 3" xfId="1163" xr:uid="{00000000-0005-0000-0000-00008E040000}"/>
    <cellStyle name="Comma 5 15" xfId="1164" xr:uid="{00000000-0005-0000-0000-00008F040000}"/>
    <cellStyle name="Comma 5 15 2" xfId="1165" xr:uid="{00000000-0005-0000-0000-000090040000}"/>
    <cellStyle name="Comma 5 15 3" xfId="1166" xr:uid="{00000000-0005-0000-0000-000091040000}"/>
    <cellStyle name="Comma 5 16" xfId="1167" xr:uid="{00000000-0005-0000-0000-000092040000}"/>
    <cellStyle name="Comma 5 16 2" xfId="1168" xr:uid="{00000000-0005-0000-0000-000093040000}"/>
    <cellStyle name="Comma 5 16 3" xfId="1169" xr:uid="{00000000-0005-0000-0000-000094040000}"/>
    <cellStyle name="Comma 5 17" xfId="1170" xr:uid="{00000000-0005-0000-0000-000095040000}"/>
    <cellStyle name="Comma 5 18" xfId="1171" xr:uid="{00000000-0005-0000-0000-000096040000}"/>
    <cellStyle name="Comma 5 2" xfId="1172" xr:uid="{00000000-0005-0000-0000-000097040000}"/>
    <cellStyle name="Comma 5 2 2" xfId="1173" xr:uid="{00000000-0005-0000-0000-000098040000}"/>
    <cellStyle name="Comma 5 2 2 2" xfId="1174" xr:uid="{00000000-0005-0000-0000-000099040000}"/>
    <cellStyle name="Comma 5 2 2 3" xfId="1175" xr:uid="{00000000-0005-0000-0000-00009A040000}"/>
    <cellStyle name="Comma 5 2 3" xfId="1176" xr:uid="{00000000-0005-0000-0000-00009B040000}"/>
    <cellStyle name="Comma 5 2 3 2" xfId="1177" xr:uid="{00000000-0005-0000-0000-00009C040000}"/>
    <cellStyle name="Comma 5 2 3 3" xfId="1178" xr:uid="{00000000-0005-0000-0000-00009D040000}"/>
    <cellStyle name="Comma 5 2 4" xfId="1179" xr:uid="{00000000-0005-0000-0000-00009E040000}"/>
    <cellStyle name="Comma 5 2 4 2" xfId="1180" xr:uid="{00000000-0005-0000-0000-00009F040000}"/>
    <cellStyle name="Comma 5 2 4 3" xfId="1181" xr:uid="{00000000-0005-0000-0000-0000A0040000}"/>
    <cellStyle name="Comma 5 2 5" xfId="1182" xr:uid="{00000000-0005-0000-0000-0000A1040000}"/>
    <cellStyle name="Comma 5 2 5 2" xfId="1183" xr:uid="{00000000-0005-0000-0000-0000A2040000}"/>
    <cellStyle name="Comma 5 2 5 3" xfId="1184" xr:uid="{00000000-0005-0000-0000-0000A3040000}"/>
    <cellStyle name="Comma 5 2 6" xfId="1185" xr:uid="{00000000-0005-0000-0000-0000A4040000}"/>
    <cellStyle name="Comma 5 2 6 2" xfId="1186" xr:uid="{00000000-0005-0000-0000-0000A5040000}"/>
    <cellStyle name="Comma 5 2 6 3" xfId="1187" xr:uid="{00000000-0005-0000-0000-0000A6040000}"/>
    <cellStyle name="Comma 5 2 7" xfId="1188" xr:uid="{00000000-0005-0000-0000-0000A7040000}"/>
    <cellStyle name="Comma 5 2 8" xfId="1189" xr:uid="{00000000-0005-0000-0000-0000A8040000}"/>
    <cellStyle name="Comma 5 3" xfId="1190" xr:uid="{00000000-0005-0000-0000-0000A9040000}"/>
    <cellStyle name="Comma 5 3 2" xfId="1191" xr:uid="{00000000-0005-0000-0000-0000AA040000}"/>
    <cellStyle name="Comma 5 3 2 2" xfId="1192" xr:uid="{00000000-0005-0000-0000-0000AB040000}"/>
    <cellStyle name="Comma 5 3 2 3" xfId="1193" xr:uid="{00000000-0005-0000-0000-0000AC040000}"/>
    <cellStyle name="Comma 5 3 3" xfId="1194" xr:uid="{00000000-0005-0000-0000-0000AD040000}"/>
    <cellStyle name="Comma 5 3 3 2" xfId="1195" xr:uid="{00000000-0005-0000-0000-0000AE040000}"/>
    <cellStyle name="Comma 5 3 3 3" xfId="1196" xr:uid="{00000000-0005-0000-0000-0000AF040000}"/>
    <cellStyle name="Comma 5 3 4" xfId="1197" xr:uid="{00000000-0005-0000-0000-0000B0040000}"/>
    <cellStyle name="Comma 5 3 4 2" xfId="1198" xr:uid="{00000000-0005-0000-0000-0000B1040000}"/>
    <cellStyle name="Comma 5 3 4 3" xfId="1199" xr:uid="{00000000-0005-0000-0000-0000B2040000}"/>
    <cellStyle name="Comma 5 3 5" xfId="1200" xr:uid="{00000000-0005-0000-0000-0000B3040000}"/>
    <cellStyle name="Comma 5 3 5 2" xfId="1201" xr:uid="{00000000-0005-0000-0000-0000B4040000}"/>
    <cellStyle name="Comma 5 3 5 3" xfId="1202" xr:uid="{00000000-0005-0000-0000-0000B5040000}"/>
    <cellStyle name="Comma 5 3 6" xfId="1203" xr:uid="{00000000-0005-0000-0000-0000B6040000}"/>
    <cellStyle name="Comma 5 3 6 2" xfId="1204" xr:uid="{00000000-0005-0000-0000-0000B7040000}"/>
    <cellStyle name="Comma 5 3 6 3" xfId="1205" xr:uid="{00000000-0005-0000-0000-0000B8040000}"/>
    <cellStyle name="Comma 5 3 7" xfId="1206" xr:uid="{00000000-0005-0000-0000-0000B9040000}"/>
    <cellStyle name="Comma 5 3 8" xfId="1207" xr:uid="{00000000-0005-0000-0000-0000BA040000}"/>
    <cellStyle name="Comma 5 4" xfId="1208" xr:uid="{00000000-0005-0000-0000-0000BB040000}"/>
    <cellStyle name="Comma 5 4 2" xfId="1209" xr:uid="{00000000-0005-0000-0000-0000BC040000}"/>
    <cellStyle name="Comma 5 4 2 2" xfId="1210" xr:uid="{00000000-0005-0000-0000-0000BD040000}"/>
    <cellStyle name="Comma 5 4 2 3" xfId="1211" xr:uid="{00000000-0005-0000-0000-0000BE040000}"/>
    <cellStyle name="Comma 5 4 3" xfId="1212" xr:uid="{00000000-0005-0000-0000-0000BF040000}"/>
    <cellStyle name="Comma 5 4 3 2" xfId="1213" xr:uid="{00000000-0005-0000-0000-0000C0040000}"/>
    <cellStyle name="Comma 5 4 3 3" xfId="1214" xr:uid="{00000000-0005-0000-0000-0000C1040000}"/>
    <cellStyle name="Comma 5 4 4" xfId="1215" xr:uid="{00000000-0005-0000-0000-0000C2040000}"/>
    <cellStyle name="Comma 5 4 4 2" xfId="1216" xr:uid="{00000000-0005-0000-0000-0000C3040000}"/>
    <cellStyle name="Comma 5 4 4 3" xfId="1217" xr:uid="{00000000-0005-0000-0000-0000C4040000}"/>
    <cellStyle name="Comma 5 4 5" xfId="1218" xr:uid="{00000000-0005-0000-0000-0000C5040000}"/>
    <cellStyle name="Comma 5 4 5 2" xfId="1219" xr:uid="{00000000-0005-0000-0000-0000C6040000}"/>
    <cellStyle name="Comma 5 4 5 3" xfId="1220" xr:uid="{00000000-0005-0000-0000-0000C7040000}"/>
    <cellStyle name="Comma 5 4 6" xfId="1221" xr:uid="{00000000-0005-0000-0000-0000C8040000}"/>
    <cellStyle name="Comma 5 4 6 2" xfId="1222" xr:uid="{00000000-0005-0000-0000-0000C9040000}"/>
    <cellStyle name="Comma 5 4 6 3" xfId="1223" xr:uid="{00000000-0005-0000-0000-0000CA040000}"/>
    <cellStyle name="Comma 5 4 7" xfId="1224" xr:uid="{00000000-0005-0000-0000-0000CB040000}"/>
    <cellStyle name="Comma 5 4 8" xfId="1225" xr:uid="{00000000-0005-0000-0000-0000CC040000}"/>
    <cellStyle name="Comma 5 5" xfId="1226" xr:uid="{00000000-0005-0000-0000-0000CD040000}"/>
    <cellStyle name="Comma 5 5 2" xfId="1227" xr:uid="{00000000-0005-0000-0000-0000CE040000}"/>
    <cellStyle name="Comma 5 5 2 2" xfId="1228" xr:uid="{00000000-0005-0000-0000-0000CF040000}"/>
    <cellStyle name="Comma 5 5 2 3" xfId="1229" xr:uid="{00000000-0005-0000-0000-0000D0040000}"/>
    <cellStyle name="Comma 5 5 3" xfId="1230" xr:uid="{00000000-0005-0000-0000-0000D1040000}"/>
    <cellStyle name="Comma 5 5 3 2" xfId="1231" xr:uid="{00000000-0005-0000-0000-0000D2040000}"/>
    <cellStyle name="Comma 5 5 3 3" xfId="1232" xr:uid="{00000000-0005-0000-0000-0000D3040000}"/>
    <cellStyle name="Comma 5 5 4" xfId="1233" xr:uid="{00000000-0005-0000-0000-0000D4040000}"/>
    <cellStyle name="Comma 5 5 4 2" xfId="1234" xr:uid="{00000000-0005-0000-0000-0000D5040000}"/>
    <cellStyle name="Comma 5 5 4 3" xfId="1235" xr:uid="{00000000-0005-0000-0000-0000D6040000}"/>
    <cellStyle name="Comma 5 5 5" xfId="1236" xr:uid="{00000000-0005-0000-0000-0000D7040000}"/>
    <cellStyle name="Comma 5 5 5 2" xfId="1237" xr:uid="{00000000-0005-0000-0000-0000D8040000}"/>
    <cellStyle name="Comma 5 5 5 3" xfId="1238" xr:uid="{00000000-0005-0000-0000-0000D9040000}"/>
    <cellStyle name="Comma 5 5 6" xfId="1239" xr:uid="{00000000-0005-0000-0000-0000DA040000}"/>
    <cellStyle name="Comma 5 5 6 2" xfId="1240" xr:uid="{00000000-0005-0000-0000-0000DB040000}"/>
    <cellStyle name="Comma 5 5 6 3" xfId="1241" xr:uid="{00000000-0005-0000-0000-0000DC040000}"/>
    <cellStyle name="Comma 5 5 7" xfId="1242" xr:uid="{00000000-0005-0000-0000-0000DD040000}"/>
    <cellStyle name="Comma 5 5 8" xfId="1243" xr:uid="{00000000-0005-0000-0000-0000DE040000}"/>
    <cellStyle name="Comma 5 6" xfId="1244" xr:uid="{00000000-0005-0000-0000-0000DF040000}"/>
    <cellStyle name="Comma 5 6 2" xfId="1245" xr:uid="{00000000-0005-0000-0000-0000E0040000}"/>
    <cellStyle name="Comma 5 6 2 2" xfId="1246" xr:uid="{00000000-0005-0000-0000-0000E1040000}"/>
    <cellStyle name="Comma 5 6 2 3" xfId="1247" xr:uid="{00000000-0005-0000-0000-0000E2040000}"/>
    <cellStyle name="Comma 5 6 3" xfId="1248" xr:uid="{00000000-0005-0000-0000-0000E3040000}"/>
    <cellStyle name="Comma 5 6 3 2" xfId="1249" xr:uid="{00000000-0005-0000-0000-0000E4040000}"/>
    <cellStyle name="Comma 5 6 3 3" xfId="1250" xr:uid="{00000000-0005-0000-0000-0000E5040000}"/>
    <cellStyle name="Comma 5 6 4" xfId="1251" xr:uid="{00000000-0005-0000-0000-0000E6040000}"/>
    <cellStyle name="Comma 5 6 4 2" xfId="1252" xr:uid="{00000000-0005-0000-0000-0000E7040000}"/>
    <cellStyle name="Comma 5 6 4 3" xfId="1253" xr:uid="{00000000-0005-0000-0000-0000E8040000}"/>
    <cellStyle name="Comma 5 6 5" xfId="1254" xr:uid="{00000000-0005-0000-0000-0000E9040000}"/>
    <cellStyle name="Comma 5 6 5 2" xfId="1255" xr:uid="{00000000-0005-0000-0000-0000EA040000}"/>
    <cellStyle name="Comma 5 6 5 3" xfId="1256" xr:uid="{00000000-0005-0000-0000-0000EB040000}"/>
    <cellStyle name="Comma 5 6 6" xfId="1257" xr:uid="{00000000-0005-0000-0000-0000EC040000}"/>
    <cellStyle name="Comma 5 6 6 2" xfId="1258" xr:uid="{00000000-0005-0000-0000-0000ED040000}"/>
    <cellStyle name="Comma 5 6 6 3" xfId="1259" xr:uid="{00000000-0005-0000-0000-0000EE040000}"/>
    <cellStyle name="Comma 5 6 7" xfId="1260" xr:uid="{00000000-0005-0000-0000-0000EF040000}"/>
    <cellStyle name="Comma 5 6 8" xfId="1261" xr:uid="{00000000-0005-0000-0000-0000F0040000}"/>
    <cellStyle name="Comma 5 7" xfId="1262" xr:uid="{00000000-0005-0000-0000-0000F1040000}"/>
    <cellStyle name="Comma 5 7 2" xfId="1263" xr:uid="{00000000-0005-0000-0000-0000F2040000}"/>
    <cellStyle name="Comma 5 7 2 2" xfId="1264" xr:uid="{00000000-0005-0000-0000-0000F3040000}"/>
    <cellStyle name="Comma 5 7 2 3" xfId="1265" xr:uid="{00000000-0005-0000-0000-0000F4040000}"/>
    <cellStyle name="Comma 5 7 3" xfId="1266" xr:uid="{00000000-0005-0000-0000-0000F5040000}"/>
    <cellStyle name="Comma 5 7 3 2" xfId="1267" xr:uid="{00000000-0005-0000-0000-0000F6040000}"/>
    <cellStyle name="Comma 5 7 3 3" xfId="1268" xr:uid="{00000000-0005-0000-0000-0000F7040000}"/>
    <cellStyle name="Comma 5 7 4" xfId="1269" xr:uid="{00000000-0005-0000-0000-0000F8040000}"/>
    <cellStyle name="Comma 5 7 4 2" xfId="1270" xr:uid="{00000000-0005-0000-0000-0000F9040000}"/>
    <cellStyle name="Comma 5 7 4 3" xfId="1271" xr:uid="{00000000-0005-0000-0000-0000FA040000}"/>
    <cellStyle name="Comma 5 7 5" xfId="1272" xr:uid="{00000000-0005-0000-0000-0000FB040000}"/>
    <cellStyle name="Comma 5 7 5 2" xfId="1273" xr:uid="{00000000-0005-0000-0000-0000FC040000}"/>
    <cellStyle name="Comma 5 7 5 3" xfId="1274" xr:uid="{00000000-0005-0000-0000-0000FD040000}"/>
    <cellStyle name="Comma 5 7 6" xfId="1275" xr:uid="{00000000-0005-0000-0000-0000FE040000}"/>
    <cellStyle name="Comma 5 7 6 2" xfId="1276" xr:uid="{00000000-0005-0000-0000-0000FF040000}"/>
    <cellStyle name="Comma 5 7 6 3" xfId="1277" xr:uid="{00000000-0005-0000-0000-000000050000}"/>
    <cellStyle name="Comma 5 7 7" xfId="1278" xr:uid="{00000000-0005-0000-0000-000001050000}"/>
    <cellStyle name="Comma 5 7 8" xfId="1279" xr:uid="{00000000-0005-0000-0000-000002050000}"/>
    <cellStyle name="Comma 5 8" xfId="1280" xr:uid="{00000000-0005-0000-0000-000003050000}"/>
    <cellStyle name="Comma 5 8 2" xfId="1281" xr:uid="{00000000-0005-0000-0000-000004050000}"/>
    <cellStyle name="Comma 5 8 2 2" xfId="1282" xr:uid="{00000000-0005-0000-0000-000005050000}"/>
    <cellStyle name="Comma 5 8 2 3" xfId="1283" xr:uid="{00000000-0005-0000-0000-000006050000}"/>
    <cellStyle name="Comma 5 8 3" xfId="1284" xr:uid="{00000000-0005-0000-0000-000007050000}"/>
    <cellStyle name="Comma 5 8 3 2" xfId="1285" xr:uid="{00000000-0005-0000-0000-000008050000}"/>
    <cellStyle name="Comma 5 8 3 3" xfId="1286" xr:uid="{00000000-0005-0000-0000-000009050000}"/>
    <cellStyle name="Comma 5 8 4" xfId="1287" xr:uid="{00000000-0005-0000-0000-00000A050000}"/>
    <cellStyle name="Comma 5 8 4 2" xfId="1288" xr:uid="{00000000-0005-0000-0000-00000B050000}"/>
    <cellStyle name="Comma 5 8 4 3" xfId="1289" xr:uid="{00000000-0005-0000-0000-00000C050000}"/>
    <cellStyle name="Comma 5 8 5" xfId="1290" xr:uid="{00000000-0005-0000-0000-00000D050000}"/>
    <cellStyle name="Comma 5 8 5 2" xfId="1291" xr:uid="{00000000-0005-0000-0000-00000E050000}"/>
    <cellStyle name="Comma 5 8 5 3" xfId="1292" xr:uid="{00000000-0005-0000-0000-00000F050000}"/>
    <cellStyle name="Comma 5 8 6" xfId="1293" xr:uid="{00000000-0005-0000-0000-000010050000}"/>
    <cellStyle name="Comma 5 8 6 2" xfId="1294" xr:uid="{00000000-0005-0000-0000-000011050000}"/>
    <cellStyle name="Comma 5 8 6 3" xfId="1295" xr:uid="{00000000-0005-0000-0000-000012050000}"/>
    <cellStyle name="Comma 5 8 7" xfId="1296" xr:uid="{00000000-0005-0000-0000-000013050000}"/>
    <cellStyle name="Comma 5 8 8" xfId="1297" xr:uid="{00000000-0005-0000-0000-000014050000}"/>
    <cellStyle name="Comma 5 9" xfId="1298" xr:uid="{00000000-0005-0000-0000-000015050000}"/>
    <cellStyle name="Comma 5 9 2" xfId="1299" xr:uid="{00000000-0005-0000-0000-000016050000}"/>
    <cellStyle name="Comma 5 9 2 2" xfId="1300" xr:uid="{00000000-0005-0000-0000-000017050000}"/>
    <cellStyle name="Comma 5 9 2 3" xfId="1301" xr:uid="{00000000-0005-0000-0000-000018050000}"/>
    <cellStyle name="Comma 5 9 3" xfId="1302" xr:uid="{00000000-0005-0000-0000-000019050000}"/>
    <cellStyle name="Comma 5 9 3 2" xfId="1303" xr:uid="{00000000-0005-0000-0000-00001A050000}"/>
    <cellStyle name="Comma 5 9 3 3" xfId="1304" xr:uid="{00000000-0005-0000-0000-00001B050000}"/>
    <cellStyle name="Comma 5 9 4" xfId="1305" xr:uid="{00000000-0005-0000-0000-00001C050000}"/>
    <cellStyle name="Comma 5 9 4 2" xfId="1306" xr:uid="{00000000-0005-0000-0000-00001D050000}"/>
    <cellStyle name="Comma 5 9 4 3" xfId="1307" xr:uid="{00000000-0005-0000-0000-00001E050000}"/>
    <cellStyle name="Comma 5 9 5" xfId="1308" xr:uid="{00000000-0005-0000-0000-00001F050000}"/>
    <cellStyle name="Comma 5 9 5 2" xfId="1309" xr:uid="{00000000-0005-0000-0000-000020050000}"/>
    <cellStyle name="Comma 5 9 5 3" xfId="1310" xr:uid="{00000000-0005-0000-0000-000021050000}"/>
    <cellStyle name="Comma 5 9 6" xfId="1311" xr:uid="{00000000-0005-0000-0000-000022050000}"/>
    <cellStyle name="Comma 5 9 6 2" xfId="1312" xr:uid="{00000000-0005-0000-0000-000023050000}"/>
    <cellStyle name="Comma 5 9 6 3" xfId="1313" xr:uid="{00000000-0005-0000-0000-000024050000}"/>
    <cellStyle name="Comma 5 9 7" xfId="1314" xr:uid="{00000000-0005-0000-0000-000025050000}"/>
    <cellStyle name="Comma 5 9 8" xfId="1315" xr:uid="{00000000-0005-0000-0000-000026050000}"/>
    <cellStyle name="Comma 5_Electrical Boqs Phase 2" xfId="1316" xr:uid="{00000000-0005-0000-0000-000027050000}"/>
    <cellStyle name="Comma 50" xfId="1317" xr:uid="{00000000-0005-0000-0000-000028050000}"/>
    <cellStyle name="Comma 51" xfId="1318" xr:uid="{00000000-0005-0000-0000-000029050000}"/>
    <cellStyle name="Comma 51 2" xfId="1319" xr:uid="{00000000-0005-0000-0000-00002A050000}"/>
    <cellStyle name="Comma 52" xfId="1320" xr:uid="{00000000-0005-0000-0000-00002B050000}"/>
    <cellStyle name="Comma 53" xfId="1321" xr:uid="{00000000-0005-0000-0000-00002C050000}"/>
    <cellStyle name="Comma 54" xfId="1322" xr:uid="{00000000-0005-0000-0000-00002D050000}"/>
    <cellStyle name="Comma 55" xfId="1323" xr:uid="{00000000-0005-0000-0000-00002E050000}"/>
    <cellStyle name="Comma 56" xfId="1324" xr:uid="{00000000-0005-0000-0000-00002F050000}"/>
    <cellStyle name="Comma 57" xfId="1325" xr:uid="{00000000-0005-0000-0000-000030050000}"/>
    <cellStyle name="Comma 58" xfId="1326" xr:uid="{00000000-0005-0000-0000-000031050000}"/>
    <cellStyle name="Comma 58 2" xfId="1327" xr:uid="{00000000-0005-0000-0000-000032050000}"/>
    <cellStyle name="Comma 59" xfId="1328" xr:uid="{00000000-0005-0000-0000-000033050000}"/>
    <cellStyle name="Comma 6" xfId="1329" xr:uid="{00000000-0005-0000-0000-000034050000}"/>
    <cellStyle name="Comma 6 10" xfId="1330" xr:uid="{00000000-0005-0000-0000-000035050000}"/>
    <cellStyle name="Comma 6 10 2" xfId="1331" xr:uid="{00000000-0005-0000-0000-000036050000}"/>
    <cellStyle name="Comma 6 10 2 2" xfId="1332" xr:uid="{00000000-0005-0000-0000-000037050000}"/>
    <cellStyle name="Comma 6 10 2 3" xfId="1333" xr:uid="{00000000-0005-0000-0000-000038050000}"/>
    <cellStyle name="Comma 6 10 3" xfId="1334" xr:uid="{00000000-0005-0000-0000-000039050000}"/>
    <cellStyle name="Comma 6 10 3 2" xfId="1335" xr:uid="{00000000-0005-0000-0000-00003A050000}"/>
    <cellStyle name="Comma 6 10 3 3" xfId="1336" xr:uid="{00000000-0005-0000-0000-00003B050000}"/>
    <cellStyle name="Comma 6 10 4" xfId="1337" xr:uid="{00000000-0005-0000-0000-00003C050000}"/>
    <cellStyle name="Comma 6 10 4 2" xfId="1338" xr:uid="{00000000-0005-0000-0000-00003D050000}"/>
    <cellStyle name="Comma 6 10 4 3" xfId="1339" xr:uid="{00000000-0005-0000-0000-00003E050000}"/>
    <cellStyle name="Comma 6 10 5" xfId="1340" xr:uid="{00000000-0005-0000-0000-00003F050000}"/>
    <cellStyle name="Comma 6 10 5 2" xfId="1341" xr:uid="{00000000-0005-0000-0000-000040050000}"/>
    <cellStyle name="Comma 6 10 5 3" xfId="1342" xr:uid="{00000000-0005-0000-0000-000041050000}"/>
    <cellStyle name="Comma 6 10 6" xfId="1343" xr:uid="{00000000-0005-0000-0000-000042050000}"/>
    <cellStyle name="Comma 6 10 6 2" xfId="1344" xr:uid="{00000000-0005-0000-0000-000043050000}"/>
    <cellStyle name="Comma 6 10 6 3" xfId="1345" xr:uid="{00000000-0005-0000-0000-000044050000}"/>
    <cellStyle name="Comma 6 10 7" xfId="1346" xr:uid="{00000000-0005-0000-0000-000045050000}"/>
    <cellStyle name="Comma 6 10 8" xfId="1347" xr:uid="{00000000-0005-0000-0000-000046050000}"/>
    <cellStyle name="Comma 6 11" xfId="1348" xr:uid="{00000000-0005-0000-0000-000047050000}"/>
    <cellStyle name="Comma 6 11 2" xfId="1349" xr:uid="{00000000-0005-0000-0000-000048050000}"/>
    <cellStyle name="Comma 6 11 2 2" xfId="1350" xr:uid="{00000000-0005-0000-0000-000049050000}"/>
    <cellStyle name="Comma 6 11 2 3" xfId="1351" xr:uid="{00000000-0005-0000-0000-00004A050000}"/>
    <cellStyle name="Comma 6 11 3" xfId="1352" xr:uid="{00000000-0005-0000-0000-00004B050000}"/>
    <cellStyle name="Comma 6 11 3 2" xfId="1353" xr:uid="{00000000-0005-0000-0000-00004C050000}"/>
    <cellStyle name="Comma 6 11 3 3" xfId="1354" xr:uid="{00000000-0005-0000-0000-00004D050000}"/>
    <cellStyle name="Comma 6 11 4" xfId="1355" xr:uid="{00000000-0005-0000-0000-00004E050000}"/>
    <cellStyle name="Comma 6 11 4 2" xfId="1356" xr:uid="{00000000-0005-0000-0000-00004F050000}"/>
    <cellStyle name="Comma 6 11 4 3" xfId="1357" xr:uid="{00000000-0005-0000-0000-000050050000}"/>
    <cellStyle name="Comma 6 11 5" xfId="1358" xr:uid="{00000000-0005-0000-0000-000051050000}"/>
    <cellStyle name="Comma 6 11 5 2" xfId="1359" xr:uid="{00000000-0005-0000-0000-000052050000}"/>
    <cellStyle name="Comma 6 11 5 3" xfId="1360" xr:uid="{00000000-0005-0000-0000-000053050000}"/>
    <cellStyle name="Comma 6 11 6" xfId="1361" xr:uid="{00000000-0005-0000-0000-000054050000}"/>
    <cellStyle name="Comma 6 11 6 2" xfId="1362" xr:uid="{00000000-0005-0000-0000-000055050000}"/>
    <cellStyle name="Comma 6 11 6 3" xfId="1363" xr:uid="{00000000-0005-0000-0000-000056050000}"/>
    <cellStyle name="Comma 6 11 7" xfId="1364" xr:uid="{00000000-0005-0000-0000-000057050000}"/>
    <cellStyle name="Comma 6 11 8" xfId="1365" xr:uid="{00000000-0005-0000-0000-000058050000}"/>
    <cellStyle name="Comma 6 12" xfId="1366" xr:uid="{00000000-0005-0000-0000-000059050000}"/>
    <cellStyle name="Comma 6 12 2" xfId="1367" xr:uid="{00000000-0005-0000-0000-00005A050000}"/>
    <cellStyle name="Comma 6 12 3" xfId="1368" xr:uid="{00000000-0005-0000-0000-00005B050000}"/>
    <cellStyle name="Comma 6 13" xfId="1369" xr:uid="{00000000-0005-0000-0000-00005C050000}"/>
    <cellStyle name="Comma 6 13 2" xfId="1370" xr:uid="{00000000-0005-0000-0000-00005D050000}"/>
    <cellStyle name="Comma 6 13 3" xfId="1371" xr:uid="{00000000-0005-0000-0000-00005E050000}"/>
    <cellStyle name="Comma 6 13 4" xfId="1372" xr:uid="{00000000-0005-0000-0000-00005F050000}"/>
    <cellStyle name="Comma 6 14" xfId="1373" xr:uid="{00000000-0005-0000-0000-000060050000}"/>
    <cellStyle name="Comma 6 14 2" xfId="1374" xr:uid="{00000000-0005-0000-0000-000061050000}"/>
    <cellStyle name="Comma 6 14 3" xfId="1375" xr:uid="{00000000-0005-0000-0000-000062050000}"/>
    <cellStyle name="Comma 6 15" xfId="1376" xr:uid="{00000000-0005-0000-0000-000063050000}"/>
    <cellStyle name="Comma 6 15 2" xfId="1377" xr:uid="{00000000-0005-0000-0000-000064050000}"/>
    <cellStyle name="Comma 6 15 3" xfId="1378" xr:uid="{00000000-0005-0000-0000-000065050000}"/>
    <cellStyle name="Comma 6 16" xfId="1379" xr:uid="{00000000-0005-0000-0000-000066050000}"/>
    <cellStyle name="Comma 6 16 2" xfId="1380" xr:uid="{00000000-0005-0000-0000-000067050000}"/>
    <cellStyle name="Comma 6 16 3" xfId="1381" xr:uid="{00000000-0005-0000-0000-000068050000}"/>
    <cellStyle name="Comma 6 17" xfId="1382" xr:uid="{00000000-0005-0000-0000-000069050000}"/>
    <cellStyle name="Comma 6 18" xfId="1383" xr:uid="{00000000-0005-0000-0000-00006A050000}"/>
    <cellStyle name="Comma 6 2" xfId="1384" xr:uid="{00000000-0005-0000-0000-00006B050000}"/>
    <cellStyle name="Comma 6 2 10 2" xfId="1385" xr:uid="{00000000-0005-0000-0000-00006C050000}"/>
    <cellStyle name="Comma 6 2 2" xfId="1386" xr:uid="{00000000-0005-0000-0000-00006D050000}"/>
    <cellStyle name="Comma 6 2 2 2" xfId="1387" xr:uid="{00000000-0005-0000-0000-00006E050000}"/>
    <cellStyle name="Comma 6 2 2 3" xfId="1388" xr:uid="{00000000-0005-0000-0000-00006F050000}"/>
    <cellStyle name="Comma 6 2 3" xfId="1389" xr:uid="{00000000-0005-0000-0000-000070050000}"/>
    <cellStyle name="Comma 6 2 3 2" xfId="1390" xr:uid="{00000000-0005-0000-0000-000071050000}"/>
    <cellStyle name="Comma 6 2 3 3" xfId="1391" xr:uid="{00000000-0005-0000-0000-000072050000}"/>
    <cellStyle name="Comma 6 2 4" xfId="1392" xr:uid="{00000000-0005-0000-0000-000073050000}"/>
    <cellStyle name="Comma 6 2 4 2" xfId="1393" xr:uid="{00000000-0005-0000-0000-000074050000}"/>
    <cellStyle name="Comma 6 2 4 3" xfId="1394" xr:uid="{00000000-0005-0000-0000-000075050000}"/>
    <cellStyle name="Comma 6 2 5" xfId="1395" xr:uid="{00000000-0005-0000-0000-000076050000}"/>
    <cellStyle name="Comma 6 2 5 2" xfId="1396" xr:uid="{00000000-0005-0000-0000-000077050000}"/>
    <cellStyle name="Comma 6 2 5 3" xfId="1397" xr:uid="{00000000-0005-0000-0000-000078050000}"/>
    <cellStyle name="Comma 6 2 6" xfId="1398" xr:uid="{00000000-0005-0000-0000-000079050000}"/>
    <cellStyle name="Comma 6 2 6 2" xfId="1399" xr:uid="{00000000-0005-0000-0000-00007A050000}"/>
    <cellStyle name="Comma 6 2 6 3" xfId="1400" xr:uid="{00000000-0005-0000-0000-00007B050000}"/>
    <cellStyle name="Comma 6 2 7" xfId="1401" xr:uid="{00000000-0005-0000-0000-00007C050000}"/>
    <cellStyle name="Comma 6 2 8" xfId="1402" xr:uid="{00000000-0005-0000-0000-00007D050000}"/>
    <cellStyle name="Comma 6 3" xfId="1403" xr:uid="{00000000-0005-0000-0000-00007E050000}"/>
    <cellStyle name="Comma 6 3 2" xfId="1404" xr:uid="{00000000-0005-0000-0000-00007F050000}"/>
    <cellStyle name="Comma 6 3 2 2" xfId="1405" xr:uid="{00000000-0005-0000-0000-000080050000}"/>
    <cellStyle name="Comma 6 3 2 3" xfId="1406" xr:uid="{00000000-0005-0000-0000-000081050000}"/>
    <cellStyle name="Comma 6 3 3" xfId="1407" xr:uid="{00000000-0005-0000-0000-000082050000}"/>
    <cellStyle name="Comma 6 3 3 2" xfId="1408" xr:uid="{00000000-0005-0000-0000-000083050000}"/>
    <cellStyle name="Comma 6 3 3 3" xfId="1409" xr:uid="{00000000-0005-0000-0000-000084050000}"/>
    <cellStyle name="Comma 6 3 4" xfId="1410" xr:uid="{00000000-0005-0000-0000-000085050000}"/>
    <cellStyle name="Comma 6 3 4 2" xfId="1411" xr:uid="{00000000-0005-0000-0000-000086050000}"/>
    <cellStyle name="Comma 6 3 4 3" xfId="1412" xr:uid="{00000000-0005-0000-0000-000087050000}"/>
    <cellStyle name="Comma 6 3 5" xfId="1413" xr:uid="{00000000-0005-0000-0000-000088050000}"/>
    <cellStyle name="Comma 6 3 5 2" xfId="1414" xr:uid="{00000000-0005-0000-0000-000089050000}"/>
    <cellStyle name="Comma 6 3 5 3" xfId="1415" xr:uid="{00000000-0005-0000-0000-00008A050000}"/>
    <cellStyle name="Comma 6 3 6" xfId="1416" xr:uid="{00000000-0005-0000-0000-00008B050000}"/>
    <cellStyle name="Comma 6 3 6 2" xfId="1417" xr:uid="{00000000-0005-0000-0000-00008C050000}"/>
    <cellStyle name="Comma 6 3 6 3" xfId="1418" xr:uid="{00000000-0005-0000-0000-00008D050000}"/>
    <cellStyle name="Comma 6 3 7" xfId="1419" xr:uid="{00000000-0005-0000-0000-00008E050000}"/>
    <cellStyle name="Comma 6 3 8" xfId="1420" xr:uid="{00000000-0005-0000-0000-00008F050000}"/>
    <cellStyle name="Comma 6 4" xfId="1421" xr:uid="{00000000-0005-0000-0000-000090050000}"/>
    <cellStyle name="Comma 6 4 2" xfId="1422" xr:uid="{00000000-0005-0000-0000-000091050000}"/>
    <cellStyle name="Comma 6 4 2 2" xfId="1423" xr:uid="{00000000-0005-0000-0000-000092050000}"/>
    <cellStyle name="Comma 6 4 2 3" xfId="1424" xr:uid="{00000000-0005-0000-0000-000093050000}"/>
    <cellStyle name="Comma 6 4 3" xfId="1425" xr:uid="{00000000-0005-0000-0000-000094050000}"/>
    <cellStyle name="Comma 6 4 3 2" xfId="1426" xr:uid="{00000000-0005-0000-0000-000095050000}"/>
    <cellStyle name="Comma 6 4 3 3" xfId="1427" xr:uid="{00000000-0005-0000-0000-000096050000}"/>
    <cellStyle name="Comma 6 4 4" xfId="1428" xr:uid="{00000000-0005-0000-0000-000097050000}"/>
    <cellStyle name="Comma 6 4 4 2" xfId="1429" xr:uid="{00000000-0005-0000-0000-000098050000}"/>
    <cellStyle name="Comma 6 4 4 3" xfId="1430" xr:uid="{00000000-0005-0000-0000-000099050000}"/>
    <cellStyle name="Comma 6 4 5" xfId="1431" xr:uid="{00000000-0005-0000-0000-00009A050000}"/>
    <cellStyle name="Comma 6 4 5 2" xfId="1432" xr:uid="{00000000-0005-0000-0000-00009B050000}"/>
    <cellStyle name="Comma 6 4 5 3" xfId="1433" xr:uid="{00000000-0005-0000-0000-00009C050000}"/>
    <cellStyle name="Comma 6 4 6" xfId="1434" xr:uid="{00000000-0005-0000-0000-00009D050000}"/>
    <cellStyle name="Comma 6 4 6 2" xfId="1435" xr:uid="{00000000-0005-0000-0000-00009E050000}"/>
    <cellStyle name="Comma 6 4 6 3" xfId="1436" xr:uid="{00000000-0005-0000-0000-00009F050000}"/>
    <cellStyle name="Comma 6 4 7" xfId="1437" xr:uid="{00000000-0005-0000-0000-0000A0050000}"/>
    <cellStyle name="Comma 6 4 8" xfId="1438" xr:uid="{00000000-0005-0000-0000-0000A1050000}"/>
    <cellStyle name="Comma 6 5" xfId="1439" xr:uid="{00000000-0005-0000-0000-0000A2050000}"/>
    <cellStyle name="Comma 6 5 2" xfId="1440" xr:uid="{00000000-0005-0000-0000-0000A3050000}"/>
    <cellStyle name="Comma 6 5 2 2" xfId="1441" xr:uid="{00000000-0005-0000-0000-0000A4050000}"/>
    <cellStyle name="Comma 6 5 2 3" xfId="1442" xr:uid="{00000000-0005-0000-0000-0000A5050000}"/>
    <cellStyle name="Comma 6 5 3" xfId="1443" xr:uid="{00000000-0005-0000-0000-0000A6050000}"/>
    <cellStyle name="Comma 6 5 3 2" xfId="1444" xr:uid="{00000000-0005-0000-0000-0000A7050000}"/>
    <cellStyle name="Comma 6 5 3 3" xfId="1445" xr:uid="{00000000-0005-0000-0000-0000A8050000}"/>
    <cellStyle name="Comma 6 5 4" xfId="1446" xr:uid="{00000000-0005-0000-0000-0000A9050000}"/>
    <cellStyle name="Comma 6 5 4 2" xfId="1447" xr:uid="{00000000-0005-0000-0000-0000AA050000}"/>
    <cellStyle name="Comma 6 5 4 3" xfId="1448" xr:uid="{00000000-0005-0000-0000-0000AB050000}"/>
    <cellStyle name="Comma 6 5 5" xfId="1449" xr:uid="{00000000-0005-0000-0000-0000AC050000}"/>
    <cellStyle name="Comma 6 5 5 2" xfId="1450" xr:uid="{00000000-0005-0000-0000-0000AD050000}"/>
    <cellStyle name="Comma 6 5 5 3" xfId="1451" xr:uid="{00000000-0005-0000-0000-0000AE050000}"/>
    <cellStyle name="Comma 6 5 6" xfId="1452" xr:uid="{00000000-0005-0000-0000-0000AF050000}"/>
    <cellStyle name="Comma 6 5 6 2" xfId="1453" xr:uid="{00000000-0005-0000-0000-0000B0050000}"/>
    <cellStyle name="Comma 6 5 6 3" xfId="1454" xr:uid="{00000000-0005-0000-0000-0000B1050000}"/>
    <cellStyle name="Comma 6 5 7" xfId="1455" xr:uid="{00000000-0005-0000-0000-0000B2050000}"/>
    <cellStyle name="Comma 6 5 8" xfId="1456" xr:uid="{00000000-0005-0000-0000-0000B3050000}"/>
    <cellStyle name="Comma 6 6" xfId="1457" xr:uid="{00000000-0005-0000-0000-0000B4050000}"/>
    <cellStyle name="Comma 6 6 2" xfId="1458" xr:uid="{00000000-0005-0000-0000-0000B5050000}"/>
    <cellStyle name="Comma 6 6 2 2" xfId="1459" xr:uid="{00000000-0005-0000-0000-0000B6050000}"/>
    <cellStyle name="Comma 6 6 2 3" xfId="1460" xr:uid="{00000000-0005-0000-0000-0000B7050000}"/>
    <cellStyle name="Comma 6 6 3" xfId="1461" xr:uid="{00000000-0005-0000-0000-0000B8050000}"/>
    <cellStyle name="Comma 6 6 3 2" xfId="1462" xr:uid="{00000000-0005-0000-0000-0000B9050000}"/>
    <cellStyle name="Comma 6 6 3 3" xfId="1463" xr:uid="{00000000-0005-0000-0000-0000BA050000}"/>
    <cellStyle name="Comma 6 6 4" xfId="1464" xr:uid="{00000000-0005-0000-0000-0000BB050000}"/>
    <cellStyle name="Comma 6 6 4 2" xfId="1465" xr:uid="{00000000-0005-0000-0000-0000BC050000}"/>
    <cellStyle name="Comma 6 6 4 3" xfId="1466" xr:uid="{00000000-0005-0000-0000-0000BD050000}"/>
    <cellStyle name="Comma 6 6 5" xfId="1467" xr:uid="{00000000-0005-0000-0000-0000BE050000}"/>
    <cellStyle name="Comma 6 6 5 2" xfId="1468" xr:uid="{00000000-0005-0000-0000-0000BF050000}"/>
    <cellStyle name="Comma 6 6 5 3" xfId="1469" xr:uid="{00000000-0005-0000-0000-0000C0050000}"/>
    <cellStyle name="Comma 6 6 6" xfId="1470" xr:uid="{00000000-0005-0000-0000-0000C1050000}"/>
    <cellStyle name="Comma 6 6 6 2" xfId="1471" xr:uid="{00000000-0005-0000-0000-0000C2050000}"/>
    <cellStyle name="Comma 6 6 6 3" xfId="1472" xr:uid="{00000000-0005-0000-0000-0000C3050000}"/>
    <cellStyle name="Comma 6 6 7" xfId="1473" xr:uid="{00000000-0005-0000-0000-0000C4050000}"/>
    <cellStyle name="Comma 6 6 8" xfId="1474" xr:uid="{00000000-0005-0000-0000-0000C5050000}"/>
    <cellStyle name="Comma 6 7" xfId="1475" xr:uid="{00000000-0005-0000-0000-0000C6050000}"/>
    <cellStyle name="Comma 6 7 2" xfId="1476" xr:uid="{00000000-0005-0000-0000-0000C7050000}"/>
    <cellStyle name="Comma 6 7 2 2" xfId="1477" xr:uid="{00000000-0005-0000-0000-0000C8050000}"/>
    <cellStyle name="Comma 6 7 2 3" xfId="1478" xr:uid="{00000000-0005-0000-0000-0000C9050000}"/>
    <cellStyle name="Comma 6 7 3" xfId="1479" xr:uid="{00000000-0005-0000-0000-0000CA050000}"/>
    <cellStyle name="Comma 6 7 3 2" xfId="1480" xr:uid="{00000000-0005-0000-0000-0000CB050000}"/>
    <cellStyle name="Comma 6 7 3 3" xfId="1481" xr:uid="{00000000-0005-0000-0000-0000CC050000}"/>
    <cellStyle name="Comma 6 7 4" xfId="1482" xr:uid="{00000000-0005-0000-0000-0000CD050000}"/>
    <cellStyle name="Comma 6 7 4 2" xfId="1483" xr:uid="{00000000-0005-0000-0000-0000CE050000}"/>
    <cellStyle name="Comma 6 7 4 3" xfId="1484" xr:uid="{00000000-0005-0000-0000-0000CF050000}"/>
    <cellStyle name="Comma 6 7 5" xfId="1485" xr:uid="{00000000-0005-0000-0000-0000D0050000}"/>
    <cellStyle name="Comma 6 7 5 2" xfId="1486" xr:uid="{00000000-0005-0000-0000-0000D1050000}"/>
    <cellStyle name="Comma 6 7 5 3" xfId="1487" xr:uid="{00000000-0005-0000-0000-0000D2050000}"/>
    <cellStyle name="Comma 6 7 6" xfId="1488" xr:uid="{00000000-0005-0000-0000-0000D3050000}"/>
    <cellStyle name="Comma 6 7 6 2" xfId="1489" xr:uid="{00000000-0005-0000-0000-0000D4050000}"/>
    <cellStyle name="Comma 6 7 6 3" xfId="1490" xr:uid="{00000000-0005-0000-0000-0000D5050000}"/>
    <cellStyle name="Comma 6 7 7" xfId="1491" xr:uid="{00000000-0005-0000-0000-0000D6050000}"/>
    <cellStyle name="Comma 6 7 8" xfId="1492" xr:uid="{00000000-0005-0000-0000-0000D7050000}"/>
    <cellStyle name="Comma 6 8" xfId="1493" xr:uid="{00000000-0005-0000-0000-0000D8050000}"/>
    <cellStyle name="Comma 6 8 2" xfId="1494" xr:uid="{00000000-0005-0000-0000-0000D9050000}"/>
    <cellStyle name="Comma 6 8 2 2" xfId="1495" xr:uid="{00000000-0005-0000-0000-0000DA050000}"/>
    <cellStyle name="Comma 6 8 2 3" xfId="1496" xr:uid="{00000000-0005-0000-0000-0000DB050000}"/>
    <cellStyle name="Comma 6 8 3" xfId="1497" xr:uid="{00000000-0005-0000-0000-0000DC050000}"/>
    <cellStyle name="Comma 6 8 3 2" xfId="1498" xr:uid="{00000000-0005-0000-0000-0000DD050000}"/>
    <cellStyle name="Comma 6 8 3 3" xfId="1499" xr:uid="{00000000-0005-0000-0000-0000DE050000}"/>
    <cellStyle name="Comma 6 8 4" xfId="1500" xr:uid="{00000000-0005-0000-0000-0000DF050000}"/>
    <cellStyle name="Comma 6 8 4 2" xfId="1501" xr:uid="{00000000-0005-0000-0000-0000E0050000}"/>
    <cellStyle name="Comma 6 8 4 3" xfId="1502" xr:uid="{00000000-0005-0000-0000-0000E1050000}"/>
    <cellStyle name="Comma 6 8 5" xfId="1503" xr:uid="{00000000-0005-0000-0000-0000E2050000}"/>
    <cellStyle name="Comma 6 8 5 2" xfId="1504" xr:uid="{00000000-0005-0000-0000-0000E3050000}"/>
    <cellStyle name="Comma 6 8 5 3" xfId="1505" xr:uid="{00000000-0005-0000-0000-0000E4050000}"/>
    <cellStyle name="Comma 6 8 6" xfId="1506" xr:uid="{00000000-0005-0000-0000-0000E5050000}"/>
    <cellStyle name="Comma 6 8 6 2" xfId="1507" xr:uid="{00000000-0005-0000-0000-0000E6050000}"/>
    <cellStyle name="Comma 6 8 6 3" xfId="1508" xr:uid="{00000000-0005-0000-0000-0000E7050000}"/>
    <cellStyle name="Comma 6 8 7" xfId="1509" xr:uid="{00000000-0005-0000-0000-0000E8050000}"/>
    <cellStyle name="Comma 6 8 8" xfId="1510" xr:uid="{00000000-0005-0000-0000-0000E9050000}"/>
    <cellStyle name="Comma 6 9" xfId="1511" xr:uid="{00000000-0005-0000-0000-0000EA050000}"/>
    <cellStyle name="Comma 6 9 2" xfId="1512" xr:uid="{00000000-0005-0000-0000-0000EB050000}"/>
    <cellStyle name="Comma 6 9 2 2" xfId="1513" xr:uid="{00000000-0005-0000-0000-0000EC050000}"/>
    <cellStyle name="Comma 6 9 2 3" xfId="1514" xr:uid="{00000000-0005-0000-0000-0000ED050000}"/>
    <cellStyle name="Comma 6 9 3" xfId="1515" xr:uid="{00000000-0005-0000-0000-0000EE050000}"/>
    <cellStyle name="Comma 6 9 3 2" xfId="1516" xr:uid="{00000000-0005-0000-0000-0000EF050000}"/>
    <cellStyle name="Comma 6 9 3 3" xfId="1517" xr:uid="{00000000-0005-0000-0000-0000F0050000}"/>
    <cellStyle name="Comma 6 9 4" xfId="1518" xr:uid="{00000000-0005-0000-0000-0000F1050000}"/>
    <cellStyle name="Comma 6 9 4 2" xfId="1519" xr:uid="{00000000-0005-0000-0000-0000F2050000}"/>
    <cellStyle name="Comma 6 9 4 3" xfId="1520" xr:uid="{00000000-0005-0000-0000-0000F3050000}"/>
    <cellStyle name="Comma 6 9 5" xfId="1521" xr:uid="{00000000-0005-0000-0000-0000F4050000}"/>
    <cellStyle name="Comma 6 9 5 2" xfId="1522" xr:uid="{00000000-0005-0000-0000-0000F5050000}"/>
    <cellStyle name="Comma 6 9 5 3" xfId="1523" xr:uid="{00000000-0005-0000-0000-0000F6050000}"/>
    <cellStyle name="Comma 6 9 6" xfId="1524" xr:uid="{00000000-0005-0000-0000-0000F7050000}"/>
    <cellStyle name="Comma 6 9 6 2" xfId="1525" xr:uid="{00000000-0005-0000-0000-0000F8050000}"/>
    <cellStyle name="Comma 6 9 6 3" xfId="1526" xr:uid="{00000000-0005-0000-0000-0000F9050000}"/>
    <cellStyle name="Comma 6 9 7" xfId="1527" xr:uid="{00000000-0005-0000-0000-0000FA050000}"/>
    <cellStyle name="Comma 6 9 8" xfId="1528" xr:uid="{00000000-0005-0000-0000-0000FB050000}"/>
    <cellStyle name="Comma 6_Electrical Boqs Phase 2" xfId="1529" xr:uid="{00000000-0005-0000-0000-0000FC050000}"/>
    <cellStyle name="Comma 60" xfId="1530" xr:uid="{00000000-0005-0000-0000-0000FD050000}"/>
    <cellStyle name="Comma 61" xfId="1531" xr:uid="{00000000-0005-0000-0000-0000FE050000}"/>
    <cellStyle name="Comma 65" xfId="1532" xr:uid="{00000000-0005-0000-0000-0000FF050000}"/>
    <cellStyle name="Comma 7" xfId="1533" xr:uid="{00000000-0005-0000-0000-000000060000}"/>
    <cellStyle name="Comma 7 10" xfId="1534" xr:uid="{00000000-0005-0000-0000-000001060000}"/>
    <cellStyle name="Comma 7 2" xfId="1535" xr:uid="{00000000-0005-0000-0000-000002060000}"/>
    <cellStyle name="Comma 7 2 2" xfId="1536" xr:uid="{00000000-0005-0000-0000-000003060000}"/>
    <cellStyle name="Comma 7 2 2 2" xfId="1537" xr:uid="{00000000-0005-0000-0000-000004060000}"/>
    <cellStyle name="Comma 7 2 2 3" xfId="1538" xr:uid="{00000000-0005-0000-0000-000005060000}"/>
    <cellStyle name="Comma 7 2 3" xfId="1539" xr:uid="{00000000-0005-0000-0000-000006060000}"/>
    <cellStyle name="Comma 7 2 3 2" xfId="1540" xr:uid="{00000000-0005-0000-0000-000007060000}"/>
    <cellStyle name="Comma 7 2 3 3" xfId="1541" xr:uid="{00000000-0005-0000-0000-000008060000}"/>
    <cellStyle name="Comma 7 2 4" xfId="1542" xr:uid="{00000000-0005-0000-0000-000009060000}"/>
    <cellStyle name="Comma 7 2 4 2" xfId="1543" xr:uid="{00000000-0005-0000-0000-00000A060000}"/>
    <cellStyle name="Comma 7 2 4 3" xfId="1544" xr:uid="{00000000-0005-0000-0000-00000B060000}"/>
    <cellStyle name="Comma 7 2 5" xfId="1545" xr:uid="{00000000-0005-0000-0000-00000C060000}"/>
    <cellStyle name="Comma 7 2 5 2" xfId="1546" xr:uid="{00000000-0005-0000-0000-00000D060000}"/>
    <cellStyle name="Comma 7 2 5 3" xfId="1547" xr:uid="{00000000-0005-0000-0000-00000E060000}"/>
    <cellStyle name="Comma 7 2 6" xfId="1548" xr:uid="{00000000-0005-0000-0000-00000F060000}"/>
    <cellStyle name="Comma 7 2 6 2" xfId="1549" xr:uid="{00000000-0005-0000-0000-000010060000}"/>
    <cellStyle name="Comma 7 2 6 3" xfId="1550" xr:uid="{00000000-0005-0000-0000-000011060000}"/>
    <cellStyle name="Comma 7 2 7" xfId="1551" xr:uid="{00000000-0005-0000-0000-000012060000}"/>
    <cellStyle name="Comma 7 2 8" xfId="1552" xr:uid="{00000000-0005-0000-0000-000013060000}"/>
    <cellStyle name="Comma 7 3" xfId="1553" xr:uid="{00000000-0005-0000-0000-000014060000}"/>
    <cellStyle name="Comma 7 3 2" xfId="1554" xr:uid="{00000000-0005-0000-0000-000015060000}"/>
    <cellStyle name="Comma 7 3 2 2" xfId="1555" xr:uid="{00000000-0005-0000-0000-000016060000}"/>
    <cellStyle name="Comma 7 3 2 3" xfId="1556" xr:uid="{00000000-0005-0000-0000-000017060000}"/>
    <cellStyle name="Comma 7 3 3" xfId="1557" xr:uid="{00000000-0005-0000-0000-000018060000}"/>
    <cellStyle name="Comma 7 3 3 2" xfId="1558" xr:uid="{00000000-0005-0000-0000-000019060000}"/>
    <cellStyle name="Comma 7 3 3 3" xfId="1559" xr:uid="{00000000-0005-0000-0000-00001A060000}"/>
    <cellStyle name="Comma 7 3 4" xfId="1560" xr:uid="{00000000-0005-0000-0000-00001B060000}"/>
    <cellStyle name="Comma 7 3 4 2" xfId="1561" xr:uid="{00000000-0005-0000-0000-00001C060000}"/>
    <cellStyle name="Comma 7 3 4 3" xfId="1562" xr:uid="{00000000-0005-0000-0000-00001D060000}"/>
    <cellStyle name="Comma 7 3 5" xfId="1563" xr:uid="{00000000-0005-0000-0000-00001E060000}"/>
    <cellStyle name="Comma 7 3 5 2" xfId="1564" xr:uid="{00000000-0005-0000-0000-00001F060000}"/>
    <cellStyle name="Comma 7 3 5 3" xfId="1565" xr:uid="{00000000-0005-0000-0000-000020060000}"/>
    <cellStyle name="Comma 7 3 6" xfId="1566" xr:uid="{00000000-0005-0000-0000-000021060000}"/>
    <cellStyle name="Comma 7 3 6 2" xfId="1567" xr:uid="{00000000-0005-0000-0000-000022060000}"/>
    <cellStyle name="Comma 7 3 6 3" xfId="1568" xr:uid="{00000000-0005-0000-0000-000023060000}"/>
    <cellStyle name="Comma 7 3 7" xfId="1569" xr:uid="{00000000-0005-0000-0000-000024060000}"/>
    <cellStyle name="Comma 7 3 8" xfId="1570" xr:uid="{00000000-0005-0000-0000-000025060000}"/>
    <cellStyle name="Comma 7 4" xfId="1571" xr:uid="{00000000-0005-0000-0000-000026060000}"/>
    <cellStyle name="Comma 7 4 2" xfId="1572" xr:uid="{00000000-0005-0000-0000-000027060000}"/>
    <cellStyle name="Comma 7 4 3" xfId="1573" xr:uid="{00000000-0005-0000-0000-000028060000}"/>
    <cellStyle name="Comma 7 4 4" xfId="1574" xr:uid="{00000000-0005-0000-0000-000029060000}"/>
    <cellStyle name="Comma 7 5" xfId="1575" xr:uid="{00000000-0005-0000-0000-00002A060000}"/>
    <cellStyle name="Comma 7 5 2" xfId="1576" xr:uid="{00000000-0005-0000-0000-00002B060000}"/>
    <cellStyle name="Comma 7 5 3" xfId="1577" xr:uid="{00000000-0005-0000-0000-00002C060000}"/>
    <cellStyle name="Comma 7 6" xfId="1578" xr:uid="{00000000-0005-0000-0000-00002D060000}"/>
    <cellStyle name="Comma 7 6 2" xfId="1579" xr:uid="{00000000-0005-0000-0000-00002E060000}"/>
    <cellStyle name="Comma 7 6 3" xfId="1580" xr:uid="{00000000-0005-0000-0000-00002F060000}"/>
    <cellStyle name="Comma 7 7" xfId="1581" xr:uid="{00000000-0005-0000-0000-000030060000}"/>
    <cellStyle name="Comma 7 7 2" xfId="1582" xr:uid="{00000000-0005-0000-0000-000031060000}"/>
    <cellStyle name="Comma 7 7 3" xfId="1583" xr:uid="{00000000-0005-0000-0000-000032060000}"/>
    <cellStyle name="Comma 7 8" xfId="1584" xr:uid="{00000000-0005-0000-0000-000033060000}"/>
    <cellStyle name="Comma 7 8 2" xfId="1585" xr:uid="{00000000-0005-0000-0000-000034060000}"/>
    <cellStyle name="Comma 7 8 3" xfId="1586" xr:uid="{00000000-0005-0000-0000-000035060000}"/>
    <cellStyle name="Comma 7 9" xfId="1587" xr:uid="{00000000-0005-0000-0000-000036060000}"/>
    <cellStyle name="Comma 7_KABAMBA-MAIN BUILDING, CLASSROOMS &amp; STUDENTS' HOSTEL FOR UMA-UPDF-Cementers (phase 1)" xfId="1588" xr:uid="{00000000-0005-0000-0000-000037060000}"/>
    <cellStyle name="Comma 71" xfId="1589" xr:uid="{00000000-0005-0000-0000-000038060000}"/>
    <cellStyle name="Comma 8" xfId="1590" xr:uid="{00000000-0005-0000-0000-000039060000}"/>
    <cellStyle name="Comma 8 2" xfId="1591" xr:uid="{00000000-0005-0000-0000-00003A060000}"/>
    <cellStyle name="Comma 8 2 2" xfId="1592" xr:uid="{00000000-0005-0000-0000-00003B060000}"/>
    <cellStyle name="Comma 8 2 3" xfId="1593" xr:uid="{00000000-0005-0000-0000-00003C060000}"/>
    <cellStyle name="Comma 8 3" xfId="1594" xr:uid="{00000000-0005-0000-0000-00003D060000}"/>
    <cellStyle name="Comma 8 3 2" xfId="1595" xr:uid="{00000000-0005-0000-0000-00003E060000}"/>
    <cellStyle name="Comma 8 3 3" xfId="1596" xr:uid="{00000000-0005-0000-0000-00003F060000}"/>
    <cellStyle name="Comma 8 4" xfId="1597" xr:uid="{00000000-0005-0000-0000-000040060000}"/>
    <cellStyle name="Comma 8 4 2" xfId="1598" xr:uid="{00000000-0005-0000-0000-000041060000}"/>
    <cellStyle name="Comma 8 4 3" xfId="1599" xr:uid="{00000000-0005-0000-0000-000042060000}"/>
    <cellStyle name="Comma 8 5" xfId="1600" xr:uid="{00000000-0005-0000-0000-000043060000}"/>
    <cellStyle name="Comma 8 5 2" xfId="1601" xr:uid="{00000000-0005-0000-0000-000044060000}"/>
    <cellStyle name="Comma 8 5 3" xfId="1602" xr:uid="{00000000-0005-0000-0000-000045060000}"/>
    <cellStyle name="Comma 8 6" xfId="1603" xr:uid="{00000000-0005-0000-0000-000046060000}"/>
    <cellStyle name="Comma 8 6 2" xfId="1604" xr:uid="{00000000-0005-0000-0000-000047060000}"/>
    <cellStyle name="Comma 8 6 3" xfId="1605" xr:uid="{00000000-0005-0000-0000-000048060000}"/>
    <cellStyle name="Comma 8 7" xfId="1606" xr:uid="{00000000-0005-0000-0000-000049060000}"/>
    <cellStyle name="Comma 8 8" xfId="1607" xr:uid="{00000000-0005-0000-0000-00004A060000}"/>
    <cellStyle name="Comma 8 9" xfId="1608" xr:uid="{00000000-0005-0000-0000-00004B060000}"/>
    <cellStyle name="Comma 9" xfId="1609" xr:uid="{00000000-0005-0000-0000-00004C060000}"/>
    <cellStyle name="Comma 9 2" xfId="1610" xr:uid="{00000000-0005-0000-0000-00004D060000}"/>
    <cellStyle name="Comma 9 2 2" xfId="1611" xr:uid="{00000000-0005-0000-0000-00004E060000}"/>
    <cellStyle name="Comma 9 2 3" xfId="1612" xr:uid="{00000000-0005-0000-0000-00004F060000}"/>
    <cellStyle name="Comma 9 3" xfId="1613" xr:uid="{00000000-0005-0000-0000-000050060000}"/>
    <cellStyle name="Comma 9 3 2" xfId="1614" xr:uid="{00000000-0005-0000-0000-000051060000}"/>
    <cellStyle name="Comma 9 3 3" xfId="1615" xr:uid="{00000000-0005-0000-0000-000052060000}"/>
    <cellStyle name="Comma 9 4" xfId="1616" xr:uid="{00000000-0005-0000-0000-000053060000}"/>
    <cellStyle name="Comma 9 4 2" xfId="1617" xr:uid="{00000000-0005-0000-0000-000054060000}"/>
    <cellStyle name="Comma 9 4 3" xfId="1618" xr:uid="{00000000-0005-0000-0000-000055060000}"/>
    <cellStyle name="Comma 9 5" xfId="1619" xr:uid="{00000000-0005-0000-0000-000056060000}"/>
    <cellStyle name="Comma 9 5 2" xfId="1620" xr:uid="{00000000-0005-0000-0000-000057060000}"/>
    <cellStyle name="Comma 9 5 3" xfId="1621" xr:uid="{00000000-0005-0000-0000-000058060000}"/>
    <cellStyle name="Comma 9 6" xfId="1622" xr:uid="{00000000-0005-0000-0000-000059060000}"/>
    <cellStyle name="Comma 9 6 2" xfId="1623" xr:uid="{00000000-0005-0000-0000-00005A060000}"/>
    <cellStyle name="Comma 9 6 3" xfId="1624" xr:uid="{00000000-0005-0000-0000-00005B060000}"/>
    <cellStyle name="Comma 9 7" xfId="1625" xr:uid="{00000000-0005-0000-0000-00005C060000}"/>
    <cellStyle name="Comma 9 8" xfId="1626" xr:uid="{00000000-0005-0000-0000-00005D060000}"/>
    <cellStyle name="Comma 9 9" xfId="1627" xr:uid="{00000000-0005-0000-0000-00005E060000}"/>
    <cellStyle name="Comma 97" xfId="1628" xr:uid="{00000000-0005-0000-0000-00005F060000}"/>
    <cellStyle name="Comma_Blank B.Q - Tile Center Limited" xfId="1629" xr:uid="{00000000-0005-0000-0000-000060060000}"/>
    <cellStyle name="Comma_Blank B.Q - Tile Center Limited 2" xfId="1630" xr:uid="{00000000-0005-0000-0000-000061060000}"/>
    <cellStyle name="Comma_Blank B.Q - Tile Center Limited 2 2" xfId="3041" xr:uid="{00000000-0005-0000-0000-000062060000}"/>
    <cellStyle name="Comma_Blank B.Q - Tile Center Limited 3 2" xfId="1631" xr:uid="{00000000-0005-0000-0000-000063060000}"/>
    <cellStyle name="Comma_Blank Bills of Quantities - ESA - FINAL" xfId="1632" xr:uid="{00000000-0005-0000-0000-000064060000}"/>
    <cellStyle name="Comma_Priced  B.Q Nsambya Home Care" xfId="1633" xr:uid="{00000000-0005-0000-0000-000065060000}"/>
    <cellStyle name="Comma_Priced  B.Q Nsambya Home Care 2" xfId="3046" xr:uid="{00000000-0005-0000-0000-000066060000}"/>
    <cellStyle name="Currency [0] 2" xfId="1634" xr:uid="{00000000-0005-0000-0000-000067060000}"/>
    <cellStyle name="Currency 2" xfId="1635" xr:uid="{00000000-0005-0000-0000-000068060000}"/>
    <cellStyle name="Currency 2 2" xfId="1636" xr:uid="{00000000-0005-0000-0000-000069060000}"/>
    <cellStyle name="Normal" xfId="0" builtinId="0"/>
    <cellStyle name="Normal 10" xfId="1637" xr:uid="{00000000-0005-0000-0000-00006B060000}"/>
    <cellStyle name="Normal 10 2" xfId="1638" xr:uid="{00000000-0005-0000-0000-00006C060000}"/>
    <cellStyle name="Normal 10 2 2" xfId="1639" xr:uid="{00000000-0005-0000-0000-00006D060000}"/>
    <cellStyle name="Normal 10 2 3" xfId="1640" xr:uid="{00000000-0005-0000-0000-00006E060000}"/>
    <cellStyle name="Normal 10 3" xfId="1641" xr:uid="{00000000-0005-0000-0000-00006F060000}"/>
    <cellStyle name="Normal 10 3 2" xfId="1642" xr:uid="{00000000-0005-0000-0000-000070060000}"/>
    <cellStyle name="Normal 10 3 3" xfId="1643" xr:uid="{00000000-0005-0000-0000-000071060000}"/>
    <cellStyle name="Normal 10 4" xfId="1644" xr:uid="{00000000-0005-0000-0000-000072060000}"/>
    <cellStyle name="Normal 10 4 2" xfId="1645" xr:uid="{00000000-0005-0000-0000-000073060000}"/>
    <cellStyle name="Normal 10 4 3" xfId="1646" xr:uid="{00000000-0005-0000-0000-000074060000}"/>
    <cellStyle name="Normal 10 5" xfId="1647" xr:uid="{00000000-0005-0000-0000-000075060000}"/>
    <cellStyle name="Normal 10 5 2" xfId="1648" xr:uid="{00000000-0005-0000-0000-000076060000}"/>
    <cellStyle name="Normal 10 5 3" xfId="1649" xr:uid="{00000000-0005-0000-0000-000077060000}"/>
    <cellStyle name="Normal 10 6" xfId="1650" xr:uid="{00000000-0005-0000-0000-000078060000}"/>
    <cellStyle name="Normal 10 6 2" xfId="1651" xr:uid="{00000000-0005-0000-0000-000079060000}"/>
    <cellStyle name="Normal 10 6 3" xfId="1652" xr:uid="{00000000-0005-0000-0000-00007A060000}"/>
    <cellStyle name="Normal 10 7" xfId="1653" xr:uid="{00000000-0005-0000-0000-00007B060000}"/>
    <cellStyle name="Normal 10 8" xfId="1654" xr:uid="{00000000-0005-0000-0000-00007C060000}"/>
    <cellStyle name="Normal 10_Agakhan Bills of Quantities EDITED" xfId="1655" xr:uid="{00000000-0005-0000-0000-00007D060000}"/>
    <cellStyle name="Normal 11" xfId="1656" xr:uid="{00000000-0005-0000-0000-00007E060000}"/>
    <cellStyle name="Normal 11 2" xfId="1657" xr:uid="{00000000-0005-0000-0000-00007F060000}"/>
    <cellStyle name="Normal 11 2 2" xfId="1658" xr:uid="{00000000-0005-0000-0000-000080060000}"/>
    <cellStyle name="Normal 11 2 3" xfId="1659" xr:uid="{00000000-0005-0000-0000-000081060000}"/>
    <cellStyle name="Normal 11 3" xfId="1660" xr:uid="{00000000-0005-0000-0000-000082060000}"/>
    <cellStyle name="Normal 11 3 2" xfId="1661" xr:uid="{00000000-0005-0000-0000-000083060000}"/>
    <cellStyle name="Normal 11 3 3" xfId="1662" xr:uid="{00000000-0005-0000-0000-000084060000}"/>
    <cellStyle name="Normal 11 4" xfId="1663" xr:uid="{00000000-0005-0000-0000-000085060000}"/>
    <cellStyle name="Normal 11 4 2" xfId="1664" xr:uid="{00000000-0005-0000-0000-000086060000}"/>
    <cellStyle name="Normal 11 4 3" xfId="1665" xr:uid="{00000000-0005-0000-0000-000087060000}"/>
    <cellStyle name="Normal 11 5" xfId="1666" xr:uid="{00000000-0005-0000-0000-000088060000}"/>
    <cellStyle name="Normal 11 5 2" xfId="1667" xr:uid="{00000000-0005-0000-0000-000089060000}"/>
    <cellStyle name="Normal 11 5 3" xfId="1668" xr:uid="{00000000-0005-0000-0000-00008A060000}"/>
    <cellStyle name="Normal 11 6" xfId="1669" xr:uid="{00000000-0005-0000-0000-00008B060000}"/>
    <cellStyle name="Normal 11 6 2" xfId="1670" xr:uid="{00000000-0005-0000-0000-00008C060000}"/>
    <cellStyle name="Normal 11 6 3" xfId="1671" xr:uid="{00000000-0005-0000-0000-00008D060000}"/>
    <cellStyle name="Normal 11 7" xfId="1672" xr:uid="{00000000-0005-0000-0000-00008E060000}"/>
    <cellStyle name="Normal 11 8" xfId="1673" xr:uid="{00000000-0005-0000-0000-00008F060000}"/>
    <cellStyle name="Normal 11_Agakhan Bills of Quantities EDITED" xfId="1674" xr:uid="{00000000-0005-0000-0000-000090060000}"/>
    <cellStyle name="Normal 12" xfId="1675" xr:uid="{00000000-0005-0000-0000-000091060000}"/>
    <cellStyle name="Normal 12 2" xfId="1676" xr:uid="{00000000-0005-0000-0000-000092060000}"/>
    <cellStyle name="Normal 12 2 2" xfId="1677" xr:uid="{00000000-0005-0000-0000-000093060000}"/>
    <cellStyle name="Normal 12 2 3" xfId="1678" xr:uid="{00000000-0005-0000-0000-000094060000}"/>
    <cellStyle name="Normal 12 3" xfId="1679" xr:uid="{00000000-0005-0000-0000-000095060000}"/>
    <cellStyle name="Normal 12 3 2" xfId="1680" xr:uid="{00000000-0005-0000-0000-000096060000}"/>
    <cellStyle name="Normal 12 3 3" xfId="1681" xr:uid="{00000000-0005-0000-0000-000097060000}"/>
    <cellStyle name="Normal 12 4" xfId="1682" xr:uid="{00000000-0005-0000-0000-000098060000}"/>
    <cellStyle name="Normal 12 4 2" xfId="1683" xr:uid="{00000000-0005-0000-0000-000099060000}"/>
    <cellStyle name="Normal 12 4 3" xfId="1684" xr:uid="{00000000-0005-0000-0000-00009A060000}"/>
    <cellStyle name="Normal 12 5" xfId="1685" xr:uid="{00000000-0005-0000-0000-00009B060000}"/>
    <cellStyle name="Normal 12 5 2" xfId="1686" xr:uid="{00000000-0005-0000-0000-00009C060000}"/>
    <cellStyle name="Normal 12 5 3" xfId="1687" xr:uid="{00000000-0005-0000-0000-00009D060000}"/>
    <cellStyle name="Normal 12 6" xfId="1688" xr:uid="{00000000-0005-0000-0000-00009E060000}"/>
    <cellStyle name="Normal 12 6 2" xfId="1689" xr:uid="{00000000-0005-0000-0000-00009F060000}"/>
    <cellStyle name="Normal 12 6 3" xfId="1690" xr:uid="{00000000-0005-0000-0000-0000A0060000}"/>
    <cellStyle name="Normal 12 7" xfId="1691" xr:uid="{00000000-0005-0000-0000-0000A1060000}"/>
    <cellStyle name="Normal 12 8" xfId="1692" xr:uid="{00000000-0005-0000-0000-0000A2060000}"/>
    <cellStyle name="Normal 12_Agakhan Bills of Quantities EDITED" xfId="1693" xr:uid="{00000000-0005-0000-0000-0000A3060000}"/>
    <cellStyle name="Normal 13" xfId="1694" xr:uid="{00000000-0005-0000-0000-0000A4060000}"/>
    <cellStyle name="Normal 13 2" xfId="1695" xr:uid="{00000000-0005-0000-0000-0000A5060000}"/>
    <cellStyle name="Normal 13 2 2" xfId="1696" xr:uid="{00000000-0005-0000-0000-0000A6060000}"/>
    <cellStyle name="Normal 13 2 3" xfId="1697" xr:uid="{00000000-0005-0000-0000-0000A7060000}"/>
    <cellStyle name="Normal 13 3" xfId="1698" xr:uid="{00000000-0005-0000-0000-0000A8060000}"/>
    <cellStyle name="Normal 13 3 2" xfId="1699" xr:uid="{00000000-0005-0000-0000-0000A9060000}"/>
    <cellStyle name="Normal 13 3 3" xfId="1700" xr:uid="{00000000-0005-0000-0000-0000AA060000}"/>
    <cellStyle name="Normal 13 4" xfId="1701" xr:uid="{00000000-0005-0000-0000-0000AB060000}"/>
    <cellStyle name="Normal 13 4 2" xfId="1702" xr:uid="{00000000-0005-0000-0000-0000AC060000}"/>
    <cellStyle name="Normal 13 4 3" xfId="1703" xr:uid="{00000000-0005-0000-0000-0000AD060000}"/>
    <cellStyle name="Normal 13 5" xfId="1704" xr:uid="{00000000-0005-0000-0000-0000AE060000}"/>
    <cellStyle name="Normal 13 5 2" xfId="1705" xr:uid="{00000000-0005-0000-0000-0000AF060000}"/>
    <cellStyle name="Normal 13 5 3" xfId="1706" xr:uid="{00000000-0005-0000-0000-0000B0060000}"/>
    <cellStyle name="Normal 13 6" xfId="1707" xr:uid="{00000000-0005-0000-0000-0000B1060000}"/>
    <cellStyle name="Normal 13 6 2" xfId="1708" xr:uid="{00000000-0005-0000-0000-0000B2060000}"/>
    <cellStyle name="Normal 13 6 3" xfId="1709" xr:uid="{00000000-0005-0000-0000-0000B3060000}"/>
    <cellStyle name="Normal 13 7" xfId="1710" xr:uid="{00000000-0005-0000-0000-0000B4060000}"/>
    <cellStyle name="Normal 13 8" xfId="1711" xr:uid="{00000000-0005-0000-0000-0000B5060000}"/>
    <cellStyle name="Normal 13_Agakhan Bills of Quantities EDITED" xfId="1712" xr:uid="{00000000-0005-0000-0000-0000B6060000}"/>
    <cellStyle name="Normal 14" xfId="1713" xr:uid="{00000000-0005-0000-0000-0000B7060000}"/>
    <cellStyle name="Normal 14 2" xfId="1714" xr:uid="{00000000-0005-0000-0000-0000B8060000}"/>
    <cellStyle name="Normal 14 2 2" xfId="1715" xr:uid="{00000000-0005-0000-0000-0000B9060000}"/>
    <cellStyle name="Normal 14 2 3" xfId="1716" xr:uid="{00000000-0005-0000-0000-0000BA060000}"/>
    <cellStyle name="Normal 14 3" xfId="1717" xr:uid="{00000000-0005-0000-0000-0000BB060000}"/>
    <cellStyle name="Normal 14 3 2" xfId="1718" xr:uid="{00000000-0005-0000-0000-0000BC060000}"/>
    <cellStyle name="Normal 14 3 3" xfId="1719" xr:uid="{00000000-0005-0000-0000-0000BD060000}"/>
    <cellStyle name="Normal 14 4" xfId="1720" xr:uid="{00000000-0005-0000-0000-0000BE060000}"/>
    <cellStyle name="Normal 14 4 2" xfId="1721" xr:uid="{00000000-0005-0000-0000-0000BF060000}"/>
    <cellStyle name="Normal 14 4 3" xfId="1722" xr:uid="{00000000-0005-0000-0000-0000C0060000}"/>
    <cellStyle name="Normal 14 5" xfId="1723" xr:uid="{00000000-0005-0000-0000-0000C1060000}"/>
    <cellStyle name="Normal 14 5 2" xfId="1724" xr:uid="{00000000-0005-0000-0000-0000C2060000}"/>
    <cellStyle name="Normal 14 5 3" xfId="1725" xr:uid="{00000000-0005-0000-0000-0000C3060000}"/>
    <cellStyle name="Normal 14 6" xfId="1726" xr:uid="{00000000-0005-0000-0000-0000C4060000}"/>
    <cellStyle name="Normal 14 6 2" xfId="1727" xr:uid="{00000000-0005-0000-0000-0000C5060000}"/>
    <cellStyle name="Normal 14 6 3" xfId="1728" xr:uid="{00000000-0005-0000-0000-0000C6060000}"/>
    <cellStyle name="Normal 14 7" xfId="1729" xr:uid="{00000000-0005-0000-0000-0000C7060000}"/>
    <cellStyle name="Normal 14 8" xfId="1730" xr:uid="{00000000-0005-0000-0000-0000C8060000}"/>
    <cellStyle name="Normal 14_Agakhan Bills of Quantities EDITED" xfId="1731" xr:uid="{00000000-0005-0000-0000-0000C9060000}"/>
    <cellStyle name="Normal 15" xfId="1732" xr:uid="{00000000-0005-0000-0000-0000CA060000}"/>
    <cellStyle name="Normal 15 2" xfId="1733" xr:uid="{00000000-0005-0000-0000-0000CB060000}"/>
    <cellStyle name="Normal 15 2 2" xfId="1734" xr:uid="{00000000-0005-0000-0000-0000CC060000}"/>
    <cellStyle name="Normal 15 2 3" xfId="1735" xr:uid="{00000000-0005-0000-0000-0000CD060000}"/>
    <cellStyle name="Normal 15 3" xfId="1736" xr:uid="{00000000-0005-0000-0000-0000CE060000}"/>
    <cellStyle name="Normal 15 3 2" xfId="1737" xr:uid="{00000000-0005-0000-0000-0000CF060000}"/>
    <cellStyle name="Normal 15 3 3" xfId="1738" xr:uid="{00000000-0005-0000-0000-0000D0060000}"/>
    <cellStyle name="Normal 15 4" xfId="1739" xr:uid="{00000000-0005-0000-0000-0000D1060000}"/>
    <cellStyle name="Normal 15 4 2" xfId="1740" xr:uid="{00000000-0005-0000-0000-0000D2060000}"/>
    <cellStyle name="Normal 15 4 3" xfId="1741" xr:uid="{00000000-0005-0000-0000-0000D3060000}"/>
    <cellStyle name="Normal 15 5" xfId="1742" xr:uid="{00000000-0005-0000-0000-0000D4060000}"/>
    <cellStyle name="Normal 15 5 2" xfId="1743" xr:uid="{00000000-0005-0000-0000-0000D5060000}"/>
    <cellStyle name="Normal 15 5 3" xfId="1744" xr:uid="{00000000-0005-0000-0000-0000D6060000}"/>
    <cellStyle name="Normal 15 6" xfId="1745" xr:uid="{00000000-0005-0000-0000-0000D7060000}"/>
    <cellStyle name="Normal 15 6 2" xfId="1746" xr:uid="{00000000-0005-0000-0000-0000D8060000}"/>
    <cellStyle name="Normal 15 6 3" xfId="1747" xr:uid="{00000000-0005-0000-0000-0000D9060000}"/>
    <cellStyle name="Normal 15 7" xfId="1748" xr:uid="{00000000-0005-0000-0000-0000DA060000}"/>
    <cellStyle name="Normal 15 8" xfId="1749" xr:uid="{00000000-0005-0000-0000-0000DB060000}"/>
    <cellStyle name="Normal 15_Agakhan Bills of Quantities EDITED" xfId="1750" xr:uid="{00000000-0005-0000-0000-0000DC060000}"/>
    <cellStyle name="Normal 16" xfId="1751" xr:uid="{00000000-0005-0000-0000-0000DD060000}"/>
    <cellStyle name="Normal 16 2" xfId="1752" xr:uid="{00000000-0005-0000-0000-0000DE060000}"/>
    <cellStyle name="Normal 16 2 2" xfId="1753" xr:uid="{00000000-0005-0000-0000-0000DF060000}"/>
    <cellStyle name="Normal 16 2 3" xfId="1754" xr:uid="{00000000-0005-0000-0000-0000E0060000}"/>
    <cellStyle name="Normal 16 3" xfId="1755" xr:uid="{00000000-0005-0000-0000-0000E1060000}"/>
    <cellStyle name="Normal 16 3 2" xfId="1756" xr:uid="{00000000-0005-0000-0000-0000E2060000}"/>
    <cellStyle name="Normal 16 3 3" xfId="1757" xr:uid="{00000000-0005-0000-0000-0000E3060000}"/>
    <cellStyle name="Normal 16 4" xfId="1758" xr:uid="{00000000-0005-0000-0000-0000E4060000}"/>
    <cellStyle name="Normal 16 4 2" xfId="1759" xr:uid="{00000000-0005-0000-0000-0000E5060000}"/>
    <cellStyle name="Normal 16 4 3" xfId="1760" xr:uid="{00000000-0005-0000-0000-0000E6060000}"/>
    <cellStyle name="Normal 16 5" xfId="1761" xr:uid="{00000000-0005-0000-0000-0000E7060000}"/>
    <cellStyle name="Normal 16 5 2" xfId="1762" xr:uid="{00000000-0005-0000-0000-0000E8060000}"/>
    <cellStyle name="Normal 16 5 3" xfId="1763" xr:uid="{00000000-0005-0000-0000-0000E9060000}"/>
    <cellStyle name="Normal 16 6" xfId="1764" xr:uid="{00000000-0005-0000-0000-0000EA060000}"/>
    <cellStyle name="Normal 16 6 2" xfId="1765" xr:uid="{00000000-0005-0000-0000-0000EB060000}"/>
    <cellStyle name="Normal 16 6 3" xfId="1766" xr:uid="{00000000-0005-0000-0000-0000EC060000}"/>
    <cellStyle name="Normal 16 7" xfId="1767" xr:uid="{00000000-0005-0000-0000-0000ED060000}"/>
    <cellStyle name="Normal 16 8" xfId="1768" xr:uid="{00000000-0005-0000-0000-0000EE060000}"/>
    <cellStyle name="Normal 16_Agakhan Bills of Quantities EDITED" xfId="1769" xr:uid="{00000000-0005-0000-0000-0000EF060000}"/>
    <cellStyle name="Normal 17" xfId="1770" xr:uid="{00000000-0005-0000-0000-0000F0060000}"/>
    <cellStyle name="Normal 17 2" xfId="1771" xr:uid="{00000000-0005-0000-0000-0000F1060000}"/>
    <cellStyle name="Normal 17 3" xfId="1772" xr:uid="{00000000-0005-0000-0000-0000F2060000}"/>
    <cellStyle name="Normal 17 4" xfId="1773" xr:uid="{00000000-0005-0000-0000-0000F3060000}"/>
    <cellStyle name="Normal 18" xfId="1774" xr:uid="{00000000-0005-0000-0000-0000F4060000}"/>
    <cellStyle name="Normal 18 2" xfId="1775" xr:uid="{00000000-0005-0000-0000-0000F5060000}"/>
    <cellStyle name="Normal 18 3" xfId="1776" xr:uid="{00000000-0005-0000-0000-0000F6060000}"/>
    <cellStyle name="Normal 19" xfId="1777" xr:uid="{00000000-0005-0000-0000-0000F7060000}"/>
    <cellStyle name="Normal 19 2" xfId="1778" xr:uid="{00000000-0005-0000-0000-0000F8060000}"/>
    <cellStyle name="Normal 19 2 2" xfId="1779" xr:uid="{00000000-0005-0000-0000-0000F9060000}"/>
    <cellStyle name="Normal 19 3" xfId="1780" xr:uid="{00000000-0005-0000-0000-0000FA060000}"/>
    <cellStyle name="Normal 19 4" xfId="1781" xr:uid="{00000000-0005-0000-0000-0000FB060000}"/>
    <cellStyle name="Normal 19 4 2" xfId="1782" xr:uid="{00000000-0005-0000-0000-0000FC060000}"/>
    <cellStyle name="Normal 19 5" xfId="3039" xr:uid="{00000000-0005-0000-0000-0000FD060000}"/>
    <cellStyle name="Normal 19 6" xfId="3047" xr:uid="{00000000-0005-0000-0000-0000FE060000}"/>
    <cellStyle name="Normal 19 7" xfId="3050" xr:uid="{00000000-0005-0000-0000-0000FF060000}"/>
    <cellStyle name="Normal 19_Book2" xfId="1783" xr:uid="{00000000-0005-0000-0000-000000070000}"/>
    <cellStyle name="Normal 19_PROPOSED KAMPALA INTERNATIONAL DENTAL CENTRE AT MENGO" xfId="1784" xr:uid="{00000000-0005-0000-0000-000001070000}"/>
    <cellStyle name="Normal 19_PROPOSED OFFICES AND WAREHOUSES AT KAPCHORWA (300mt) FOR UN-WFP" xfId="1785" xr:uid="{00000000-0005-0000-0000-000002070000}"/>
    <cellStyle name="Normal 2" xfId="1786" xr:uid="{00000000-0005-0000-0000-000003070000}"/>
    <cellStyle name="Normal 2 10" xfId="1787" xr:uid="{00000000-0005-0000-0000-000004070000}"/>
    <cellStyle name="Normal 2 10 2" xfId="1788" xr:uid="{00000000-0005-0000-0000-000005070000}"/>
    <cellStyle name="Normal 2 10 2 2" xfId="1789" xr:uid="{00000000-0005-0000-0000-000006070000}"/>
    <cellStyle name="Normal 2 10 2 3" xfId="1790" xr:uid="{00000000-0005-0000-0000-000007070000}"/>
    <cellStyle name="Normal 2 10 3" xfId="1791" xr:uid="{00000000-0005-0000-0000-000008070000}"/>
    <cellStyle name="Normal 2 10 3 2" xfId="1792" xr:uid="{00000000-0005-0000-0000-000009070000}"/>
    <cellStyle name="Normal 2 10 3 3" xfId="1793" xr:uid="{00000000-0005-0000-0000-00000A070000}"/>
    <cellStyle name="Normal 2 10 4" xfId="1794" xr:uid="{00000000-0005-0000-0000-00000B070000}"/>
    <cellStyle name="Normal 2 10 4 2" xfId="1795" xr:uid="{00000000-0005-0000-0000-00000C070000}"/>
    <cellStyle name="Normal 2 10 4 3" xfId="1796" xr:uid="{00000000-0005-0000-0000-00000D070000}"/>
    <cellStyle name="Normal 2 10 5" xfId="1797" xr:uid="{00000000-0005-0000-0000-00000E070000}"/>
    <cellStyle name="Normal 2 10 5 2" xfId="1798" xr:uid="{00000000-0005-0000-0000-00000F070000}"/>
    <cellStyle name="Normal 2 10 5 3" xfId="1799" xr:uid="{00000000-0005-0000-0000-000010070000}"/>
    <cellStyle name="Normal 2 10 6" xfId="1800" xr:uid="{00000000-0005-0000-0000-000011070000}"/>
    <cellStyle name="Normal 2 10 6 2" xfId="1801" xr:uid="{00000000-0005-0000-0000-000012070000}"/>
    <cellStyle name="Normal 2 10 6 3" xfId="1802" xr:uid="{00000000-0005-0000-0000-000013070000}"/>
    <cellStyle name="Normal 2 10 7" xfId="1803" xr:uid="{00000000-0005-0000-0000-000014070000}"/>
    <cellStyle name="Normal 2 10 8" xfId="1804" xr:uid="{00000000-0005-0000-0000-000015070000}"/>
    <cellStyle name="Normal 2 10_Agakhan Bills of Quantities EDITED" xfId="1805" xr:uid="{00000000-0005-0000-0000-000016070000}"/>
    <cellStyle name="Normal 2 11" xfId="1806" xr:uid="{00000000-0005-0000-0000-000017070000}"/>
    <cellStyle name="Normal 2 11 2" xfId="1807" xr:uid="{00000000-0005-0000-0000-000018070000}"/>
    <cellStyle name="Normal 2 11 2 2" xfId="1808" xr:uid="{00000000-0005-0000-0000-000019070000}"/>
    <cellStyle name="Normal 2 11 2 3" xfId="1809" xr:uid="{00000000-0005-0000-0000-00001A070000}"/>
    <cellStyle name="Normal 2 11 3" xfId="1810" xr:uid="{00000000-0005-0000-0000-00001B070000}"/>
    <cellStyle name="Normal 2 11 3 2" xfId="1811" xr:uid="{00000000-0005-0000-0000-00001C070000}"/>
    <cellStyle name="Normal 2 11 3 3" xfId="1812" xr:uid="{00000000-0005-0000-0000-00001D070000}"/>
    <cellStyle name="Normal 2 11 4" xfId="1813" xr:uid="{00000000-0005-0000-0000-00001E070000}"/>
    <cellStyle name="Normal 2 11 4 2" xfId="1814" xr:uid="{00000000-0005-0000-0000-00001F070000}"/>
    <cellStyle name="Normal 2 11 4 3" xfId="1815" xr:uid="{00000000-0005-0000-0000-000020070000}"/>
    <cellStyle name="Normal 2 11 5" xfId="1816" xr:uid="{00000000-0005-0000-0000-000021070000}"/>
    <cellStyle name="Normal 2 11 5 2" xfId="1817" xr:uid="{00000000-0005-0000-0000-000022070000}"/>
    <cellStyle name="Normal 2 11 5 3" xfId="1818" xr:uid="{00000000-0005-0000-0000-000023070000}"/>
    <cellStyle name="Normal 2 11 6" xfId="1819" xr:uid="{00000000-0005-0000-0000-000024070000}"/>
    <cellStyle name="Normal 2 11 6 2" xfId="1820" xr:uid="{00000000-0005-0000-0000-000025070000}"/>
    <cellStyle name="Normal 2 11 6 3" xfId="1821" xr:uid="{00000000-0005-0000-0000-000026070000}"/>
    <cellStyle name="Normal 2 11 7" xfId="1822" xr:uid="{00000000-0005-0000-0000-000027070000}"/>
    <cellStyle name="Normal 2 11 8" xfId="1823" xr:uid="{00000000-0005-0000-0000-000028070000}"/>
    <cellStyle name="Normal 2 11_Agakhan Bills of Quantities EDITED" xfId="1824" xr:uid="{00000000-0005-0000-0000-000029070000}"/>
    <cellStyle name="Normal 2 12" xfId="1825" xr:uid="{00000000-0005-0000-0000-00002A070000}"/>
    <cellStyle name="Normal 2 12 2" xfId="1826" xr:uid="{00000000-0005-0000-0000-00002B070000}"/>
    <cellStyle name="Normal 2 12 3" xfId="1827" xr:uid="{00000000-0005-0000-0000-00002C070000}"/>
    <cellStyle name="Normal 2 12 4" xfId="1828" xr:uid="{00000000-0005-0000-0000-00002D070000}"/>
    <cellStyle name="Normal 2 13" xfId="1829" xr:uid="{00000000-0005-0000-0000-00002E070000}"/>
    <cellStyle name="Normal 2 13 2" xfId="1830" xr:uid="{00000000-0005-0000-0000-00002F070000}"/>
    <cellStyle name="Normal 2 13 3" xfId="1831" xr:uid="{00000000-0005-0000-0000-000030070000}"/>
    <cellStyle name="Normal 2 13 4" xfId="1832" xr:uid="{00000000-0005-0000-0000-000031070000}"/>
    <cellStyle name="Normal 2 14" xfId="1833" xr:uid="{00000000-0005-0000-0000-000032070000}"/>
    <cellStyle name="Normal 2 14 2" xfId="1834" xr:uid="{00000000-0005-0000-0000-000033070000}"/>
    <cellStyle name="Normal 2 14 3" xfId="1835" xr:uid="{00000000-0005-0000-0000-000034070000}"/>
    <cellStyle name="Normal 2 14 4" xfId="1836" xr:uid="{00000000-0005-0000-0000-000035070000}"/>
    <cellStyle name="Normal 2 15" xfId="1837" xr:uid="{00000000-0005-0000-0000-000036070000}"/>
    <cellStyle name="Normal 2 15 2" xfId="1838" xr:uid="{00000000-0005-0000-0000-000037070000}"/>
    <cellStyle name="Normal 2 15 3" xfId="1839" xr:uid="{00000000-0005-0000-0000-000038070000}"/>
    <cellStyle name="Normal 2 15 4" xfId="1840" xr:uid="{00000000-0005-0000-0000-000039070000}"/>
    <cellStyle name="Normal 2 16" xfId="1841" xr:uid="{00000000-0005-0000-0000-00003A070000}"/>
    <cellStyle name="Normal 2 16 2" xfId="1842" xr:uid="{00000000-0005-0000-0000-00003B070000}"/>
    <cellStyle name="Normal 2 16 3" xfId="1843" xr:uid="{00000000-0005-0000-0000-00003C070000}"/>
    <cellStyle name="Normal 2 16 4" xfId="1844" xr:uid="{00000000-0005-0000-0000-00003D070000}"/>
    <cellStyle name="Normal 2 17" xfId="1845" xr:uid="{00000000-0005-0000-0000-00003E070000}"/>
    <cellStyle name="Normal 2 17 2" xfId="1846" xr:uid="{00000000-0005-0000-0000-00003F070000}"/>
    <cellStyle name="Normal 2 18" xfId="1847" xr:uid="{00000000-0005-0000-0000-000040070000}"/>
    <cellStyle name="Normal 2 18 2" xfId="1848" xr:uid="{00000000-0005-0000-0000-000041070000}"/>
    <cellStyle name="Normal 2 19" xfId="1849" xr:uid="{00000000-0005-0000-0000-000042070000}"/>
    <cellStyle name="Normal 2 19 2" xfId="1850" xr:uid="{00000000-0005-0000-0000-000043070000}"/>
    <cellStyle name="Normal 2 2" xfId="1851" xr:uid="{00000000-0005-0000-0000-000044070000}"/>
    <cellStyle name="Normal 2 2 10" xfId="1852" xr:uid="{00000000-0005-0000-0000-000045070000}"/>
    <cellStyle name="Normal 2 2 11" xfId="1853" xr:uid="{00000000-0005-0000-0000-000046070000}"/>
    <cellStyle name="Normal 2 2 12" xfId="1854" xr:uid="{00000000-0005-0000-0000-000047070000}"/>
    <cellStyle name="Normal 2 2 13" xfId="1855" xr:uid="{00000000-0005-0000-0000-000048070000}"/>
    <cellStyle name="Normal 2 2 14" xfId="1856" xr:uid="{00000000-0005-0000-0000-000049070000}"/>
    <cellStyle name="Normal 2 2 2" xfId="1857" xr:uid="{00000000-0005-0000-0000-00004A070000}"/>
    <cellStyle name="Normal 2 2 2 2" xfId="1858" xr:uid="{00000000-0005-0000-0000-00004B070000}"/>
    <cellStyle name="Normal 2 2 2 3" xfId="1859" xr:uid="{00000000-0005-0000-0000-00004C070000}"/>
    <cellStyle name="Normal 2 2 3" xfId="1860" xr:uid="{00000000-0005-0000-0000-00004D070000}"/>
    <cellStyle name="Normal 2 2 3 2" xfId="1861" xr:uid="{00000000-0005-0000-0000-00004E070000}"/>
    <cellStyle name="Normal 2 2 3 3" xfId="1862" xr:uid="{00000000-0005-0000-0000-00004F070000}"/>
    <cellStyle name="Normal 2 2 4" xfId="1863" xr:uid="{00000000-0005-0000-0000-000050070000}"/>
    <cellStyle name="Normal 2 2 4 2" xfId="1864" xr:uid="{00000000-0005-0000-0000-000051070000}"/>
    <cellStyle name="Normal 2 2 4 3" xfId="1865" xr:uid="{00000000-0005-0000-0000-000052070000}"/>
    <cellStyle name="Normal 2 2 5" xfId="1866" xr:uid="{00000000-0005-0000-0000-000053070000}"/>
    <cellStyle name="Normal 2 2 5 2" xfId="1867" xr:uid="{00000000-0005-0000-0000-000054070000}"/>
    <cellStyle name="Normal 2 2 5 3" xfId="1868" xr:uid="{00000000-0005-0000-0000-000055070000}"/>
    <cellStyle name="Normal 2 2 6" xfId="1869" xr:uid="{00000000-0005-0000-0000-000056070000}"/>
    <cellStyle name="Normal 2 2 6 2" xfId="1870" xr:uid="{00000000-0005-0000-0000-000057070000}"/>
    <cellStyle name="Normal 2 2 6 3" xfId="1871" xr:uid="{00000000-0005-0000-0000-000058070000}"/>
    <cellStyle name="Normal 2 2 7" xfId="1872" xr:uid="{00000000-0005-0000-0000-000059070000}"/>
    <cellStyle name="Normal 2 2 8" xfId="1873" xr:uid="{00000000-0005-0000-0000-00005A070000}"/>
    <cellStyle name="Normal 2 2 9" xfId="1874" xr:uid="{00000000-0005-0000-0000-00005B070000}"/>
    <cellStyle name="Normal 2 2_Agakhan Bills of Quantities EDITED" xfId="1875" xr:uid="{00000000-0005-0000-0000-00005C070000}"/>
    <cellStyle name="Normal 2 20" xfId="1876" xr:uid="{00000000-0005-0000-0000-00005D070000}"/>
    <cellStyle name="Normal 2 20 2" xfId="1877" xr:uid="{00000000-0005-0000-0000-00005E070000}"/>
    <cellStyle name="Normal 2 21" xfId="1878" xr:uid="{00000000-0005-0000-0000-00005F070000}"/>
    <cellStyle name="Normal 2 21 2" xfId="1879" xr:uid="{00000000-0005-0000-0000-000060070000}"/>
    <cellStyle name="Normal 2 22" xfId="1880" xr:uid="{00000000-0005-0000-0000-000061070000}"/>
    <cellStyle name="Normal 2 23" xfId="1881" xr:uid="{00000000-0005-0000-0000-000062070000}"/>
    <cellStyle name="Normal 2 24" xfId="1882" xr:uid="{00000000-0005-0000-0000-000063070000}"/>
    <cellStyle name="Normal 2 25" xfId="1883" xr:uid="{00000000-0005-0000-0000-000064070000}"/>
    <cellStyle name="Normal 2 26" xfId="1884" xr:uid="{00000000-0005-0000-0000-000065070000}"/>
    <cellStyle name="Normal 2 27" xfId="1885" xr:uid="{00000000-0005-0000-0000-000066070000}"/>
    <cellStyle name="Normal 2 28" xfId="1886" xr:uid="{00000000-0005-0000-0000-000067070000}"/>
    <cellStyle name="Normal 2 29" xfId="1887" xr:uid="{00000000-0005-0000-0000-000068070000}"/>
    <cellStyle name="Normal 2 3" xfId="1888" xr:uid="{00000000-0005-0000-0000-000069070000}"/>
    <cellStyle name="Normal 2 3 2" xfId="1889" xr:uid="{00000000-0005-0000-0000-00006A070000}"/>
    <cellStyle name="Normal 2 3 2 2" xfId="1890" xr:uid="{00000000-0005-0000-0000-00006B070000}"/>
    <cellStyle name="Normal 2 3 2 3" xfId="1891" xr:uid="{00000000-0005-0000-0000-00006C070000}"/>
    <cellStyle name="Normal 2 3 3" xfId="1892" xr:uid="{00000000-0005-0000-0000-00006D070000}"/>
    <cellStyle name="Normal 2 3 3 2" xfId="1893" xr:uid="{00000000-0005-0000-0000-00006E070000}"/>
    <cellStyle name="Normal 2 3 3 3" xfId="1894" xr:uid="{00000000-0005-0000-0000-00006F070000}"/>
    <cellStyle name="Normal 2 3 4" xfId="1895" xr:uid="{00000000-0005-0000-0000-000070070000}"/>
    <cellStyle name="Normal 2 3 4 2" xfId="1896" xr:uid="{00000000-0005-0000-0000-000071070000}"/>
    <cellStyle name="Normal 2 3 4 3" xfId="1897" xr:uid="{00000000-0005-0000-0000-000072070000}"/>
    <cellStyle name="Normal 2 3 5" xfId="1898" xr:uid="{00000000-0005-0000-0000-000073070000}"/>
    <cellStyle name="Normal 2 3 5 2" xfId="1899" xr:uid="{00000000-0005-0000-0000-000074070000}"/>
    <cellStyle name="Normal 2 3 5 3" xfId="1900" xr:uid="{00000000-0005-0000-0000-000075070000}"/>
    <cellStyle name="Normal 2 3 6" xfId="1901" xr:uid="{00000000-0005-0000-0000-000076070000}"/>
    <cellStyle name="Normal 2 3 6 2" xfId="1902" xr:uid="{00000000-0005-0000-0000-000077070000}"/>
    <cellStyle name="Normal 2 3 6 3" xfId="1903" xr:uid="{00000000-0005-0000-0000-000078070000}"/>
    <cellStyle name="Normal 2 3 7" xfId="1904" xr:uid="{00000000-0005-0000-0000-000079070000}"/>
    <cellStyle name="Normal 2 3 8" xfId="1905" xr:uid="{00000000-0005-0000-0000-00007A070000}"/>
    <cellStyle name="Normal 2 3_Agakhan Bills of Quantities EDITED" xfId="1906" xr:uid="{00000000-0005-0000-0000-00007B070000}"/>
    <cellStyle name="Normal 2 30" xfId="1907" xr:uid="{00000000-0005-0000-0000-00007C070000}"/>
    <cellStyle name="Normal 2 4" xfId="1908" xr:uid="{00000000-0005-0000-0000-00007D070000}"/>
    <cellStyle name="Normal 2 4 2" xfId="1909" xr:uid="{00000000-0005-0000-0000-00007E070000}"/>
    <cellStyle name="Normal 2 4 2 2" xfId="1910" xr:uid="{00000000-0005-0000-0000-00007F070000}"/>
    <cellStyle name="Normal 2 4 2 3" xfId="1911" xr:uid="{00000000-0005-0000-0000-000080070000}"/>
    <cellStyle name="Normal 2 4 3" xfId="1912" xr:uid="{00000000-0005-0000-0000-000081070000}"/>
    <cellStyle name="Normal 2 4 3 2" xfId="1913" xr:uid="{00000000-0005-0000-0000-000082070000}"/>
    <cellStyle name="Normal 2 4 3 3" xfId="1914" xr:uid="{00000000-0005-0000-0000-000083070000}"/>
    <cellStyle name="Normal 2 4 4" xfId="1915" xr:uid="{00000000-0005-0000-0000-000084070000}"/>
    <cellStyle name="Normal 2 4 4 2" xfId="1916" xr:uid="{00000000-0005-0000-0000-000085070000}"/>
    <cellStyle name="Normal 2 4 4 3" xfId="1917" xr:uid="{00000000-0005-0000-0000-000086070000}"/>
    <cellStyle name="Normal 2 4 5" xfId="1918" xr:uid="{00000000-0005-0000-0000-000087070000}"/>
    <cellStyle name="Normal 2 4 5 2" xfId="1919" xr:uid="{00000000-0005-0000-0000-000088070000}"/>
    <cellStyle name="Normal 2 4 5 3" xfId="1920" xr:uid="{00000000-0005-0000-0000-000089070000}"/>
    <cellStyle name="Normal 2 4 6" xfId="1921" xr:uid="{00000000-0005-0000-0000-00008A070000}"/>
    <cellStyle name="Normal 2 4 6 2" xfId="1922" xr:uid="{00000000-0005-0000-0000-00008B070000}"/>
    <cellStyle name="Normal 2 4 6 3" xfId="1923" xr:uid="{00000000-0005-0000-0000-00008C070000}"/>
    <cellStyle name="Normal 2 4 7" xfId="1924" xr:uid="{00000000-0005-0000-0000-00008D070000}"/>
    <cellStyle name="Normal 2 4 8" xfId="1925" xr:uid="{00000000-0005-0000-0000-00008E070000}"/>
    <cellStyle name="Normal 2 4_Agakhan Bills of Quantities EDITED" xfId="1926" xr:uid="{00000000-0005-0000-0000-00008F070000}"/>
    <cellStyle name="Normal 2 5" xfId="1927" xr:uid="{00000000-0005-0000-0000-000090070000}"/>
    <cellStyle name="Normal 2 5 2" xfId="1928" xr:uid="{00000000-0005-0000-0000-000091070000}"/>
    <cellStyle name="Normal 2 5 2 2" xfId="1929" xr:uid="{00000000-0005-0000-0000-000092070000}"/>
    <cellStyle name="Normal 2 5 2 3" xfId="1930" xr:uid="{00000000-0005-0000-0000-000093070000}"/>
    <cellStyle name="Normal 2 5 3" xfId="1931" xr:uid="{00000000-0005-0000-0000-000094070000}"/>
    <cellStyle name="Normal 2 5 3 2" xfId="1932" xr:uid="{00000000-0005-0000-0000-000095070000}"/>
    <cellStyle name="Normal 2 5 3 3" xfId="1933" xr:uid="{00000000-0005-0000-0000-000096070000}"/>
    <cellStyle name="Normal 2 5 4" xfId="1934" xr:uid="{00000000-0005-0000-0000-000097070000}"/>
    <cellStyle name="Normal 2 5 4 2" xfId="1935" xr:uid="{00000000-0005-0000-0000-000098070000}"/>
    <cellStyle name="Normal 2 5 4 3" xfId="1936" xr:uid="{00000000-0005-0000-0000-000099070000}"/>
    <cellStyle name="Normal 2 5 5" xfId="1937" xr:uid="{00000000-0005-0000-0000-00009A070000}"/>
    <cellStyle name="Normal 2 5 5 2" xfId="1938" xr:uid="{00000000-0005-0000-0000-00009B070000}"/>
    <cellStyle name="Normal 2 5 5 3" xfId="1939" xr:uid="{00000000-0005-0000-0000-00009C070000}"/>
    <cellStyle name="Normal 2 5 6" xfId="1940" xr:uid="{00000000-0005-0000-0000-00009D070000}"/>
    <cellStyle name="Normal 2 5 6 2" xfId="1941" xr:uid="{00000000-0005-0000-0000-00009E070000}"/>
    <cellStyle name="Normal 2 5 6 3" xfId="1942" xr:uid="{00000000-0005-0000-0000-00009F070000}"/>
    <cellStyle name="Normal 2 5 7" xfId="1943" xr:uid="{00000000-0005-0000-0000-0000A0070000}"/>
    <cellStyle name="Normal 2 5 8" xfId="1944" xr:uid="{00000000-0005-0000-0000-0000A1070000}"/>
    <cellStyle name="Normal 2 5_Agakhan Bills of Quantities EDITED" xfId="1945" xr:uid="{00000000-0005-0000-0000-0000A2070000}"/>
    <cellStyle name="Normal 2 6" xfId="1946" xr:uid="{00000000-0005-0000-0000-0000A3070000}"/>
    <cellStyle name="Normal 2 6 2" xfId="1947" xr:uid="{00000000-0005-0000-0000-0000A4070000}"/>
    <cellStyle name="Normal 2 6 2 2" xfId="1948" xr:uid="{00000000-0005-0000-0000-0000A5070000}"/>
    <cellStyle name="Normal 2 6 2 3" xfId="1949" xr:uid="{00000000-0005-0000-0000-0000A6070000}"/>
    <cellStyle name="Normal 2 6 3" xfId="1950" xr:uid="{00000000-0005-0000-0000-0000A7070000}"/>
    <cellStyle name="Normal 2 6 3 2" xfId="1951" xr:uid="{00000000-0005-0000-0000-0000A8070000}"/>
    <cellStyle name="Normal 2 6 3 3" xfId="1952" xr:uid="{00000000-0005-0000-0000-0000A9070000}"/>
    <cellStyle name="Normal 2 6 4" xfId="1953" xr:uid="{00000000-0005-0000-0000-0000AA070000}"/>
    <cellStyle name="Normal 2 6 4 2" xfId="1954" xr:uid="{00000000-0005-0000-0000-0000AB070000}"/>
    <cellStyle name="Normal 2 6 4 3" xfId="1955" xr:uid="{00000000-0005-0000-0000-0000AC070000}"/>
    <cellStyle name="Normal 2 6 5" xfId="1956" xr:uid="{00000000-0005-0000-0000-0000AD070000}"/>
    <cellStyle name="Normal 2 6 5 2" xfId="1957" xr:uid="{00000000-0005-0000-0000-0000AE070000}"/>
    <cellStyle name="Normal 2 6 5 3" xfId="1958" xr:uid="{00000000-0005-0000-0000-0000AF070000}"/>
    <cellStyle name="Normal 2 6 6" xfId="1959" xr:uid="{00000000-0005-0000-0000-0000B0070000}"/>
    <cellStyle name="Normal 2 6 6 2" xfId="1960" xr:uid="{00000000-0005-0000-0000-0000B1070000}"/>
    <cellStyle name="Normal 2 6 6 3" xfId="1961" xr:uid="{00000000-0005-0000-0000-0000B2070000}"/>
    <cellStyle name="Normal 2 6 7" xfId="1962" xr:uid="{00000000-0005-0000-0000-0000B3070000}"/>
    <cellStyle name="Normal 2 6 8" xfId="1963" xr:uid="{00000000-0005-0000-0000-0000B4070000}"/>
    <cellStyle name="Normal 2 6_Agakhan Bills of Quantities EDITED" xfId="1964" xr:uid="{00000000-0005-0000-0000-0000B5070000}"/>
    <cellStyle name="Normal 2 7" xfId="1965" xr:uid="{00000000-0005-0000-0000-0000B6070000}"/>
    <cellStyle name="Normal 2 7 2" xfId="1966" xr:uid="{00000000-0005-0000-0000-0000B7070000}"/>
    <cellStyle name="Normal 2 7 2 2" xfId="1967" xr:uid="{00000000-0005-0000-0000-0000B8070000}"/>
    <cellStyle name="Normal 2 7 2 3" xfId="1968" xr:uid="{00000000-0005-0000-0000-0000B9070000}"/>
    <cellStyle name="Normal 2 7 3" xfId="1969" xr:uid="{00000000-0005-0000-0000-0000BA070000}"/>
    <cellStyle name="Normal 2 7 3 2" xfId="1970" xr:uid="{00000000-0005-0000-0000-0000BB070000}"/>
    <cellStyle name="Normal 2 7 3 3" xfId="1971" xr:uid="{00000000-0005-0000-0000-0000BC070000}"/>
    <cellStyle name="Normal 2 7 4" xfId="1972" xr:uid="{00000000-0005-0000-0000-0000BD070000}"/>
    <cellStyle name="Normal 2 7 4 2" xfId="1973" xr:uid="{00000000-0005-0000-0000-0000BE070000}"/>
    <cellStyle name="Normal 2 7 4 3" xfId="1974" xr:uid="{00000000-0005-0000-0000-0000BF070000}"/>
    <cellStyle name="Normal 2 7 5" xfId="1975" xr:uid="{00000000-0005-0000-0000-0000C0070000}"/>
    <cellStyle name="Normal 2 7 5 2" xfId="1976" xr:uid="{00000000-0005-0000-0000-0000C1070000}"/>
    <cellStyle name="Normal 2 7 5 3" xfId="1977" xr:uid="{00000000-0005-0000-0000-0000C2070000}"/>
    <cellStyle name="Normal 2 7 6" xfId="1978" xr:uid="{00000000-0005-0000-0000-0000C3070000}"/>
    <cellStyle name="Normal 2 7 6 2" xfId="1979" xr:uid="{00000000-0005-0000-0000-0000C4070000}"/>
    <cellStyle name="Normal 2 7 6 3" xfId="1980" xr:uid="{00000000-0005-0000-0000-0000C5070000}"/>
    <cellStyle name="Normal 2 7 7" xfId="1981" xr:uid="{00000000-0005-0000-0000-0000C6070000}"/>
    <cellStyle name="Normal 2 7 8" xfId="1982" xr:uid="{00000000-0005-0000-0000-0000C7070000}"/>
    <cellStyle name="Normal 2 7_Agakhan Bills of Quantities EDITED" xfId="1983" xr:uid="{00000000-0005-0000-0000-0000C8070000}"/>
    <cellStyle name="Normal 2 8" xfId="1984" xr:uid="{00000000-0005-0000-0000-0000C9070000}"/>
    <cellStyle name="Normal 2 8 2" xfId="1985" xr:uid="{00000000-0005-0000-0000-0000CA070000}"/>
    <cellStyle name="Normal 2 8 2 2" xfId="1986" xr:uid="{00000000-0005-0000-0000-0000CB070000}"/>
    <cellStyle name="Normal 2 8 2 3" xfId="1987" xr:uid="{00000000-0005-0000-0000-0000CC070000}"/>
    <cellStyle name="Normal 2 8 3" xfId="1988" xr:uid="{00000000-0005-0000-0000-0000CD070000}"/>
    <cellStyle name="Normal 2 8 3 2" xfId="1989" xr:uid="{00000000-0005-0000-0000-0000CE070000}"/>
    <cellStyle name="Normal 2 8 3 3" xfId="1990" xr:uid="{00000000-0005-0000-0000-0000CF070000}"/>
    <cellStyle name="Normal 2 8 4" xfId="1991" xr:uid="{00000000-0005-0000-0000-0000D0070000}"/>
    <cellStyle name="Normal 2 8 4 2" xfId="1992" xr:uid="{00000000-0005-0000-0000-0000D1070000}"/>
    <cellStyle name="Normal 2 8 4 3" xfId="1993" xr:uid="{00000000-0005-0000-0000-0000D2070000}"/>
    <cellStyle name="Normal 2 8 5" xfId="1994" xr:uid="{00000000-0005-0000-0000-0000D3070000}"/>
    <cellStyle name="Normal 2 8 5 2" xfId="1995" xr:uid="{00000000-0005-0000-0000-0000D4070000}"/>
    <cellStyle name="Normal 2 8 5 3" xfId="1996" xr:uid="{00000000-0005-0000-0000-0000D5070000}"/>
    <cellStyle name="Normal 2 8 6" xfId="1997" xr:uid="{00000000-0005-0000-0000-0000D6070000}"/>
    <cellStyle name="Normal 2 8 6 2" xfId="1998" xr:uid="{00000000-0005-0000-0000-0000D7070000}"/>
    <cellStyle name="Normal 2 8 6 3" xfId="1999" xr:uid="{00000000-0005-0000-0000-0000D8070000}"/>
    <cellStyle name="Normal 2 8 7" xfId="2000" xr:uid="{00000000-0005-0000-0000-0000D9070000}"/>
    <cellStyle name="Normal 2 8 8" xfId="2001" xr:uid="{00000000-0005-0000-0000-0000DA070000}"/>
    <cellStyle name="Normal 2 8_Agakhan Bills of Quantities EDITED" xfId="2002" xr:uid="{00000000-0005-0000-0000-0000DB070000}"/>
    <cellStyle name="Normal 2 9" xfId="2003" xr:uid="{00000000-0005-0000-0000-0000DC070000}"/>
    <cellStyle name="Normal 2 9 2" xfId="2004" xr:uid="{00000000-0005-0000-0000-0000DD070000}"/>
    <cellStyle name="Normal 2 9 2 2" xfId="2005" xr:uid="{00000000-0005-0000-0000-0000DE070000}"/>
    <cellStyle name="Normal 2 9 2 3" xfId="2006" xr:uid="{00000000-0005-0000-0000-0000DF070000}"/>
    <cellStyle name="Normal 2 9 3" xfId="2007" xr:uid="{00000000-0005-0000-0000-0000E0070000}"/>
    <cellStyle name="Normal 2 9 3 2" xfId="2008" xr:uid="{00000000-0005-0000-0000-0000E1070000}"/>
    <cellStyle name="Normal 2 9 3 3" xfId="2009" xr:uid="{00000000-0005-0000-0000-0000E2070000}"/>
    <cellStyle name="Normal 2 9 4" xfId="2010" xr:uid="{00000000-0005-0000-0000-0000E3070000}"/>
    <cellStyle name="Normal 2 9 4 2" xfId="2011" xr:uid="{00000000-0005-0000-0000-0000E4070000}"/>
    <cellStyle name="Normal 2 9 4 3" xfId="2012" xr:uid="{00000000-0005-0000-0000-0000E5070000}"/>
    <cellStyle name="Normal 2 9 5" xfId="2013" xr:uid="{00000000-0005-0000-0000-0000E6070000}"/>
    <cellStyle name="Normal 2 9 5 2" xfId="2014" xr:uid="{00000000-0005-0000-0000-0000E7070000}"/>
    <cellStyle name="Normal 2 9 5 3" xfId="2015" xr:uid="{00000000-0005-0000-0000-0000E8070000}"/>
    <cellStyle name="Normal 2 9 6" xfId="2016" xr:uid="{00000000-0005-0000-0000-0000E9070000}"/>
    <cellStyle name="Normal 2 9 6 2" xfId="2017" xr:uid="{00000000-0005-0000-0000-0000EA070000}"/>
    <cellStyle name="Normal 2 9 6 3" xfId="2018" xr:uid="{00000000-0005-0000-0000-0000EB070000}"/>
    <cellStyle name="Normal 2 9 7" xfId="2019" xr:uid="{00000000-0005-0000-0000-0000EC070000}"/>
    <cellStyle name="Normal 2 9 8" xfId="2020" xr:uid="{00000000-0005-0000-0000-0000ED070000}"/>
    <cellStyle name="Normal 2 9_Agakhan Bills of Quantities EDITED" xfId="2021" xr:uid="{00000000-0005-0000-0000-0000EE070000}"/>
    <cellStyle name="Normal 2_ADDITIONS &amp; MODIFICATIONS AT NAKASERO SOAP WORKS - CONTRACT BOQ" xfId="2022" xr:uid="{00000000-0005-0000-0000-0000EF070000}"/>
    <cellStyle name="Normal 2_PROPOSED OFFICES AND WAREHOUSES AT KAPCHORWA (300mt) FOR UN-WFP" xfId="2023" xr:uid="{00000000-0005-0000-0000-0000F0070000}"/>
    <cellStyle name="Normal 20" xfId="2024" xr:uid="{00000000-0005-0000-0000-0000F1070000}"/>
    <cellStyle name="Normal 20 2" xfId="2025" xr:uid="{00000000-0005-0000-0000-0000F2070000}"/>
    <cellStyle name="Normal 20 2 2" xfId="2026" xr:uid="{00000000-0005-0000-0000-0000F3070000}"/>
    <cellStyle name="Normal 20 3" xfId="2027" xr:uid="{00000000-0005-0000-0000-0000F4070000}"/>
    <cellStyle name="Normal 20_Book2" xfId="2028" xr:uid="{00000000-0005-0000-0000-0000F5070000}"/>
    <cellStyle name="Normal 21" xfId="2029" xr:uid="{00000000-0005-0000-0000-0000F6070000}"/>
    <cellStyle name="Normal 21 2" xfId="2030" xr:uid="{00000000-0005-0000-0000-0000F7070000}"/>
    <cellStyle name="Normal 21 2 2" xfId="2031" xr:uid="{00000000-0005-0000-0000-0000F8070000}"/>
    <cellStyle name="Normal 21 3" xfId="2032" xr:uid="{00000000-0005-0000-0000-0000F9070000}"/>
    <cellStyle name="Normal 21 3 2" xfId="2033" xr:uid="{00000000-0005-0000-0000-0000FA070000}"/>
    <cellStyle name="Normal 21 3_LOT 1.2 - MITYANA GH(1) 08-08-12" xfId="2034" xr:uid="{00000000-0005-0000-0000-0000FB070000}"/>
    <cellStyle name="Normal 21 4" xfId="2035" xr:uid="{00000000-0005-0000-0000-0000FC070000}"/>
    <cellStyle name="Normal 21 4 2" xfId="2036" xr:uid="{00000000-0005-0000-0000-0000FD070000}"/>
    <cellStyle name="Normal 21 4_LOT 1.2 - MITYANA GH(1) 08-08-12" xfId="2037" xr:uid="{00000000-0005-0000-0000-0000FE070000}"/>
    <cellStyle name="Normal 21 5" xfId="2038" xr:uid="{00000000-0005-0000-0000-0000FF070000}"/>
    <cellStyle name="Normal 21 5 2" xfId="2039" xr:uid="{00000000-0005-0000-0000-000000080000}"/>
    <cellStyle name="Normal 21 5_LOT 1.2 - MITYANA GH(1) 08-08-12" xfId="2040" xr:uid="{00000000-0005-0000-0000-000001080000}"/>
    <cellStyle name="Normal 21 6" xfId="2041" xr:uid="{00000000-0005-0000-0000-000002080000}"/>
    <cellStyle name="Normal 21 6 2" xfId="2042" xr:uid="{00000000-0005-0000-0000-000003080000}"/>
    <cellStyle name="Normal 21 6 2 2" xfId="2043" xr:uid="{00000000-0005-0000-0000-000004080000}"/>
    <cellStyle name="Normal 21 6 2_LOT 1.2 - MITYANA GH(1) 08-08-12" xfId="2044" xr:uid="{00000000-0005-0000-0000-000005080000}"/>
    <cellStyle name="Normal 21 6 3" xfId="2045" xr:uid="{00000000-0005-0000-0000-000006080000}"/>
    <cellStyle name="Normal 21 6 3 2" xfId="2046" xr:uid="{00000000-0005-0000-0000-000007080000}"/>
    <cellStyle name="Normal 21 6 3 2 2" xfId="2047" xr:uid="{00000000-0005-0000-0000-000008080000}"/>
    <cellStyle name="Normal 21 6 3 2_LOT 1.2 - MITYANA GH(1) 08-08-12" xfId="2048" xr:uid="{00000000-0005-0000-0000-000009080000}"/>
    <cellStyle name="Normal 21 6 3 3" xfId="2049" xr:uid="{00000000-0005-0000-0000-00000A080000}"/>
    <cellStyle name="Normal 21 6 3_LOT 1.2 - MITYANA GH(1) 08-08-12" xfId="2050" xr:uid="{00000000-0005-0000-0000-00000B080000}"/>
    <cellStyle name="Normal 21 6 4" xfId="2051" xr:uid="{00000000-0005-0000-0000-00000C080000}"/>
    <cellStyle name="Normal 21 6_LOT 1.2 - MITYANA GH(1) 08-08-12" xfId="2052" xr:uid="{00000000-0005-0000-0000-00000D080000}"/>
    <cellStyle name="Normal 21 7" xfId="2053" xr:uid="{00000000-0005-0000-0000-00000E080000}"/>
    <cellStyle name="Normal 21 7 2" xfId="2054" xr:uid="{00000000-0005-0000-0000-00000F080000}"/>
    <cellStyle name="Normal 21 7_LOT 1.2 - MITYANA GH(1) 08-08-12" xfId="2055" xr:uid="{00000000-0005-0000-0000-000010080000}"/>
    <cellStyle name="Normal 21 8" xfId="2056" xr:uid="{00000000-0005-0000-0000-000011080000}"/>
    <cellStyle name="Normal 21 9" xfId="2057" xr:uid="{00000000-0005-0000-0000-000012080000}"/>
    <cellStyle name="Normal 21_LOT 1.2 - MITYANA GH(1) 08-08-12" xfId="2058" xr:uid="{00000000-0005-0000-0000-000013080000}"/>
    <cellStyle name="Normal 22" xfId="2059" xr:uid="{00000000-0005-0000-0000-000014080000}"/>
    <cellStyle name="Normal 22 2" xfId="2060" xr:uid="{00000000-0005-0000-0000-000015080000}"/>
    <cellStyle name="Normal 22_LOT 1.2 - MITYANA GH(1) 08-08-12" xfId="2061" xr:uid="{00000000-0005-0000-0000-000016080000}"/>
    <cellStyle name="Normal 23" xfId="2062" xr:uid="{00000000-0005-0000-0000-000017080000}"/>
    <cellStyle name="Normal 23 2" xfId="2063" xr:uid="{00000000-0005-0000-0000-000018080000}"/>
    <cellStyle name="Normal 23 2 2" xfId="2064" xr:uid="{00000000-0005-0000-0000-000019080000}"/>
    <cellStyle name="Normal 23 2_LOT 1.2 - MITYANA GH(1) 08-08-12" xfId="2065" xr:uid="{00000000-0005-0000-0000-00001A080000}"/>
    <cellStyle name="Normal 23 3" xfId="2066" xr:uid="{00000000-0005-0000-0000-00001B080000}"/>
    <cellStyle name="Normal 24" xfId="2067" xr:uid="{00000000-0005-0000-0000-00001C080000}"/>
    <cellStyle name="Normal 24 2" xfId="2068" xr:uid="{00000000-0005-0000-0000-00001D080000}"/>
    <cellStyle name="Normal 24 2 2" xfId="2069" xr:uid="{00000000-0005-0000-0000-00001E080000}"/>
    <cellStyle name="Normal 24 2_LOT 1.2 - MITYANA GH(1) 08-08-12" xfId="2070" xr:uid="{00000000-0005-0000-0000-00001F080000}"/>
    <cellStyle name="Normal 24 3" xfId="2071" xr:uid="{00000000-0005-0000-0000-000020080000}"/>
    <cellStyle name="Normal 25" xfId="2072" xr:uid="{00000000-0005-0000-0000-000021080000}"/>
    <cellStyle name="Normal 25 2" xfId="2073" xr:uid="{00000000-0005-0000-0000-000022080000}"/>
    <cellStyle name="Normal 26" xfId="2074" xr:uid="{00000000-0005-0000-0000-000023080000}"/>
    <cellStyle name="Normal 26 2" xfId="2075" xr:uid="{00000000-0005-0000-0000-000024080000}"/>
    <cellStyle name="Normal 27" xfId="2076" xr:uid="{00000000-0005-0000-0000-000025080000}"/>
    <cellStyle name="Normal 27 2" xfId="2077" xr:uid="{00000000-0005-0000-0000-000026080000}"/>
    <cellStyle name="Normal 27 3" xfId="2078" xr:uid="{00000000-0005-0000-0000-000027080000}"/>
    <cellStyle name="Normal 28" xfId="2079" xr:uid="{00000000-0005-0000-0000-000028080000}"/>
    <cellStyle name="Normal 28 2" xfId="2080" xr:uid="{00000000-0005-0000-0000-000029080000}"/>
    <cellStyle name="Normal 28_LOT 1.2 - MITYANA GH(1) 08-08-12" xfId="2081" xr:uid="{00000000-0005-0000-0000-00002A080000}"/>
    <cellStyle name="Normal 29" xfId="2082" xr:uid="{00000000-0005-0000-0000-00002B080000}"/>
    <cellStyle name="Normal 29 2" xfId="2083" xr:uid="{00000000-0005-0000-0000-00002C080000}"/>
    <cellStyle name="Normal 29 3" xfId="2084" xr:uid="{00000000-0005-0000-0000-00002D080000}"/>
    <cellStyle name="Normal 29_LOT 1.2 - MITYANA GH(1) 08-08-12" xfId="2085" xr:uid="{00000000-0005-0000-0000-00002E080000}"/>
    <cellStyle name="Normal 3" xfId="2086" xr:uid="{00000000-0005-0000-0000-00002F080000}"/>
    <cellStyle name="Normal 3 10" xfId="2087" xr:uid="{00000000-0005-0000-0000-000030080000}"/>
    <cellStyle name="Normal 3 10 2" xfId="2088" xr:uid="{00000000-0005-0000-0000-000031080000}"/>
    <cellStyle name="Normal 3 10 2 2" xfId="2089" xr:uid="{00000000-0005-0000-0000-000032080000}"/>
    <cellStyle name="Normal 3 10 2 3" xfId="2090" xr:uid="{00000000-0005-0000-0000-000033080000}"/>
    <cellStyle name="Normal 3 10 3" xfId="2091" xr:uid="{00000000-0005-0000-0000-000034080000}"/>
    <cellStyle name="Normal 3 10 3 2" xfId="2092" xr:uid="{00000000-0005-0000-0000-000035080000}"/>
    <cellStyle name="Normal 3 10 3 3" xfId="2093" xr:uid="{00000000-0005-0000-0000-000036080000}"/>
    <cellStyle name="Normal 3 10 4" xfId="2094" xr:uid="{00000000-0005-0000-0000-000037080000}"/>
    <cellStyle name="Normal 3 10 4 2" xfId="2095" xr:uid="{00000000-0005-0000-0000-000038080000}"/>
    <cellStyle name="Normal 3 10 4 3" xfId="2096" xr:uid="{00000000-0005-0000-0000-000039080000}"/>
    <cellStyle name="Normal 3 10 5" xfId="2097" xr:uid="{00000000-0005-0000-0000-00003A080000}"/>
    <cellStyle name="Normal 3 10 5 2" xfId="2098" xr:uid="{00000000-0005-0000-0000-00003B080000}"/>
    <cellStyle name="Normal 3 10 5 3" xfId="2099" xr:uid="{00000000-0005-0000-0000-00003C080000}"/>
    <cellStyle name="Normal 3 10 6" xfId="2100" xr:uid="{00000000-0005-0000-0000-00003D080000}"/>
    <cellStyle name="Normal 3 10 6 2" xfId="2101" xr:uid="{00000000-0005-0000-0000-00003E080000}"/>
    <cellStyle name="Normal 3 10 6 3" xfId="2102" xr:uid="{00000000-0005-0000-0000-00003F080000}"/>
    <cellStyle name="Normal 3 10 7" xfId="2103" xr:uid="{00000000-0005-0000-0000-000040080000}"/>
    <cellStyle name="Normal 3 10 8" xfId="2104" xr:uid="{00000000-0005-0000-0000-000041080000}"/>
    <cellStyle name="Normal 3 10_Agakhan Bills of Quantities EDITED" xfId="2105" xr:uid="{00000000-0005-0000-0000-000042080000}"/>
    <cellStyle name="Normal 3 11" xfId="2106" xr:uid="{00000000-0005-0000-0000-000043080000}"/>
    <cellStyle name="Normal 3 11 2" xfId="2107" xr:uid="{00000000-0005-0000-0000-000044080000}"/>
    <cellStyle name="Normal 3 11 2 2" xfId="2108" xr:uid="{00000000-0005-0000-0000-000045080000}"/>
    <cellStyle name="Normal 3 11 2 3" xfId="2109" xr:uid="{00000000-0005-0000-0000-000046080000}"/>
    <cellStyle name="Normal 3 11 3" xfId="2110" xr:uid="{00000000-0005-0000-0000-000047080000}"/>
    <cellStyle name="Normal 3 11 3 2" xfId="2111" xr:uid="{00000000-0005-0000-0000-000048080000}"/>
    <cellStyle name="Normal 3 11 3 3" xfId="2112" xr:uid="{00000000-0005-0000-0000-000049080000}"/>
    <cellStyle name="Normal 3 11 4" xfId="2113" xr:uid="{00000000-0005-0000-0000-00004A080000}"/>
    <cellStyle name="Normal 3 11 4 2" xfId="2114" xr:uid="{00000000-0005-0000-0000-00004B080000}"/>
    <cellStyle name="Normal 3 11 4 3" xfId="2115" xr:uid="{00000000-0005-0000-0000-00004C080000}"/>
    <cellStyle name="Normal 3 11 5" xfId="2116" xr:uid="{00000000-0005-0000-0000-00004D080000}"/>
    <cellStyle name="Normal 3 11 5 2" xfId="2117" xr:uid="{00000000-0005-0000-0000-00004E080000}"/>
    <cellStyle name="Normal 3 11 5 3" xfId="2118" xr:uid="{00000000-0005-0000-0000-00004F080000}"/>
    <cellStyle name="Normal 3 11 6" xfId="2119" xr:uid="{00000000-0005-0000-0000-000050080000}"/>
    <cellStyle name="Normal 3 11 6 2" xfId="2120" xr:uid="{00000000-0005-0000-0000-000051080000}"/>
    <cellStyle name="Normal 3 11 6 3" xfId="2121" xr:uid="{00000000-0005-0000-0000-000052080000}"/>
    <cellStyle name="Normal 3 11 7" xfId="2122" xr:uid="{00000000-0005-0000-0000-000053080000}"/>
    <cellStyle name="Normal 3 11 8" xfId="2123" xr:uid="{00000000-0005-0000-0000-000054080000}"/>
    <cellStyle name="Normal 3 11_Agakhan Bills of Quantities EDITED" xfId="2124" xr:uid="{00000000-0005-0000-0000-000055080000}"/>
    <cellStyle name="Normal 3 12" xfId="2125" xr:uid="{00000000-0005-0000-0000-000056080000}"/>
    <cellStyle name="Normal 3 12 2" xfId="2126" xr:uid="{00000000-0005-0000-0000-000057080000}"/>
    <cellStyle name="Normal 3 12 3" xfId="2127" xr:uid="{00000000-0005-0000-0000-000058080000}"/>
    <cellStyle name="Normal 3 12 4" xfId="2128" xr:uid="{00000000-0005-0000-0000-000059080000}"/>
    <cellStyle name="Normal 3 13" xfId="2129" xr:uid="{00000000-0005-0000-0000-00005A080000}"/>
    <cellStyle name="Normal 3 13 2" xfId="2130" xr:uid="{00000000-0005-0000-0000-00005B080000}"/>
    <cellStyle name="Normal 3 13 3" xfId="2131" xr:uid="{00000000-0005-0000-0000-00005C080000}"/>
    <cellStyle name="Normal 3 14" xfId="2132" xr:uid="{00000000-0005-0000-0000-00005D080000}"/>
    <cellStyle name="Normal 3 14 2" xfId="2133" xr:uid="{00000000-0005-0000-0000-00005E080000}"/>
    <cellStyle name="Normal 3 14 3" xfId="2134" xr:uid="{00000000-0005-0000-0000-00005F080000}"/>
    <cellStyle name="Normal 3 15" xfId="2135" xr:uid="{00000000-0005-0000-0000-000060080000}"/>
    <cellStyle name="Normal 3 15 2" xfId="2136" xr:uid="{00000000-0005-0000-0000-000061080000}"/>
    <cellStyle name="Normal 3 15 3" xfId="2137" xr:uid="{00000000-0005-0000-0000-000062080000}"/>
    <cellStyle name="Normal 3 16" xfId="2138" xr:uid="{00000000-0005-0000-0000-000063080000}"/>
    <cellStyle name="Normal 3 16 2" xfId="2139" xr:uid="{00000000-0005-0000-0000-000064080000}"/>
    <cellStyle name="Normal 3 16 3" xfId="2140" xr:uid="{00000000-0005-0000-0000-000065080000}"/>
    <cellStyle name="Normal 3 17" xfId="2141" xr:uid="{00000000-0005-0000-0000-000066080000}"/>
    <cellStyle name="Normal 3 18" xfId="2142" xr:uid="{00000000-0005-0000-0000-000067080000}"/>
    <cellStyle name="Normal 3 19" xfId="2143" xr:uid="{00000000-0005-0000-0000-000068080000}"/>
    <cellStyle name="Normal 3 2" xfId="2144" xr:uid="{00000000-0005-0000-0000-000069080000}"/>
    <cellStyle name="Normal 3 2 2" xfId="2145" xr:uid="{00000000-0005-0000-0000-00006A080000}"/>
    <cellStyle name="Normal 3 2 2 2" xfId="2146" xr:uid="{00000000-0005-0000-0000-00006B080000}"/>
    <cellStyle name="Normal 3 2 2 3" xfId="2147" xr:uid="{00000000-0005-0000-0000-00006C080000}"/>
    <cellStyle name="Normal 3 2 2 4" xfId="2148" xr:uid="{00000000-0005-0000-0000-00006D080000}"/>
    <cellStyle name="Normal 3 2 3" xfId="2149" xr:uid="{00000000-0005-0000-0000-00006E080000}"/>
    <cellStyle name="Normal 3 2 3 2" xfId="2150" xr:uid="{00000000-0005-0000-0000-00006F080000}"/>
    <cellStyle name="Normal 3 2 3 3" xfId="2151" xr:uid="{00000000-0005-0000-0000-000070080000}"/>
    <cellStyle name="Normal 3 2 4" xfId="2152" xr:uid="{00000000-0005-0000-0000-000071080000}"/>
    <cellStyle name="Normal 3 2 4 2" xfId="2153" xr:uid="{00000000-0005-0000-0000-000072080000}"/>
    <cellStyle name="Normal 3 2 4 3" xfId="2154" xr:uid="{00000000-0005-0000-0000-000073080000}"/>
    <cellStyle name="Normal 3 2 5" xfId="2155" xr:uid="{00000000-0005-0000-0000-000074080000}"/>
    <cellStyle name="Normal 3 2 5 2" xfId="2156" xr:uid="{00000000-0005-0000-0000-000075080000}"/>
    <cellStyle name="Normal 3 2 5 3" xfId="2157" xr:uid="{00000000-0005-0000-0000-000076080000}"/>
    <cellStyle name="Normal 3 2 6" xfId="2158" xr:uid="{00000000-0005-0000-0000-000077080000}"/>
    <cellStyle name="Normal 3 2 6 2" xfId="2159" xr:uid="{00000000-0005-0000-0000-000078080000}"/>
    <cellStyle name="Normal 3 2 6 3" xfId="2160" xr:uid="{00000000-0005-0000-0000-000079080000}"/>
    <cellStyle name="Normal 3 2 7" xfId="2161" xr:uid="{00000000-0005-0000-0000-00007A080000}"/>
    <cellStyle name="Normal 3 2 8" xfId="2162" xr:uid="{00000000-0005-0000-0000-00007B080000}"/>
    <cellStyle name="Normal 3 2_Agakhan Bills of Quantities EDITED" xfId="2163" xr:uid="{00000000-0005-0000-0000-00007C080000}"/>
    <cellStyle name="Normal 3 20" xfId="2164" xr:uid="{00000000-0005-0000-0000-00007D080000}"/>
    <cellStyle name="Normal 3 21" xfId="2165" xr:uid="{00000000-0005-0000-0000-00007E080000}"/>
    <cellStyle name="Normal 3 22" xfId="2166" xr:uid="{00000000-0005-0000-0000-00007F080000}"/>
    <cellStyle name="Normal 3 23" xfId="2167" xr:uid="{00000000-0005-0000-0000-000080080000}"/>
    <cellStyle name="Normal 3 3" xfId="2168" xr:uid="{00000000-0005-0000-0000-000081080000}"/>
    <cellStyle name="Normal 3 3 2" xfId="2169" xr:uid="{00000000-0005-0000-0000-000082080000}"/>
    <cellStyle name="Normal 3 3 2 2" xfId="2170" xr:uid="{00000000-0005-0000-0000-000083080000}"/>
    <cellStyle name="Normal 3 3 2 3" xfId="2171" xr:uid="{00000000-0005-0000-0000-000084080000}"/>
    <cellStyle name="Normal 3 3 3" xfId="2172" xr:uid="{00000000-0005-0000-0000-000085080000}"/>
    <cellStyle name="Normal 3 3 3 2" xfId="2173" xr:uid="{00000000-0005-0000-0000-000086080000}"/>
    <cellStyle name="Normal 3 3 3 3" xfId="2174" xr:uid="{00000000-0005-0000-0000-000087080000}"/>
    <cellStyle name="Normal 3 3 4" xfId="2175" xr:uid="{00000000-0005-0000-0000-000088080000}"/>
    <cellStyle name="Normal 3 3 4 2" xfId="2176" xr:uid="{00000000-0005-0000-0000-000089080000}"/>
    <cellStyle name="Normal 3 3 4 3" xfId="2177" xr:uid="{00000000-0005-0000-0000-00008A080000}"/>
    <cellStyle name="Normal 3 3 5" xfId="2178" xr:uid="{00000000-0005-0000-0000-00008B080000}"/>
    <cellStyle name="Normal 3 3 5 2" xfId="2179" xr:uid="{00000000-0005-0000-0000-00008C080000}"/>
    <cellStyle name="Normal 3 3 5 3" xfId="2180" xr:uid="{00000000-0005-0000-0000-00008D080000}"/>
    <cellStyle name="Normal 3 3 6" xfId="2181" xr:uid="{00000000-0005-0000-0000-00008E080000}"/>
    <cellStyle name="Normal 3 3 6 2" xfId="2182" xr:uid="{00000000-0005-0000-0000-00008F080000}"/>
    <cellStyle name="Normal 3 3 6 3" xfId="2183" xr:uid="{00000000-0005-0000-0000-000090080000}"/>
    <cellStyle name="Normal 3 3 7" xfId="2184" xr:uid="{00000000-0005-0000-0000-000091080000}"/>
    <cellStyle name="Normal 3 3 8" xfId="2185" xr:uid="{00000000-0005-0000-0000-000092080000}"/>
    <cellStyle name="Normal 3 3_Agakhan Bills of Quantities EDITED" xfId="2186" xr:uid="{00000000-0005-0000-0000-000093080000}"/>
    <cellStyle name="Normal 3 4" xfId="2187" xr:uid="{00000000-0005-0000-0000-000094080000}"/>
    <cellStyle name="Normal 3 4 2" xfId="2188" xr:uid="{00000000-0005-0000-0000-000095080000}"/>
    <cellStyle name="Normal 3 4 2 2" xfId="2189" xr:uid="{00000000-0005-0000-0000-000096080000}"/>
    <cellStyle name="Normal 3 4 2 3" xfId="2190" xr:uid="{00000000-0005-0000-0000-000097080000}"/>
    <cellStyle name="Normal 3 4 3" xfId="2191" xr:uid="{00000000-0005-0000-0000-000098080000}"/>
    <cellStyle name="Normal 3 4 3 2" xfId="2192" xr:uid="{00000000-0005-0000-0000-000099080000}"/>
    <cellStyle name="Normal 3 4 3 3" xfId="2193" xr:uid="{00000000-0005-0000-0000-00009A080000}"/>
    <cellStyle name="Normal 3 4 4" xfId="2194" xr:uid="{00000000-0005-0000-0000-00009B080000}"/>
    <cellStyle name="Normal 3 4 4 2" xfId="2195" xr:uid="{00000000-0005-0000-0000-00009C080000}"/>
    <cellStyle name="Normal 3 4 4 3" xfId="2196" xr:uid="{00000000-0005-0000-0000-00009D080000}"/>
    <cellStyle name="Normal 3 4 5" xfId="2197" xr:uid="{00000000-0005-0000-0000-00009E080000}"/>
    <cellStyle name="Normal 3 4 5 2" xfId="2198" xr:uid="{00000000-0005-0000-0000-00009F080000}"/>
    <cellStyle name="Normal 3 4 5 3" xfId="2199" xr:uid="{00000000-0005-0000-0000-0000A0080000}"/>
    <cellStyle name="Normal 3 4 6" xfId="2200" xr:uid="{00000000-0005-0000-0000-0000A1080000}"/>
    <cellStyle name="Normal 3 4 6 2" xfId="2201" xr:uid="{00000000-0005-0000-0000-0000A2080000}"/>
    <cellStyle name="Normal 3 4 6 3" xfId="2202" xr:uid="{00000000-0005-0000-0000-0000A3080000}"/>
    <cellStyle name="Normal 3 4 7" xfId="2203" xr:uid="{00000000-0005-0000-0000-0000A4080000}"/>
    <cellStyle name="Normal 3 4 8" xfId="2204" xr:uid="{00000000-0005-0000-0000-0000A5080000}"/>
    <cellStyle name="Normal 3 4_Agakhan Bills of Quantities EDITED" xfId="2205" xr:uid="{00000000-0005-0000-0000-0000A6080000}"/>
    <cellStyle name="Normal 3 5" xfId="2206" xr:uid="{00000000-0005-0000-0000-0000A7080000}"/>
    <cellStyle name="Normal 3 5 2" xfId="2207" xr:uid="{00000000-0005-0000-0000-0000A8080000}"/>
    <cellStyle name="Normal 3 5 2 2" xfId="2208" xr:uid="{00000000-0005-0000-0000-0000A9080000}"/>
    <cellStyle name="Normal 3 5 2 3" xfId="2209" xr:uid="{00000000-0005-0000-0000-0000AA080000}"/>
    <cellStyle name="Normal 3 5 3" xfId="2210" xr:uid="{00000000-0005-0000-0000-0000AB080000}"/>
    <cellStyle name="Normal 3 5 3 2" xfId="2211" xr:uid="{00000000-0005-0000-0000-0000AC080000}"/>
    <cellStyle name="Normal 3 5 3 3" xfId="2212" xr:uid="{00000000-0005-0000-0000-0000AD080000}"/>
    <cellStyle name="Normal 3 5 4" xfId="2213" xr:uid="{00000000-0005-0000-0000-0000AE080000}"/>
    <cellStyle name="Normal 3 5 4 2" xfId="2214" xr:uid="{00000000-0005-0000-0000-0000AF080000}"/>
    <cellStyle name="Normal 3 5 4 3" xfId="2215" xr:uid="{00000000-0005-0000-0000-0000B0080000}"/>
    <cellStyle name="Normal 3 5 5" xfId="2216" xr:uid="{00000000-0005-0000-0000-0000B1080000}"/>
    <cellStyle name="Normal 3 5 5 2" xfId="2217" xr:uid="{00000000-0005-0000-0000-0000B2080000}"/>
    <cellStyle name="Normal 3 5 5 3" xfId="2218" xr:uid="{00000000-0005-0000-0000-0000B3080000}"/>
    <cellStyle name="Normal 3 5 6" xfId="2219" xr:uid="{00000000-0005-0000-0000-0000B4080000}"/>
    <cellStyle name="Normal 3 5 6 2" xfId="2220" xr:uid="{00000000-0005-0000-0000-0000B5080000}"/>
    <cellStyle name="Normal 3 5 6 3" xfId="2221" xr:uid="{00000000-0005-0000-0000-0000B6080000}"/>
    <cellStyle name="Normal 3 5 7" xfId="2222" xr:uid="{00000000-0005-0000-0000-0000B7080000}"/>
    <cellStyle name="Normal 3 5 8" xfId="2223" xr:uid="{00000000-0005-0000-0000-0000B8080000}"/>
    <cellStyle name="Normal 3 5_Agakhan Bills of Quantities EDITED" xfId="2224" xr:uid="{00000000-0005-0000-0000-0000B9080000}"/>
    <cellStyle name="Normal 3 6" xfId="2225" xr:uid="{00000000-0005-0000-0000-0000BA080000}"/>
    <cellStyle name="Normal 3 6 2" xfId="2226" xr:uid="{00000000-0005-0000-0000-0000BB080000}"/>
    <cellStyle name="Normal 3 6 2 2" xfId="2227" xr:uid="{00000000-0005-0000-0000-0000BC080000}"/>
    <cellStyle name="Normal 3 6 2 3" xfId="2228" xr:uid="{00000000-0005-0000-0000-0000BD080000}"/>
    <cellStyle name="Normal 3 6 3" xfId="2229" xr:uid="{00000000-0005-0000-0000-0000BE080000}"/>
    <cellStyle name="Normal 3 6 3 2" xfId="2230" xr:uid="{00000000-0005-0000-0000-0000BF080000}"/>
    <cellStyle name="Normal 3 6 3 3" xfId="2231" xr:uid="{00000000-0005-0000-0000-0000C0080000}"/>
    <cellStyle name="Normal 3 6 4" xfId="2232" xr:uid="{00000000-0005-0000-0000-0000C1080000}"/>
    <cellStyle name="Normal 3 6 4 2" xfId="2233" xr:uid="{00000000-0005-0000-0000-0000C2080000}"/>
    <cellStyle name="Normal 3 6 4 3" xfId="2234" xr:uid="{00000000-0005-0000-0000-0000C3080000}"/>
    <cellStyle name="Normal 3 6 5" xfId="2235" xr:uid="{00000000-0005-0000-0000-0000C4080000}"/>
    <cellStyle name="Normal 3 6 5 2" xfId="2236" xr:uid="{00000000-0005-0000-0000-0000C5080000}"/>
    <cellStyle name="Normal 3 6 5 3" xfId="2237" xr:uid="{00000000-0005-0000-0000-0000C6080000}"/>
    <cellStyle name="Normal 3 6 6" xfId="2238" xr:uid="{00000000-0005-0000-0000-0000C7080000}"/>
    <cellStyle name="Normal 3 6 6 2" xfId="2239" xr:uid="{00000000-0005-0000-0000-0000C8080000}"/>
    <cellStyle name="Normal 3 6 6 3" xfId="2240" xr:uid="{00000000-0005-0000-0000-0000C9080000}"/>
    <cellStyle name="Normal 3 6 7" xfId="2241" xr:uid="{00000000-0005-0000-0000-0000CA080000}"/>
    <cellStyle name="Normal 3 6 8" xfId="2242" xr:uid="{00000000-0005-0000-0000-0000CB080000}"/>
    <cellStyle name="Normal 3 6_Agakhan Bills of Quantities EDITED" xfId="2243" xr:uid="{00000000-0005-0000-0000-0000CC080000}"/>
    <cellStyle name="Normal 3 7" xfId="2244" xr:uid="{00000000-0005-0000-0000-0000CD080000}"/>
    <cellStyle name="Normal 3 7 2" xfId="2245" xr:uid="{00000000-0005-0000-0000-0000CE080000}"/>
    <cellStyle name="Normal 3 7 2 2" xfId="2246" xr:uid="{00000000-0005-0000-0000-0000CF080000}"/>
    <cellStyle name="Normal 3 7 2 3" xfId="2247" xr:uid="{00000000-0005-0000-0000-0000D0080000}"/>
    <cellStyle name="Normal 3 7 3" xfId="2248" xr:uid="{00000000-0005-0000-0000-0000D1080000}"/>
    <cellStyle name="Normal 3 7 3 2" xfId="2249" xr:uid="{00000000-0005-0000-0000-0000D2080000}"/>
    <cellStyle name="Normal 3 7 3 3" xfId="2250" xr:uid="{00000000-0005-0000-0000-0000D3080000}"/>
    <cellStyle name="Normal 3 7 4" xfId="2251" xr:uid="{00000000-0005-0000-0000-0000D4080000}"/>
    <cellStyle name="Normal 3 7 4 2" xfId="2252" xr:uid="{00000000-0005-0000-0000-0000D5080000}"/>
    <cellStyle name="Normal 3 7 4 3" xfId="2253" xr:uid="{00000000-0005-0000-0000-0000D6080000}"/>
    <cellStyle name="Normal 3 7 5" xfId="2254" xr:uid="{00000000-0005-0000-0000-0000D7080000}"/>
    <cellStyle name="Normal 3 7 5 2" xfId="2255" xr:uid="{00000000-0005-0000-0000-0000D8080000}"/>
    <cellStyle name="Normal 3 7 5 3" xfId="2256" xr:uid="{00000000-0005-0000-0000-0000D9080000}"/>
    <cellStyle name="Normal 3 7 6" xfId="2257" xr:uid="{00000000-0005-0000-0000-0000DA080000}"/>
    <cellStyle name="Normal 3 7 6 2" xfId="2258" xr:uid="{00000000-0005-0000-0000-0000DB080000}"/>
    <cellStyle name="Normal 3 7 6 3" xfId="2259" xr:uid="{00000000-0005-0000-0000-0000DC080000}"/>
    <cellStyle name="Normal 3 7 7" xfId="2260" xr:uid="{00000000-0005-0000-0000-0000DD080000}"/>
    <cellStyle name="Normal 3 7 8" xfId="2261" xr:uid="{00000000-0005-0000-0000-0000DE080000}"/>
    <cellStyle name="Normal 3 7_Agakhan Bills of Quantities EDITED" xfId="2262" xr:uid="{00000000-0005-0000-0000-0000DF080000}"/>
    <cellStyle name="Normal 3 8" xfId="2263" xr:uid="{00000000-0005-0000-0000-0000E0080000}"/>
    <cellStyle name="Normal 3 8 2" xfId="2264" xr:uid="{00000000-0005-0000-0000-0000E1080000}"/>
    <cellStyle name="Normal 3 8 2 2" xfId="2265" xr:uid="{00000000-0005-0000-0000-0000E2080000}"/>
    <cellStyle name="Normal 3 8 2 3" xfId="2266" xr:uid="{00000000-0005-0000-0000-0000E3080000}"/>
    <cellStyle name="Normal 3 8 3" xfId="2267" xr:uid="{00000000-0005-0000-0000-0000E4080000}"/>
    <cellStyle name="Normal 3 8 3 2" xfId="2268" xr:uid="{00000000-0005-0000-0000-0000E5080000}"/>
    <cellStyle name="Normal 3 8 3 3" xfId="2269" xr:uid="{00000000-0005-0000-0000-0000E6080000}"/>
    <cellStyle name="Normal 3 8 4" xfId="2270" xr:uid="{00000000-0005-0000-0000-0000E7080000}"/>
    <cellStyle name="Normal 3 8 4 2" xfId="2271" xr:uid="{00000000-0005-0000-0000-0000E8080000}"/>
    <cellStyle name="Normal 3 8 4 3" xfId="2272" xr:uid="{00000000-0005-0000-0000-0000E9080000}"/>
    <cellStyle name="Normal 3 8 5" xfId="2273" xr:uid="{00000000-0005-0000-0000-0000EA080000}"/>
    <cellStyle name="Normal 3 8 5 2" xfId="2274" xr:uid="{00000000-0005-0000-0000-0000EB080000}"/>
    <cellStyle name="Normal 3 8 5 3" xfId="2275" xr:uid="{00000000-0005-0000-0000-0000EC080000}"/>
    <cellStyle name="Normal 3 8 6" xfId="2276" xr:uid="{00000000-0005-0000-0000-0000ED080000}"/>
    <cellStyle name="Normal 3 8 6 2" xfId="2277" xr:uid="{00000000-0005-0000-0000-0000EE080000}"/>
    <cellStyle name="Normal 3 8 6 3" xfId="2278" xr:uid="{00000000-0005-0000-0000-0000EF080000}"/>
    <cellStyle name="Normal 3 8 7" xfId="2279" xr:uid="{00000000-0005-0000-0000-0000F0080000}"/>
    <cellStyle name="Normal 3 8 8" xfId="2280" xr:uid="{00000000-0005-0000-0000-0000F1080000}"/>
    <cellStyle name="Normal 3 8_Agakhan Bills of Quantities EDITED" xfId="2281" xr:uid="{00000000-0005-0000-0000-0000F2080000}"/>
    <cellStyle name="Normal 3 9" xfId="2282" xr:uid="{00000000-0005-0000-0000-0000F3080000}"/>
    <cellStyle name="Normal 3 9 2" xfId="2283" xr:uid="{00000000-0005-0000-0000-0000F4080000}"/>
    <cellStyle name="Normal 3 9 2 2" xfId="2284" xr:uid="{00000000-0005-0000-0000-0000F5080000}"/>
    <cellStyle name="Normal 3 9 2 3" xfId="2285" xr:uid="{00000000-0005-0000-0000-0000F6080000}"/>
    <cellStyle name="Normal 3 9 3" xfId="2286" xr:uid="{00000000-0005-0000-0000-0000F7080000}"/>
    <cellStyle name="Normal 3 9 3 2" xfId="2287" xr:uid="{00000000-0005-0000-0000-0000F8080000}"/>
    <cellStyle name="Normal 3 9 3 3" xfId="2288" xr:uid="{00000000-0005-0000-0000-0000F9080000}"/>
    <cellStyle name="Normal 3 9 4" xfId="2289" xr:uid="{00000000-0005-0000-0000-0000FA080000}"/>
    <cellStyle name="Normal 3 9 4 2" xfId="2290" xr:uid="{00000000-0005-0000-0000-0000FB080000}"/>
    <cellStyle name="Normal 3 9 4 3" xfId="2291" xr:uid="{00000000-0005-0000-0000-0000FC080000}"/>
    <cellStyle name="Normal 3 9 5" xfId="2292" xr:uid="{00000000-0005-0000-0000-0000FD080000}"/>
    <cellStyle name="Normal 3 9 5 2" xfId="2293" xr:uid="{00000000-0005-0000-0000-0000FE080000}"/>
    <cellStyle name="Normal 3 9 5 3" xfId="2294" xr:uid="{00000000-0005-0000-0000-0000FF080000}"/>
    <cellStyle name="Normal 3 9 6" xfId="2295" xr:uid="{00000000-0005-0000-0000-000000090000}"/>
    <cellStyle name="Normal 3 9 6 2" xfId="2296" xr:uid="{00000000-0005-0000-0000-000001090000}"/>
    <cellStyle name="Normal 3 9 6 3" xfId="2297" xr:uid="{00000000-0005-0000-0000-000002090000}"/>
    <cellStyle name="Normal 3 9 7" xfId="2298" xr:uid="{00000000-0005-0000-0000-000003090000}"/>
    <cellStyle name="Normal 3 9 8" xfId="2299" xr:uid="{00000000-0005-0000-0000-000004090000}"/>
    <cellStyle name="Normal 3 9_Agakhan Bills of Quantities EDITED" xfId="2300" xr:uid="{00000000-0005-0000-0000-000005090000}"/>
    <cellStyle name="Normal 3_Agakhan Bills of Quantities EDITED" xfId="2301" xr:uid="{00000000-0005-0000-0000-000006090000}"/>
    <cellStyle name="Normal 30" xfId="2302" xr:uid="{00000000-0005-0000-0000-000007090000}"/>
    <cellStyle name="Normal 31" xfId="2303" xr:uid="{00000000-0005-0000-0000-000008090000}"/>
    <cellStyle name="Normal 31 2" xfId="2304" xr:uid="{00000000-0005-0000-0000-000009090000}"/>
    <cellStyle name="Normal 31_LOT 1.2 - MITYANA GH(1) 08-08-12" xfId="2305" xr:uid="{00000000-0005-0000-0000-00000A090000}"/>
    <cellStyle name="Normal 32" xfId="2306" xr:uid="{00000000-0005-0000-0000-00000B090000}"/>
    <cellStyle name="Normal 32 2" xfId="2307" xr:uid="{00000000-0005-0000-0000-00000C090000}"/>
    <cellStyle name="Normal 32_LOT 1.2 - MITYANA GH(1) 08-08-12" xfId="2308" xr:uid="{00000000-0005-0000-0000-00000D090000}"/>
    <cellStyle name="Normal 33" xfId="2309" xr:uid="{00000000-0005-0000-0000-00000E090000}"/>
    <cellStyle name="Normal 33 2" xfId="2310" xr:uid="{00000000-0005-0000-0000-00000F090000}"/>
    <cellStyle name="Normal 33_LOT 1.2 - MITYANA GH(1) 08-08-12" xfId="2311" xr:uid="{00000000-0005-0000-0000-000010090000}"/>
    <cellStyle name="Normal 34" xfId="2312" xr:uid="{00000000-0005-0000-0000-000011090000}"/>
    <cellStyle name="Normal 34 2" xfId="2313" xr:uid="{00000000-0005-0000-0000-000012090000}"/>
    <cellStyle name="Normal 34_LOT 1.2 - MITYANA GH(1) 08-08-12" xfId="2314" xr:uid="{00000000-0005-0000-0000-000013090000}"/>
    <cellStyle name="Normal 35" xfId="2315" xr:uid="{00000000-0005-0000-0000-000014090000}"/>
    <cellStyle name="Normal 35 2" xfId="2316" xr:uid="{00000000-0005-0000-0000-000015090000}"/>
    <cellStyle name="Normal 35_LOT 1.2 - MITYANA GH(1) 08-08-12" xfId="2317" xr:uid="{00000000-0005-0000-0000-000016090000}"/>
    <cellStyle name="Normal 36" xfId="2318" xr:uid="{00000000-0005-0000-0000-000017090000}"/>
    <cellStyle name="Normal 37" xfId="2319" xr:uid="{00000000-0005-0000-0000-000018090000}"/>
    <cellStyle name="Normal 38" xfId="2320" xr:uid="{00000000-0005-0000-0000-000019090000}"/>
    <cellStyle name="Normal 39" xfId="2321" xr:uid="{00000000-0005-0000-0000-00001A090000}"/>
    <cellStyle name="Normal 4" xfId="2322" xr:uid="{00000000-0005-0000-0000-00001B090000}"/>
    <cellStyle name="Normal 4 10" xfId="2323" xr:uid="{00000000-0005-0000-0000-00001C090000}"/>
    <cellStyle name="Normal 4 10 2" xfId="2324" xr:uid="{00000000-0005-0000-0000-00001D090000}"/>
    <cellStyle name="Normal 4 10 2 2" xfId="2325" xr:uid="{00000000-0005-0000-0000-00001E090000}"/>
    <cellStyle name="Normal 4 10 2 3" xfId="2326" xr:uid="{00000000-0005-0000-0000-00001F090000}"/>
    <cellStyle name="Normal 4 10 3" xfId="2327" xr:uid="{00000000-0005-0000-0000-000020090000}"/>
    <cellStyle name="Normal 4 10 3 2" xfId="2328" xr:uid="{00000000-0005-0000-0000-000021090000}"/>
    <cellStyle name="Normal 4 10 3 3" xfId="2329" xr:uid="{00000000-0005-0000-0000-000022090000}"/>
    <cellStyle name="Normal 4 10 4" xfId="2330" xr:uid="{00000000-0005-0000-0000-000023090000}"/>
    <cellStyle name="Normal 4 10 4 2" xfId="2331" xr:uid="{00000000-0005-0000-0000-000024090000}"/>
    <cellStyle name="Normal 4 10 4 3" xfId="2332" xr:uid="{00000000-0005-0000-0000-000025090000}"/>
    <cellStyle name="Normal 4 10 5" xfId="2333" xr:uid="{00000000-0005-0000-0000-000026090000}"/>
    <cellStyle name="Normal 4 10 5 2" xfId="2334" xr:uid="{00000000-0005-0000-0000-000027090000}"/>
    <cellStyle name="Normal 4 10 5 3" xfId="2335" xr:uid="{00000000-0005-0000-0000-000028090000}"/>
    <cellStyle name="Normal 4 10 6" xfId="2336" xr:uid="{00000000-0005-0000-0000-000029090000}"/>
    <cellStyle name="Normal 4 10 6 2" xfId="2337" xr:uid="{00000000-0005-0000-0000-00002A090000}"/>
    <cellStyle name="Normal 4 10 6 3" xfId="2338" xr:uid="{00000000-0005-0000-0000-00002B090000}"/>
    <cellStyle name="Normal 4 10 7" xfId="2339" xr:uid="{00000000-0005-0000-0000-00002C090000}"/>
    <cellStyle name="Normal 4 10 8" xfId="2340" xr:uid="{00000000-0005-0000-0000-00002D090000}"/>
    <cellStyle name="Normal 4 10_Agakhan Bills of Quantities EDITED" xfId="2341" xr:uid="{00000000-0005-0000-0000-00002E090000}"/>
    <cellStyle name="Normal 4 11" xfId="2342" xr:uid="{00000000-0005-0000-0000-00002F090000}"/>
    <cellStyle name="Normal 4 11 2" xfId="2343" xr:uid="{00000000-0005-0000-0000-000030090000}"/>
    <cellStyle name="Normal 4 11 2 2" xfId="2344" xr:uid="{00000000-0005-0000-0000-000031090000}"/>
    <cellStyle name="Normal 4 11 2 3" xfId="2345" xr:uid="{00000000-0005-0000-0000-000032090000}"/>
    <cellStyle name="Normal 4 11 3" xfId="2346" xr:uid="{00000000-0005-0000-0000-000033090000}"/>
    <cellStyle name="Normal 4 11 3 2" xfId="2347" xr:uid="{00000000-0005-0000-0000-000034090000}"/>
    <cellStyle name="Normal 4 11 3 3" xfId="2348" xr:uid="{00000000-0005-0000-0000-000035090000}"/>
    <cellStyle name="Normal 4 11 4" xfId="2349" xr:uid="{00000000-0005-0000-0000-000036090000}"/>
    <cellStyle name="Normal 4 11 4 2" xfId="2350" xr:uid="{00000000-0005-0000-0000-000037090000}"/>
    <cellStyle name="Normal 4 11 4 3" xfId="2351" xr:uid="{00000000-0005-0000-0000-000038090000}"/>
    <cellStyle name="Normal 4 11 5" xfId="2352" xr:uid="{00000000-0005-0000-0000-000039090000}"/>
    <cellStyle name="Normal 4 11 5 2" xfId="2353" xr:uid="{00000000-0005-0000-0000-00003A090000}"/>
    <cellStyle name="Normal 4 11 5 3" xfId="2354" xr:uid="{00000000-0005-0000-0000-00003B090000}"/>
    <cellStyle name="Normal 4 11 6" xfId="2355" xr:uid="{00000000-0005-0000-0000-00003C090000}"/>
    <cellStyle name="Normal 4 11 6 2" xfId="2356" xr:uid="{00000000-0005-0000-0000-00003D090000}"/>
    <cellStyle name="Normal 4 11 6 3" xfId="2357" xr:uid="{00000000-0005-0000-0000-00003E090000}"/>
    <cellStyle name="Normal 4 11 7" xfId="2358" xr:uid="{00000000-0005-0000-0000-00003F090000}"/>
    <cellStyle name="Normal 4 11 8" xfId="2359" xr:uid="{00000000-0005-0000-0000-000040090000}"/>
    <cellStyle name="Normal 4 11_Agakhan Bills of Quantities EDITED" xfId="2360" xr:uid="{00000000-0005-0000-0000-000041090000}"/>
    <cellStyle name="Normal 4 12" xfId="2361" xr:uid="{00000000-0005-0000-0000-000042090000}"/>
    <cellStyle name="Normal 4 12 2" xfId="2362" xr:uid="{00000000-0005-0000-0000-000043090000}"/>
    <cellStyle name="Normal 4 12 3" xfId="2363" xr:uid="{00000000-0005-0000-0000-000044090000}"/>
    <cellStyle name="Normal 4 13" xfId="2364" xr:uid="{00000000-0005-0000-0000-000045090000}"/>
    <cellStyle name="Normal 4 13 2" xfId="2365" xr:uid="{00000000-0005-0000-0000-000046090000}"/>
    <cellStyle name="Normal 4 13 3" xfId="2366" xr:uid="{00000000-0005-0000-0000-000047090000}"/>
    <cellStyle name="Normal 4 14" xfId="2367" xr:uid="{00000000-0005-0000-0000-000048090000}"/>
    <cellStyle name="Normal 4 14 2" xfId="2368" xr:uid="{00000000-0005-0000-0000-000049090000}"/>
    <cellStyle name="Normal 4 14 3" xfId="2369" xr:uid="{00000000-0005-0000-0000-00004A090000}"/>
    <cellStyle name="Normal 4 14 4" xfId="2370" xr:uid="{00000000-0005-0000-0000-00004B090000}"/>
    <cellStyle name="Normal 4 15" xfId="2371" xr:uid="{00000000-0005-0000-0000-00004C090000}"/>
    <cellStyle name="Normal 4 15 2" xfId="2372" xr:uid="{00000000-0005-0000-0000-00004D090000}"/>
    <cellStyle name="Normal 4 15 3" xfId="2373" xr:uid="{00000000-0005-0000-0000-00004E090000}"/>
    <cellStyle name="Normal 4 16" xfId="2374" xr:uid="{00000000-0005-0000-0000-00004F090000}"/>
    <cellStyle name="Normal 4 16 2" xfId="2375" xr:uid="{00000000-0005-0000-0000-000050090000}"/>
    <cellStyle name="Normal 4 16 3" xfId="2376" xr:uid="{00000000-0005-0000-0000-000051090000}"/>
    <cellStyle name="Normal 4 17" xfId="2377" xr:uid="{00000000-0005-0000-0000-000052090000}"/>
    <cellStyle name="Normal 4 18" xfId="2378" xr:uid="{00000000-0005-0000-0000-000053090000}"/>
    <cellStyle name="Normal 4 19" xfId="2379" xr:uid="{00000000-0005-0000-0000-000054090000}"/>
    <cellStyle name="Normal 4 2" xfId="2380" xr:uid="{00000000-0005-0000-0000-000055090000}"/>
    <cellStyle name="Normal 4 2 2" xfId="2381" xr:uid="{00000000-0005-0000-0000-000056090000}"/>
    <cellStyle name="Normal 4 2 2 2" xfId="2382" xr:uid="{00000000-0005-0000-0000-000057090000}"/>
    <cellStyle name="Normal 4 2 2 3" xfId="2383" xr:uid="{00000000-0005-0000-0000-000058090000}"/>
    <cellStyle name="Normal 4 2 2 4" xfId="2384" xr:uid="{00000000-0005-0000-0000-000059090000}"/>
    <cellStyle name="Normal 4 2 3" xfId="2385" xr:uid="{00000000-0005-0000-0000-00005A090000}"/>
    <cellStyle name="Normal 4 2 3 2" xfId="2386" xr:uid="{00000000-0005-0000-0000-00005B090000}"/>
    <cellStyle name="Normal 4 2 3 3" xfId="2387" xr:uid="{00000000-0005-0000-0000-00005C090000}"/>
    <cellStyle name="Normal 4 2 4" xfId="2388" xr:uid="{00000000-0005-0000-0000-00005D090000}"/>
    <cellStyle name="Normal 4 2 4 2" xfId="2389" xr:uid="{00000000-0005-0000-0000-00005E090000}"/>
    <cellStyle name="Normal 4 2 4 3" xfId="2390" xr:uid="{00000000-0005-0000-0000-00005F090000}"/>
    <cellStyle name="Normal 4 2 5" xfId="2391" xr:uid="{00000000-0005-0000-0000-000060090000}"/>
    <cellStyle name="Normal 4 2 5 2" xfId="2392" xr:uid="{00000000-0005-0000-0000-000061090000}"/>
    <cellStyle name="Normal 4 2 5 3" xfId="2393" xr:uid="{00000000-0005-0000-0000-000062090000}"/>
    <cellStyle name="Normal 4 2 6" xfId="2394" xr:uid="{00000000-0005-0000-0000-000063090000}"/>
    <cellStyle name="Normal 4 2 6 2" xfId="2395" xr:uid="{00000000-0005-0000-0000-000064090000}"/>
    <cellStyle name="Normal 4 2 6 3" xfId="2396" xr:uid="{00000000-0005-0000-0000-000065090000}"/>
    <cellStyle name="Normal 4 2 7" xfId="2397" xr:uid="{00000000-0005-0000-0000-000066090000}"/>
    <cellStyle name="Normal 4 2 8" xfId="2398" xr:uid="{00000000-0005-0000-0000-000067090000}"/>
    <cellStyle name="Normal 4 2_Agakhan Bills of Quantities EDITED" xfId="2399" xr:uid="{00000000-0005-0000-0000-000068090000}"/>
    <cellStyle name="Normal 4 3" xfId="2400" xr:uid="{00000000-0005-0000-0000-000069090000}"/>
    <cellStyle name="Normal 4 3 2" xfId="2401" xr:uid="{00000000-0005-0000-0000-00006A090000}"/>
    <cellStyle name="Normal 4 3 2 2" xfId="2402" xr:uid="{00000000-0005-0000-0000-00006B090000}"/>
    <cellStyle name="Normal 4 3 2 3" xfId="2403" xr:uid="{00000000-0005-0000-0000-00006C090000}"/>
    <cellStyle name="Normal 4 3 3" xfId="2404" xr:uid="{00000000-0005-0000-0000-00006D090000}"/>
    <cellStyle name="Normal 4 3 3 2" xfId="2405" xr:uid="{00000000-0005-0000-0000-00006E090000}"/>
    <cellStyle name="Normal 4 3 3 3" xfId="2406" xr:uid="{00000000-0005-0000-0000-00006F090000}"/>
    <cellStyle name="Normal 4 3 4" xfId="2407" xr:uid="{00000000-0005-0000-0000-000070090000}"/>
    <cellStyle name="Normal 4 3 4 2" xfId="2408" xr:uid="{00000000-0005-0000-0000-000071090000}"/>
    <cellStyle name="Normal 4 3 4 3" xfId="2409" xr:uid="{00000000-0005-0000-0000-000072090000}"/>
    <cellStyle name="Normal 4 3 5" xfId="2410" xr:uid="{00000000-0005-0000-0000-000073090000}"/>
    <cellStyle name="Normal 4 3 5 2" xfId="2411" xr:uid="{00000000-0005-0000-0000-000074090000}"/>
    <cellStyle name="Normal 4 3 5 3" xfId="2412" xr:uid="{00000000-0005-0000-0000-000075090000}"/>
    <cellStyle name="Normal 4 3 6" xfId="2413" xr:uid="{00000000-0005-0000-0000-000076090000}"/>
    <cellStyle name="Normal 4 3 6 2" xfId="2414" xr:uid="{00000000-0005-0000-0000-000077090000}"/>
    <cellStyle name="Normal 4 3 6 3" xfId="2415" xr:uid="{00000000-0005-0000-0000-000078090000}"/>
    <cellStyle name="Normal 4 3 7" xfId="2416" xr:uid="{00000000-0005-0000-0000-000079090000}"/>
    <cellStyle name="Normal 4 3 8" xfId="2417" xr:uid="{00000000-0005-0000-0000-00007A090000}"/>
    <cellStyle name="Normal 4 3_Agakhan Bills of Quantities EDITED" xfId="2418" xr:uid="{00000000-0005-0000-0000-00007B090000}"/>
    <cellStyle name="Normal 4 4" xfId="2419" xr:uid="{00000000-0005-0000-0000-00007C090000}"/>
    <cellStyle name="Normal 4 4 2" xfId="2420" xr:uid="{00000000-0005-0000-0000-00007D090000}"/>
    <cellStyle name="Normal 4 4 2 2" xfId="2421" xr:uid="{00000000-0005-0000-0000-00007E090000}"/>
    <cellStyle name="Normal 4 4 2 3" xfId="2422" xr:uid="{00000000-0005-0000-0000-00007F090000}"/>
    <cellStyle name="Normal 4 4 3" xfId="2423" xr:uid="{00000000-0005-0000-0000-000080090000}"/>
    <cellStyle name="Normal 4 4 3 2" xfId="2424" xr:uid="{00000000-0005-0000-0000-000081090000}"/>
    <cellStyle name="Normal 4 4 3 3" xfId="2425" xr:uid="{00000000-0005-0000-0000-000082090000}"/>
    <cellStyle name="Normal 4 4 4" xfId="2426" xr:uid="{00000000-0005-0000-0000-000083090000}"/>
    <cellStyle name="Normal 4 4 4 2" xfId="2427" xr:uid="{00000000-0005-0000-0000-000084090000}"/>
    <cellStyle name="Normal 4 4 4 3" xfId="2428" xr:uid="{00000000-0005-0000-0000-000085090000}"/>
    <cellStyle name="Normal 4 4 5" xfId="2429" xr:uid="{00000000-0005-0000-0000-000086090000}"/>
    <cellStyle name="Normal 4 4 5 2" xfId="2430" xr:uid="{00000000-0005-0000-0000-000087090000}"/>
    <cellStyle name="Normal 4 4 5 3" xfId="2431" xr:uid="{00000000-0005-0000-0000-000088090000}"/>
    <cellStyle name="Normal 4 4 6" xfId="2432" xr:uid="{00000000-0005-0000-0000-000089090000}"/>
    <cellStyle name="Normal 4 4 6 2" xfId="2433" xr:uid="{00000000-0005-0000-0000-00008A090000}"/>
    <cellStyle name="Normal 4 4 6 3" xfId="2434" xr:uid="{00000000-0005-0000-0000-00008B090000}"/>
    <cellStyle name="Normal 4 4 7" xfId="2435" xr:uid="{00000000-0005-0000-0000-00008C090000}"/>
    <cellStyle name="Normal 4 4 8" xfId="2436" xr:uid="{00000000-0005-0000-0000-00008D090000}"/>
    <cellStyle name="Normal 4 4_Agakhan Bills of Quantities EDITED" xfId="2437" xr:uid="{00000000-0005-0000-0000-00008E090000}"/>
    <cellStyle name="Normal 4 5" xfId="2438" xr:uid="{00000000-0005-0000-0000-00008F090000}"/>
    <cellStyle name="Normal 4 5 2" xfId="2439" xr:uid="{00000000-0005-0000-0000-000090090000}"/>
    <cellStyle name="Normal 4 5 2 2" xfId="2440" xr:uid="{00000000-0005-0000-0000-000091090000}"/>
    <cellStyle name="Normal 4 5 2 3" xfId="2441" xr:uid="{00000000-0005-0000-0000-000092090000}"/>
    <cellStyle name="Normal 4 5 3" xfId="2442" xr:uid="{00000000-0005-0000-0000-000093090000}"/>
    <cellStyle name="Normal 4 5 3 2" xfId="2443" xr:uid="{00000000-0005-0000-0000-000094090000}"/>
    <cellStyle name="Normal 4 5 3 3" xfId="2444" xr:uid="{00000000-0005-0000-0000-000095090000}"/>
    <cellStyle name="Normal 4 5 4" xfId="2445" xr:uid="{00000000-0005-0000-0000-000096090000}"/>
    <cellStyle name="Normal 4 5 4 2" xfId="2446" xr:uid="{00000000-0005-0000-0000-000097090000}"/>
    <cellStyle name="Normal 4 5 4 3" xfId="2447" xr:uid="{00000000-0005-0000-0000-000098090000}"/>
    <cellStyle name="Normal 4 5 5" xfId="2448" xr:uid="{00000000-0005-0000-0000-000099090000}"/>
    <cellStyle name="Normal 4 5 5 2" xfId="2449" xr:uid="{00000000-0005-0000-0000-00009A090000}"/>
    <cellStyle name="Normal 4 5 5 3" xfId="2450" xr:uid="{00000000-0005-0000-0000-00009B090000}"/>
    <cellStyle name="Normal 4 5 6" xfId="2451" xr:uid="{00000000-0005-0000-0000-00009C090000}"/>
    <cellStyle name="Normal 4 5 6 2" xfId="2452" xr:uid="{00000000-0005-0000-0000-00009D090000}"/>
    <cellStyle name="Normal 4 5 6 3" xfId="2453" xr:uid="{00000000-0005-0000-0000-00009E090000}"/>
    <cellStyle name="Normal 4 5 7" xfId="2454" xr:uid="{00000000-0005-0000-0000-00009F090000}"/>
    <cellStyle name="Normal 4 5 8" xfId="2455" xr:uid="{00000000-0005-0000-0000-0000A0090000}"/>
    <cellStyle name="Normal 4 5_Agakhan Bills of Quantities EDITED" xfId="2456" xr:uid="{00000000-0005-0000-0000-0000A1090000}"/>
    <cellStyle name="Normal 4 6" xfId="2457" xr:uid="{00000000-0005-0000-0000-0000A2090000}"/>
    <cellStyle name="Normal 4 6 2" xfId="2458" xr:uid="{00000000-0005-0000-0000-0000A3090000}"/>
    <cellStyle name="Normal 4 6 2 2" xfId="2459" xr:uid="{00000000-0005-0000-0000-0000A4090000}"/>
    <cellStyle name="Normal 4 6 2 3" xfId="2460" xr:uid="{00000000-0005-0000-0000-0000A5090000}"/>
    <cellStyle name="Normal 4 6 3" xfId="2461" xr:uid="{00000000-0005-0000-0000-0000A6090000}"/>
    <cellStyle name="Normal 4 6 3 2" xfId="2462" xr:uid="{00000000-0005-0000-0000-0000A7090000}"/>
    <cellStyle name="Normal 4 6 3 3" xfId="2463" xr:uid="{00000000-0005-0000-0000-0000A8090000}"/>
    <cellStyle name="Normal 4 6 4" xfId="2464" xr:uid="{00000000-0005-0000-0000-0000A9090000}"/>
    <cellStyle name="Normal 4 6 4 2" xfId="2465" xr:uid="{00000000-0005-0000-0000-0000AA090000}"/>
    <cellStyle name="Normal 4 6 4 3" xfId="2466" xr:uid="{00000000-0005-0000-0000-0000AB090000}"/>
    <cellStyle name="Normal 4 6 5" xfId="2467" xr:uid="{00000000-0005-0000-0000-0000AC090000}"/>
    <cellStyle name="Normal 4 6 5 2" xfId="2468" xr:uid="{00000000-0005-0000-0000-0000AD090000}"/>
    <cellStyle name="Normal 4 6 5 3" xfId="2469" xr:uid="{00000000-0005-0000-0000-0000AE090000}"/>
    <cellStyle name="Normal 4 6 6" xfId="2470" xr:uid="{00000000-0005-0000-0000-0000AF090000}"/>
    <cellStyle name="Normal 4 6 6 2" xfId="2471" xr:uid="{00000000-0005-0000-0000-0000B0090000}"/>
    <cellStyle name="Normal 4 6 6 3" xfId="2472" xr:uid="{00000000-0005-0000-0000-0000B1090000}"/>
    <cellStyle name="Normal 4 6 7" xfId="2473" xr:uid="{00000000-0005-0000-0000-0000B2090000}"/>
    <cellStyle name="Normal 4 6 8" xfId="2474" xr:uid="{00000000-0005-0000-0000-0000B3090000}"/>
    <cellStyle name="Normal 4 6_Agakhan Bills of Quantities EDITED" xfId="2475" xr:uid="{00000000-0005-0000-0000-0000B4090000}"/>
    <cellStyle name="Normal 4 7" xfId="2476" xr:uid="{00000000-0005-0000-0000-0000B5090000}"/>
    <cellStyle name="Normal 4 7 2" xfId="2477" xr:uid="{00000000-0005-0000-0000-0000B6090000}"/>
    <cellStyle name="Normal 4 7 2 2" xfId="2478" xr:uid="{00000000-0005-0000-0000-0000B7090000}"/>
    <cellStyle name="Normal 4 7 2 3" xfId="2479" xr:uid="{00000000-0005-0000-0000-0000B8090000}"/>
    <cellStyle name="Normal 4 7 3" xfId="2480" xr:uid="{00000000-0005-0000-0000-0000B9090000}"/>
    <cellStyle name="Normal 4 7 3 2" xfId="2481" xr:uid="{00000000-0005-0000-0000-0000BA090000}"/>
    <cellStyle name="Normal 4 7 3 3" xfId="2482" xr:uid="{00000000-0005-0000-0000-0000BB090000}"/>
    <cellStyle name="Normal 4 7 4" xfId="2483" xr:uid="{00000000-0005-0000-0000-0000BC090000}"/>
    <cellStyle name="Normal 4 7 4 2" xfId="2484" xr:uid="{00000000-0005-0000-0000-0000BD090000}"/>
    <cellStyle name="Normal 4 7 4 3" xfId="2485" xr:uid="{00000000-0005-0000-0000-0000BE090000}"/>
    <cellStyle name="Normal 4 7 5" xfId="2486" xr:uid="{00000000-0005-0000-0000-0000BF090000}"/>
    <cellStyle name="Normal 4 7 5 2" xfId="2487" xr:uid="{00000000-0005-0000-0000-0000C0090000}"/>
    <cellStyle name="Normal 4 7 5 3" xfId="2488" xr:uid="{00000000-0005-0000-0000-0000C1090000}"/>
    <cellStyle name="Normal 4 7 6" xfId="2489" xr:uid="{00000000-0005-0000-0000-0000C2090000}"/>
    <cellStyle name="Normal 4 7 6 2" xfId="2490" xr:uid="{00000000-0005-0000-0000-0000C3090000}"/>
    <cellStyle name="Normal 4 7 6 3" xfId="2491" xr:uid="{00000000-0005-0000-0000-0000C4090000}"/>
    <cellStyle name="Normal 4 7 7" xfId="2492" xr:uid="{00000000-0005-0000-0000-0000C5090000}"/>
    <cellStyle name="Normal 4 7 8" xfId="2493" xr:uid="{00000000-0005-0000-0000-0000C6090000}"/>
    <cellStyle name="Normal 4 7_Agakhan Bills of Quantities EDITED" xfId="2494" xr:uid="{00000000-0005-0000-0000-0000C7090000}"/>
    <cellStyle name="Normal 4 8" xfId="2495" xr:uid="{00000000-0005-0000-0000-0000C8090000}"/>
    <cellStyle name="Normal 4 8 2" xfId="2496" xr:uid="{00000000-0005-0000-0000-0000C9090000}"/>
    <cellStyle name="Normal 4 8 2 2" xfId="2497" xr:uid="{00000000-0005-0000-0000-0000CA090000}"/>
    <cellStyle name="Normal 4 8 2 3" xfId="2498" xr:uid="{00000000-0005-0000-0000-0000CB090000}"/>
    <cellStyle name="Normal 4 8 3" xfId="2499" xr:uid="{00000000-0005-0000-0000-0000CC090000}"/>
    <cellStyle name="Normal 4 8 3 2" xfId="2500" xr:uid="{00000000-0005-0000-0000-0000CD090000}"/>
    <cellStyle name="Normal 4 8 3 3" xfId="2501" xr:uid="{00000000-0005-0000-0000-0000CE090000}"/>
    <cellStyle name="Normal 4 8 4" xfId="2502" xr:uid="{00000000-0005-0000-0000-0000CF090000}"/>
    <cellStyle name="Normal 4 8 4 2" xfId="2503" xr:uid="{00000000-0005-0000-0000-0000D0090000}"/>
    <cellStyle name="Normal 4 8 4 3" xfId="2504" xr:uid="{00000000-0005-0000-0000-0000D1090000}"/>
    <cellStyle name="Normal 4 8 5" xfId="2505" xr:uid="{00000000-0005-0000-0000-0000D2090000}"/>
    <cellStyle name="Normal 4 8 5 2" xfId="2506" xr:uid="{00000000-0005-0000-0000-0000D3090000}"/>
    <cellStyle name="Normal 4 8 5 3" xfId="2507" xr:uid="{00000000-0005-0000-0000-0000D4090000}"/>
    <cellStyle name="Normal 4 8 6" xfId="2508" xr:uid="{00000000-0005-0000-0000-0000D5090000}"/>
    <cellStyle name="Normal 4 8 6 2" xfId="2509" xr:uid="{00000000-0005-0000-0000-0000D6090000}"/>
    <cellStyle name="Normal 4 8 6 3" xfId="2510" xr:uid="{00000000-0005-0000-0000-0000D7090000}"/>
    <cellStyle name="Normal 4 8 7" xfId="2511" xr:uid="{00000000-0005-0000-0000-0000D8090000}"/>
    <cellStyle name="Normal 4 8 8" xfId="2512" xr:uid="{00000000-0005-0000-0000-0000D9090000}"/>
    <cellStyle name="Normal 4 8_Agakhan Bills of Quantities EDITED" xfId="2513" xr:uid="{00000000-0005-0000-0000-0000DA090000}"/>
    <cellStyle name="Normal 4 9" xfId="2514" xr:uid="{00000000-0005-0000-0000-0000DB090000}"/>
    <cellStyle name="Normal 4 9 2" xfId="2515" xr:uid="{00000000-0005-0000-0000-0000DC090000}"/>
    <cellStyle name="Normal 4 9 2 2" xfId="2516" xr:uid="{00000000-0005-0000-0000-0000DD090000}"/>
    <cellStyle name="Normal 4 9 2 3" xfId="2517" xr:uid="{00000000-0005-0000-0000-0000DE090000}"/>
    <cellStyle name="Normal 4 9 3" xfId="2518" xr:uid="{00000000-0005-0000-0000-0000DF090000}"/>
    <cellStyle name="Normal 4 9 3 2" xfId="2519" xr:uid="{00000000-0005-0000-0000-0000E0090000}"/>
    <cellStyle name="Normal 4 9 3 3" xfId="2520" xr:uid="{00000000-0005-0000-0000-0000E1090000}"/>
    <cellStyle name="Normal 4 9 4" xfId="2521" xr:uid="{00000000-0005-0000-0000-0000E2090000}"/>
    <cellStyle name="Normal 4 9 4 2" xfId="2522" xr:uid="{00000000-0005-0000-0000-0000E3090000}"/>
    <cellStyle name="Normal 4 9 4 3" xfId="2523" xr:uid="{00000000-0005-0000-0000-0000E4090000}"/>
    <cellStyle name="Normal 4 9 5" xfId="2524" xr:uid="{00000000-0005-0000-0000-0000E5090000}"/>
    <cellStyle name="Normal 4 9 5 2" xfId="2525" xr:uid="{00000000-0005-0000-0000-0000E6090000}"/>
    <cellStyle name="Normal 4 9 5 3" xfId="2526" xr:uid="{00000000-0005-0000-0000-0000E7090000}"/>
    <cellStyle name="Normal 4 9 6" xfId="2527" xr:uid="{00000000-0005-0000-0000-0000E8090000}"/>
    <cellStyle name="Normal 4 9 6 2" xfId="2528" xr:uid="{00000000-0005-0000-0000-0000E9090000}"/>
    <cellStyle name="Normal 4 9 6 3" xfId="2529" xr:uid="{00000000-0005-0000-0000-0000EA090000}"/>
    <cellStyle name="Normal 4 9 7" xfId="2530" xr:uid="{00000000-0005-0000-0000-0000EB090000}"/>
    <cellStyle name="Normal 4 9 8" xfId="2531" xr:uid="{00000000-0005-0000-0000-0000EC090000}"/>
    <cellStyle name="Normal 4 9_Agakhan Bills of Quantities EDITED" xfId="2532" xr:uid="{00000000-0005-0000-0000-0000ED090000}"/>
    <cellStyle name="Normal 4_Agakhan Bills of Quantities EDITED" xfId="2533" xr:uid="{00000000-0005-0000-0000-0000EE090000}"/>
    <cellStyle name="Normal 40" xfId="2534" xr:uid="{00000000-0005-0000-0000-0000EF090000}"/>
    <cellStyle name="Normal 41" xfId="2535" xr:uid="{00000000-0005-0000-0000-0000F0090000}"/>
    <cellStyle name="Normal 42" xfId="2536" xr:uid="{00000000-0005-0000-0000-0000F1090000}"/>
    <cellStyle name="Normal 43" xfId="2537" xr:uid="{00000000-0005-0000-0000-0000F2090000}"/>
    <cellStyle name="Normal 44" xfId="2538" xr:uid="{00000000-0005-0000-0000-0000F3090000}"/>
    <cellStyle name="Normal 45" xfId="2539" xr:uid="{00000000-0005-0000-0000-0000F4090000}"/>
    <cellStyle name="Normal 45 2" xfId="2540" xr:uid="{00000000-0005-0000-0000-0000F5090000}"/>
    <cellStyle name="Normal 5" xfId="2541" xr:uid="{00000000-0005-0000-0000-0000F6090000}"/>
    <cellStyle name="Normal 5 10" xfId="2542" xr:uid="{00000000-0005-0000-0000-0000F7090000}"/>
    <cellStyle name="Normal 5 10 2" xfId="2543" xr:uid="{00000000-0005-0000-0000-0000F8090000}"/>
    <cellStyle name="Normal 5 10 2 2" xfId="2544" xr:uid="{00000000-0005-0000-0000-0000F9090000}"/>
    <cellStyle name="Normal 5 10 2 3" xfId="2545" xr:uid="{00000000-0005-0000-0000-0000FA090000}"/>
    <cellStyle name="Normal 5 10 3" xfId="2546" xr:uid="{00000000-0005-0000-0000-0000FB090000}"/>
    <cellStyle name="Normal 5 10 3 2" xfId="2547" xr:uid="{00000000-0005-0000-0000-0000FC090000}"/>
    <cellStyle name="Normal 5 10 3 3" xfId="2548" xr:uid="{00000000-0005-0000-0000-0000FD090000}"/>
    <cellStyle name="Normal 5 10 4" xfId="2549" xr:uid="{00000000-0005-0000-0000-0000FE090000}"/>
    <cellStyle name="Normal 5 10 4 2" xfId="2550" xr:uid="{00000000-0005-0000-0000-0000FF090000}"/>
    <cellStyle name="Normal 5 10 4 3" xfId="2551" xr:uid="{00000000-0005-0000-0000-0000000A0000}"/>
    <cellStyle name="Normal 5 10 5" xfId="2552" xr:uid="{00000000-0005-0000-0000-0000010A0000}"/>
    <cellStyle name="Normal 5 10 5 2" xfId="2553" xr:uid="{00000000-0005-0000-0000-0000020A0000}"/>
    <cellStyle name="Normal 5 10 5 3" xfId="2554" xr:uid="{00000000-0005-0000-0000-0000030A0000}"/>
    <cellStyle name="Normal 5 10 6" xfId="2555" xr:uid="{00000000-0005-0000-0000-0000040A0000}"/>
    <cellStyle name="Normal 5 10 6 2" xfId="2556" xr:uid="{00000000-0005-0000-0000-0000050A0000}"/>
    <cellStyle name="Normal 5 10 6 3" xfId="2557" xr:uid="{00000000-0005-0000-0000-0000060A0000}"/>
    <cellStyle name="Normal 5 10 7" xfId="2558" xr:uid="{00000000-0005-0000-0000-0000070A0000}"/>
    <cellStyle name="Normal 5 10 8" xfId="2559" xr:uid="{00000000-0005-0000-0000-0000080A0000}"/>
    <cellStyle name="Normal 5 10_Agakhan Bills of Quantities EDITED" xfId="2560" xr:uid="{00000000-0005-0000-0000-0000090A0000}"/>
    <cellStyle name="Normal 5 11" xfId="2561" xr:uid="{00000000-0005-0000-0000-00000A0A0000}"/>
    <cellStyle name="Normal 5 11 2" xfId="2562" xr:uid="{00000000-0005-0000-0000-00000B0A0000}"/>
    <cellStyle name="Normal 5 11 2 2" xfId="2563" xr:uid="{00000000-0005-0000-0000-00000C0A0000}"/>
    <cellStyle name="Normal 5 11 2 3" xfId="2564" xr:uid="{00000000-0005-0000-0000-00000D0A0000}"/>
    <cellStyle name="Normal 5 11 3" xfId="2565" xr:uid="{00000000-0005-0000-0000-00000E0A0000}"/>
    <cellStyle name="Normal 5 11 3 2" xfId="2566" xr:uid="{00000000-0005-0000-0000-00000F0A0000}"/>
    <cellStyle name="Normal 5 11 3 3" xfId="2567" xr:uid="{00000000-0005-0000-0000-0000100A0000}"/>
    <cellStyle name="Normal 5 11 4" xfId="2568" xr:uid="{00000000-0005-0000-0000-0000110A0000}"/>
    <cellStyle name="Normal 5 11 4 2" xfId="2569" xr:uid="{00000000-0005-0000-0000-0000120A0000}"/>
    <cellStyle name="Normal 5 11 4 3" xfId="2570" xr:uid="{00000000-0005-0000-0000-0000130A0000}"/>
    <cellStyle name="Normal 5 11 5" xfId="2571" xr:uid="{00000000-0005-0000-0000-0000140A0000}"/>
    <cellStyle name="Normal 5 11 5 2" xfId="2572" xr:uid="{00000000-0005-0000-0000-0000150A0000}"/>
    <cellStyle name="Normal 5 11 5 3" xfId="2573" xr:uid="{00000000-0005-0000-0000-0000160A0000}"/>
    <cellStyle name="Normal 5 11 6" xfId="2574" xr:uid="{00000000-0005-0000-0000-0000170A0000}"/>
    <cellStyle name="Normal 5 11 6 2" xfId="2575" xr:uid="{00000000-0005-0000-0000-0000180A0000}"/>
    <cellStyle name="Normal 5 11 6 3" xfId="2576" xr:uid="{00000000-0005-0000-0000-0000190A0000}"/>
    <cellStyle name="Normal 5 11 7" xfId="2577" xr:uid="{00000000-0005-0000-0000-00001A0A0000}"/>
    <cellStyle name="Normal 5 11 8" xfId="2578" xr:uid="{00000000-0005-0000-0000-00001B0A0000}"/>
    <cellStyle name="Normal 5 11_Agakhan Bills of Quantities EDITED" xfId="2579" xr:uid="{00000000-0005-0000-0000-00001C0A0000}"/>
    <cellStyle name="Normal 5 12" xfId="2580" xr:uid="{00000000-0005-0000-0000-00001D0A0000}"/>
    <cellStyle name="Normal 5 12 2" xfId="2581" xr:uid="{00000000-0005-0000-0000-00001E0A0000}"/>
    <cellStyle name="Normal 5 12 3" xfId="2582" xr:uid="{00000000-0005-0000-0000-00001F0A0000}"/>
    <cellStyle name="Normal 5 12 4" xfId="2583" xr:uid="{00000000-0005-0000-0000-0000200A0000}"/>
    <cellStyle name="Normal 5 12 5" xfId="2584" xr:uid="{00000000-0005-0000-0000-0000210A0000}"/>
    <cellStyle name="Normal 5 13" xfId="2585" xr:uid="{00000000-0005-0000-0000-0000220A0000}"/>
    <cellStyle name="Normal 5 13 2" xfId="2586" xr:uid="{00000000-0005-0000-0000-0000230A0000}"/>
    <cellStyle name="Normal 5 13 3" xfId="2587" xr:uid="{00000000-0005-0000-0000-0000240A0000}"/>
    <cellStyle name="Normal 5 14" xfId="2588" xr:uid="{00000000-0005-0000-0000-0000250A0000}"/>
    <cellStyle name="Normal 5 14 2" xfId="2589" xr:uid="{00000000-0005-0000-0000-0000260A0000}"/>
    <cellStyle name="Normal 5 14 3" xfId="2590" xr:uid="{00000000-0005-0000-0000-0000270A0000}"/>
    <cellStyle name="Normal 5 15" xfId="2591" xr:uid="{00000000-0005-0000-0000-0000280A0000}"/>
    <cellStyle name="Normal 5 15 2" xfId="2592" xr:uid="{00000000-0005-0000-0000-0000290A0000}"/>
    <cellStyle name="Normal 5 15 3" xfId="2593" xr:uid="{00000000-0005-0000-0000-00002A0A0000}"/>
    <cellStyle name="Normal 5 16" xfId="2594" xr:uid="{00000000-0005-0000-0000-00002B0A0000}"/>
    <cellStyle name="Normal 5 16 2" xfId="2595" xr:uid="{00000000-0005-0000-0000-00002C0A0000}"/>
    <cellStyle name="Normal 5 16 3" xfId="2596" xr:uid="{00000000-0005-0000-0000-00002D0A0000}"/>
    <cellStyle name="Normal 5 17" xfId="2597" xr:uid="{00000000-0005-0000-0000-00002E0A0000}"/>
    <cellStyle name="Normal 5 18" xfId="2598" xr:uid="{00000000-0005-0000-0000-00002F0A0000}"/>
    <cellStyle name="Normal 5 2" xfId="2599" xr:uid="{00000000-0005-0000-0000-0000300A0000}"/>
    <cellStyle name="Normal 5 2 2" xfId="2600" xr:uid="{00000000-0005-0000-0000-0000310A0000}"/>
    <cellStyle name="Normal 5 2 2 2" xfId="2601" xr:uid="{00000000-0005-0000-0000-0000320A0000}"/>
    <cellStyle name="Normal 5 2 2 3" xfId="2602" xr:uid="{00000000-0005-0000-0000-0000330A0000}"/>
    <cellStyle name="Normal 5 2 3" xfId="2603" xr:uid="{00000000-0005-0000-0000-0000340A0000}"/>
    <cellStyle name="Normal 5 2 3 2" xfId="2604" xr:uid="{00000000-0005-0000-0000-0000350A0000}"/>
    <cellStyle name="Normal 5 2 3 3" xfId="2605" xr:uid="{00000000-0005-0000-0000-0000360A0000}"/>
    <cellStyle name="Normal 5 2 4" xfId="2606" xr:uid="{00000000-0005-0000-0000-0000370A0000}"/>
    <cellStyle name="Normal 5 2 4 2" xfId="2607" xr:uid="{00000000-0005-0000-0000-0000380A0000}"/>
    <cellStyle name="Normal 5 2 4 3" xfId="2608" xr:uid="{00000000-0005-0000-0000-0000390A0000}"/>
    <cellStyle name="Normal 5 2 5" xfId="2609" xr:uid="{00000000-0005-0000-0000-00003A0A0000}"/>
    <cellStyle name="Normal 5 2 5 2" xfId="2610" xr:uid="{00000000-0005-0000-0000-00003B0A0000}"/>
    <cellStyle name="Normal 5 2 5 3" xfId="2611" xr:uid="{00000000-0005-0000-0000-00003C0A0000}"/>
    <cellStyle name="Normal 5 2 6" xfId="2612" xr:uid="{00000000-0005-0000-0000-00003D0A0000}"/>
    <cellStyle name="Normal 5 2 6 2" xfId="2613" xr:uid="{00000000-0005-0000-0000-00003E0A0000}"/>
    <cellStyle name="Normal 5 2 6 3" xfId="2614" xr:uid="{00000000-0005-0000-0000-00003F0A0000}"/>
    <cellStyle name="Normal 5 2 7" xfId="2615" xr:uid="{00000000-0005-0000-0000-0000400A0000}"/>
    <cellStyle name="Normal 5 2 8" xfId="2616" xr:uid="{00000000-0005-0000-0000-0000410A0000}"/>
    <cellStyle name="Normal 5 2_Agakhan Bills of Quantities EDITED" xfId="2617" xr:uid="{00000000-0005-0000-0000-0000420A0000}"/>
    <cellStyle name="Normal 5 3" xfId="2618" xr:uid="{00000000-0005-0000-0000-0000430A0000}"/>
    <cellStyle name="Normal 5 3 2" xfId="2619" xr:uid="{00000000-0005-0000-0000-0000440A0000}"/>
    <cellStyle name="Normal 5 3 2 2" xfId="2620" xr:uid="{00000000-0005-0000-0000-0000450A0000}"/>
    <cellStyle name="Normal 5 3 2 3" xfId="2621" xr:uid="{00000000-0005-0000-0000-0000460A0000}"/>
    <cellStyle name="Normal 5 3 2 4" xfId="2622" xr:uid="{00000000-0005-0000-0000-0000470A0000}"/>
    <cellStyle name="Normal 5 3 3" xfId="2623" xr:uid="{00000000-0005-0000-0000-0000480A0000}"/>
    <cellStyle name="Normal 5 3 3 2" xfId="2624" xr:uid="{00000000-0005-0000-0000-0000490A0000}"/>
    <cellStyle name="Normal 5 3 3 3" xfId="2625" xr:uid="{00000000-0005-0000-0000-00004A0A0000}"/>
    <cellStyle name="Normal 5 3 4" xfId="2626" xr:uid="{00000000-0005-0000-0000-00004B0A0000}"/>
    <cellStyle name="Normal 5 3 4 2" xfId="2627" xr:uid="{00000000-0005-0000-0000-00004C0A0000}"/>
    <cellStyle name="Normal 5 3 4 3" xfId="2628" xr:uid="{00000000-0005-0000-0000-00004D0A0000}"/>
    <cellStyle name="Normal 5 3 5" xfId="2629" xr:uid="{00000000-0005-0000-0000-00004E0A0000}"/>
    <cellStyle name="Normal 5 3 5 2" xfId="2630" xr:uid="{00000000-0005-0000-0000-00004F0A0000}"/>
    <cellStyle name="Normal 5 3 5 3" xfId="2631" xr:uid="{00000000-0005-0000-0000-0000500A0000}"/>
    <cellStyle name="Normal 5 3 6" xfId="2632" xr:uid="{00000000-0005-0000-0000-0000510A0000}"/>
    <cellStyle name="Normal 5 3 6 2" xfId="2633" xr:uid="{00000000-0005-0000-0000-0000520A0000}"/>
    <cellStyle name="Normal 5 3 6 3" xfId="2634" xr:uid="{00000000-0005-0000-0000-0000530A0000}"/>
    <cellStyle name="Normal 5 3 7" xfId="2635" xr:uid="{00000000-0005-0000-0000-0000540A0000}"/>
    <cellStyle name="Normal 5 3 8" xfId="2636" xr:uid="{00000000-0005-0000-0000-0000550A0000}"/>
    <cellStyle name="Normal 5 3_Agakhan Bills of Quantities EDITED" xfId="2637" xr:uid="{00000000-0005-0000-0000-0000560A0000}"/>
    <cellStyle name="Normal 5 4" xfId="2638" xr:uid="{00000000-0005-0000-0000-0000570A0000}"/>
    <cellStyle name="Normal 5 4 2" xfId="2639" xr:uid="{00000000-0005-0000-0000-0000580A0000}"/>
    <cellStyle name="Normal 5 4 2 2" xfId="2640" xr:uid="{00000000-0005-0000-0000-0000590A0000}"/>
    <cellStyle name="Normal 5 4 2 3" xfId="2641" xr:uid="{00000000-0005-0000-0000-00005A0A0000}"/>
    <cellStyle name="Normal 5 4 3" xfId="2642" xr:uid="{00000000-0005-0000-0000-00005B0A0000}"/>
    <cellStyle name="Normal 5 4 3 2" xfId="2643" xr:uid="{00000000-0005-0000-0000-00005C0A0000}"/>
    <cellStyle name="Normal 5 4 3 3" xfId="2644" xr:uid="{00000000-0005-0000-0000-00005D0A0000}"/>
    <cellStyle name="Normal 5 4 4" xfId="2645" xr:uid="{00000000-0005-0000-0000-00005E0A0000}"/>
    <cellStyle name="Normal 5 4 4 2" xfId="2646" xr:uid="{00000000-0005-0000-0000-00005F0A0000}"/>
    <cellStyle name="Normal 5 4 4 3" xfId="2647" xr:uid="{00000000-0005-0000-0000-0000600A0000}"/>
    <cellStyle name="Normal 5 4 5" xfId="2648" xr:uid="{00000000-0005-0000-0000-0000610A0000}"/>
    <cellStyle name="Normal 5 4 5 2" xfId="2649" xr:uid="{00000000-0005-0000-0000-0000620A0000}"/>
    <cellStyle name="Normal 5 4 5 3" xfId="2650" xr:uid="{00000000-0005-0000-0000-0000630A0000}"/>
    <cellStyle name="Normal 5 4 6" xfId="2651" xr:uid="{00000000-0005-0000-0000-0000640A0000}"/>
    <cellStyle name="Normal 5 4 6 2" xfId="2652" xr:uid="{00000000-0005-0000-0000-0000650A0000}"/>
    <cellStyle name="Normal 5 4 6 3" xfId="2653" xr:uid="{00000000-0005-0000-0000-0000660A0000}"/>
    <cellStyle name="Normal 5 4 7" xfId="2654" xr:uid="{00000000-0005-0000-0000-0000670A0000}"/>
    <cellStyle name="Normal 5 4 8" xfId="2655" xr:uid="{00000000-0005-0000-0000-0000680A0000}"/>
    <cellStyle name="Normal 5 4_Agakhan Bills of Quantities EDITED" xfId="2656" xr:uid="{00000000-0005-0000-0000-0000690A0000}"/>
    <cellStyle name="Normal 5 5" xfId="2657" xr:uid="{00000000-0005-0000-0000-00006A0A0000}"/>
    <cellStyle name="Normal 5 5 2" xfId="2658" xr:uid="{00000000-0005-0000-0000-00006B0A0000}"/>
    <cellStyle name="Normal 5 5 2 2" xfId="2659" xr:uid="{00000000-0005-0000-0000-00006C0A0000}"/>
    <cellStyle name="Normal 5 5 2 3" xfId="2660" xr:uid="{00000000-0005-0000-0000-00006D0A0000}"/>
    <cellStyle name="Normal 5 5 3" xfId="2661" xr:uid="{00000000-0005-0000-0000-00006E0A0000}"/>
    <cellStyle name="Normal 5 5 3 2" xfId="2662" xr:uid="{00000000-0005-0000-0000-00006F0A0000}"/>
    <cellStyle name="Normal 5 5 3 3" xfId="2663" xr:uid="{00000000-0005-0000-0000-0000700A0000}"/>
    <cellStyle name="Normal 5 5 4" xfId="2664" xr:uid="{00000000-0005-0000-0000-0000710A0000}"/>
    <cellStyle name="Normal 5 5 4 2" xfId="2665" xr:uid="{00000000-0005-0000-0000-0000720A0000}"/>
    <cellStyle name="Normal 5 5 4 3" xfId="2666" xr:uid="{00000000-0005-0000-0000-0000730A0000}"/>
    <cellStyle name="Normal 5 5 5" xfId="2667" xr:uid="{00000000-0005-0000-0000-0000740A0000}"/>
    <cellStyle name="Normal 5 5 5 2" xfId="2668" xr:uid="{00000000-0005-0000-0000-0000750A0000}"/>
    <cellStyle name="Normal 5 5 5 3" xfId="2669" xr:uid="{00000000-0005-0000-0000-0000760A0000}"/>
    <cellStyle name="Normal 5 5 6" xfId="2670" xr:uid="{00000000-0005-0000-0000-0000770A0000}"/>
    <cellStyle name="Normal 5 5 6 2" xfId="2671" xr:uid="{00000000-0005-0000-0000-0000780A0000}"/>
    <cellStyle name="Normal 5 5 6 3" xfId="2672" xr:uid="{00000000-0005-0000-0000-0000790A0000}"/>
    <cellStyle name="Normal 5 5 7" xfId="2673" xr:uid="{00000000-0005-0000-0000-00007A0A0000}"/>
    <cellStyle name="Normal 5 5 8" xfId="2674" xr:uid="{00000000-0005-0000-0000-00007B0A0000}"/>
    <cellStyle name="Normal 5 5_Agakhan Bills of Quantities EDITED" xfId="2675" xr:uid="{00000000-0005-0000-0000-00007C0A0000}"/>
    <cellStyle name="Normal 5 6" xfId="2676" xr:uid="{00000000-0005-0000-0000-00007D0A0000}"/>
    <cellStyle name="Normal 5 6 2" xfId="2677" xr:uid="{00000000-0005-0000-0000-00007E0A0000}"/>
    <cellStyle name="Normal 5 6 2 2" xfId="2678" xr:uid="{00000000-0005-0000-0000-00007F0A0000}"/>
    <cellStyle name="Normal 5 6 2 3" xfId="2679" xr:uid="{00000000-0005-0000-0000-0000800A0000}"/>
    <cellStyle name="Normal 5 6 3" xfId="2680" xr:uid="{00000000-0005-0000-0000-0000810A0000}"/>
    <cellStyle name="Normal 5 6 3 2" xfId="2681" xr:uid="{00000000-0005-0000-0000-0000820A0000}"/>
    <cellStyle name="Normal 5 6 3 3" xfId="2682" xr:uid="{00000000-0005-0000-0000-0000830A0000}"/>
    <cellStyle name="Normal 5 6 4" xfId="2683" xr:uid="{00000000-0005-0000-0000-0000840A0000}"/>
    <cellStyle name="Normal 5 6 4 2" xfId="2684" xr:uid="{00000000-0005-0000-0000-0000850A0000}"/>
    <cellStyle name="Normal 5 6 4 3" xfId="2685" xr:uid="{00000000-0005-0000-0000-0000860A0000}"/>
    <cellStyle name="Normal 5 6 5" xfId="2686" xr:uid="{00000000-0005-0000-0000-0000870A0000}"/>
    <cellStyle name="Normal 5 6 5 2" xfId="2687" xr:uid="{00000000-0005-0000-0000-0000880A0000}"/>
    <cellStyle name="Normal 5 6 5 3" xfId="2688" xr:uid="{00000000-0005-0000-0000-0000890A0000}"/>
    <cellStyle name="Normal 5 6 6" xfId="2689" xr:uid="{00000000-0005-0000-0000-00008A0A0000}"/>
    <cellStyle name="Normal 5 6 6 2" xfId="2690" xr:uid="{00000000-0005-0000-0000-00008B0A0000}"/>
    <cellStyle name="Normal 5 6 6 3" xfId="2691" xr:uid="{00000000-0005-0000-0000-00008C0A0000}"/>
    <cellStyle name="Normal 5 6 7" xfId="2692" xr:uid="{00000000-0005-0000-0000-00008D0A0000}"/>
    <cellStyle name="Normal 5 6 8" xfId="2693" xr:uid="{00000000-0005-0000-0000-00008E0A0000}"/>
    <cellStyle name="Normal 5 6_Agakhan Bills of Quantities EDITED" xfId="2694" xr:uid="{00000000-0005-0000-0000-00008F0A0000}"/>
    <cellStyle name="Normal 5 7" xfId="2695" xr:uid="{00000000-0005-0000-0000-0000900A0000}"/>
    <cellStyle name="Normal 5 7 2" xfId="2696" xr:uid="{00000000-0005-0000-0000-0000910A0000}"/>
    <cellStyle name="Normal 5 7 2 2" xfId="2697" xr:uid="{00000000-0005-0000-0000-0000920A0000}"/>
    <cellStyle name="Normal 5 7 2 3" xfId="2698" xr:uid="{00000000-0005-0000-0000-0000930A0000}"/>
    <cellStyle name="Normal 5 7 3" xfId="2699" xr:uid="{00000000-0005-0000-0000-0000940A0000}"/>
    <cellStyle name="Normal 5 7 3 2" xfId="2700" xr:uid="{00000000-0005-0000-0000-0000950A0000}"/>
    <cellStyle name="Normal 5 7 3 3" xfId="2701" xr:uid="{00000000-0005-0000-0000-0000960A0000}"/>
    <cellStyle name="Normal 5 7 4" xfId="2702" xr:uid="{00000000-0005-0000-0000-0000970A0000}"/>
    <cellStyle name="Normal 5 7 4 2" xfId="2703" xr:uid="{00000000-0005-0000-0000-0000980A0000}"/>
    <cellStyle name="Normal 5 7 4 3" xfId="2704" xr:uid="{00000000-0005-0000-0000-0000990A0000}"/>
    <cellStyle name="Normal 5 7 5" xfId="2705" xr:uid="{00000000-0005-0000-0000-00009A0A0000}"/>
    <cellStyle name="Normal 5 7 5 2" xfId="2706" xr:uid="{00000000-0005-0000-0000-00009B0A0000}"/>
    <cellStyle name="Normal 5 7 5 3" xfId="2707" xr:uid="{00000000-0005-0000-0000-00009C0A0000}"/>
    <cellStyle name="Normal 5 7 6" xfId="2708" xr:uid="{00000000-0005-0000-0000-00009D0A0000}"/>
    <cellStyle name="Normal 5 7 6 2" xfId="2709" xr:uid="{00000000-0005-0000-0000-00009E0A0000}"/>
    <cellStyle name="Normal 5 7 6 3" xfId="2710" xr:uid="{00000000-0005-0000-0000-00009F0A0000}"/>
    <cellStyle name="Normal 5 7 7" xfId="2711" xr:uid="{00000000-0005-0000-0000-0000A00A0000}"/>
    <cellStyle name="Normal 5 7 8" xfId="2712" xr:uid="{00000000-0005-0000-0000-0000A10A0000}"/>
    <cellStyle name="Normal 5 7_Agakhan Bills of Quantities EDITED" xfId="2713" xr:uid="{00000000-0005-0000-0000-0000A20A0000}"/>
    <cellStyle name="Normal 5 8" xfId="2714" xr:uid="{00000000-0005-0000-0000-0000A30A0000}"/>
    <cellStyle name="Normal 5 8 2" xfId="2715" xr:uid="{00000000-0005-0000-0000-0000A40A0000}"/>
    <cellStyle name="Normal 5 8 2 2" xfId="2716" xr:uid="{00000000-0005-0000-0000-0000A50A0000}"/>
    <cellStyle name="Normal 5 8 2 3" xfId="2717" xr:uid="{00000000-0005-0000-0000-0000A60A0000}"/>
    <cellStyle name="Normal 5 8 3" xfId="2718" xr:uid="{00000000-0005-0000-0000-0000A70A0000}"/>
    <cellStyle name="Normal 5 8 3 2" xfId="2719" xr:uid="{00000000-0005-0000-0000-0000A80A0000}"/>
    <cellStyle name="Normal 5 8 3 3" xfId="2720" xr:uid="{00000000-0005-0000-0000-0000A90A0000}"/>
    <cellStyle name="Normal 5 8 4" xfId="2721" xr:uid="{00000000-0005-0000-0000-0000AA0A0000}"/>
    <cellStyle name="Normal 5 8 4 2" xfId="2722" xr:uid="{00000000-0005-0000-0000-0000AB0A0000}"/>
    <cellStyle name="Normal 5 8 4 3" xfId="2723" xr:uid="{00000000-0005-0000-0000-0000AC0A0000}"/>
    <cellStyle name="Normal 5 8 5" xfId="2724" xr:uid="{00000000-0005-0000-0000-0000AD0A0000}"/>
    <cellStyle name="Normal 5 8 5 2" xfId="2725" xr:uid="{00000000-0005-0000-0000-0000AE0A0000}"/>
    <cellStyle name="Normal 5 8 5 3" xfId="2726" xr:uid="{00000000-0005-0000-0000-0000AF0A0000}"/>
    <cellStyle name="Normal 5 8 6" xfId="2727" xr:uid="{00000000-0005-0000-0000-0000B00A0000}"/>
    <cellStyle name="Normal 5 8 6 2" xfId="2728" xr:uid="{00000000-0005-0000-0000-0000B10A0000}"/>
    <cellStyle name="Normal 5 8 6 3" xfId="2729" xr:uid="{00000000-0005-0000-0000-0000B20A0000}"/>
    <cellStyle name="Normal 5 8 7" xfId="2730" xr:uid="{00000000-0005-0000-0000-0000B30A0000}"/>
    <cellStyle name="Normal 5 8 8" xfId="2731" xr:uid="{00000000-0005-0000-0000-0000B40A0000}"/>
    <cellStyle name="Normal 5 8_Agakhan Bills of Quantities EDITED" xfId="2732" xr:uid="{00000000-0005-0000-0000-0000B50A0000}"/>
    <cellStyle name="Normal 5 9" xfId="2733" xr:uid="{00000000-0005-0000-0000-0000B60A0000}"/>
    <cellStyle name="Normal 5 9 2" xfId="2734" xr:uid="{00000000-0005-0000-0000-0000B70A0000}"/>
    <cellStyle name="Normal 5 9 2 2" xfId="2735" xr:uid="{00000000-0005-0000-0000-0000B80A0000}"/>
    <cellStyle name="Normal 5 9 2 3" xfId="2736" xr:uid="{00000000-0005-0000-0000-0000B90A0000}"/>
    <cellStyle name="Normal 5 9 3" xfId="2737" xr:uid="{00000000-0005-0000-0000-0000BA0A0000}"/>
    <cellStyle name="Normal 5 9 3 2" xfId="2738" xr:uid="{00000000-0005-0000-0000-0000BB0A0000}"/>
    <cellStyle name="Normal 5 9 3 3" xfId="2739" xr:uid="{00000000-0005-0000-0000-0000BC0A0000}"/>
    <cellStyle name="Normal 5 9 4" xfId="2740" xr:uid="{00000000-0005-0000-0000-0000BD0A0000}"/>
    <cellStyle name="Normal 5 9 4 2" xfId="2741" xr:uid="{00000000-0005-0000-0000-0000BE0A0000}"/>
    <cellStyle name="Normal 5 9 4 3" xfId="2742" xr:uid="{00000000-0005-0000-0000-0000BF0A0000}"/>
    <cellStyle name="Normal 5 9 5" xfId="2743" xr:uid="{00000000-0005-0000-0000-0000C00A0000}"/>
    <cellStyle name="Normal 5 9 5 2" xfId="2744" xr:uid="{00000000-0005-0000-0000-0000C10A0000}"/>
    <cellStyle name="Normal 5 9 5 3" xfId="2745" xr:uid="{00000000-0005-0000-0000-0000C20A0000}"/>
    <cellStyle name="Normal 5 9 6" xfId="2746" xr:uid="{00000000-0005-0000-0000-0000C30A0000}"/>
    <cellStyle name="Normal 5 9 6 2" xfId="2747" xr:uid="{00000000-0005-0000-0000-0000C40A0000}"/>
    <cellStyle name="Normal 5 9 6 3" xfId="2748" xr:uid="{00000000-0005-0000-0000-0000C50A0000}"/>
    <cellStyle name="Normal 5 9 7" xfId="2749" xr:uid="{00000000-0005-0000-0000-0000C60A0000}"/>
    <cellStyle name="Normal 5 9 8" xfId="2750" xr:uid="{00000000-0005-0000-0000-0000C70A0000}"/>
    <cellStyle name="Normal 5 9_Agakhan Bills of Quantities EDITED" xfId="2751" xr:uid="{00000000-0005-0000-0000-0000C80A0000}"/>
    <cellStyle name="Normal 5_Agakhan Bills of Quantities EDITED" xfId="2752" xr:uid="{00000000-0005-0000-0000-0000C90A0000}"/>
    <cellStyle name="Normal 6" xfId="2753" xr:uid="{00000000-0005-0000-0000-0000CA0A0000}"/>
    <cellStyle name="Normal 6 10" xfId="2754" xr:uid="{00000000-0005-0000-0000-0000CB0A0000}"/>
    <cellStyle name="Normal 6 10 2" xfId="2755" xr:uid="{00000000-0005-0000-0000-0000CC0A0000}"/>
    <cellStyle name="Normal 6 10 2 2" xfId="2756" xr:uid="{00000000-0005-0000-0000-0000CD0A0000}"/>
    <cellStyle name="Normal 6 10 2 3" xfId="2757" xr:uid="{00000000-0005-0000-0000-0000CE0A0000}"/>
    <cellStyle name="Normal 6 10 3" xfId="2758" xr:uid="{00000000-0005-0000-0000-0000CF0A0000}"/>
    <cellStyle name="Normal 6 10 3 2" xfId="2759" xr:uid="{00000000-0005-0000-0000-0000D00A0000}"/>
    <cellStyle name="Normal 6 10 3 3" xfId="2760" xr:uid="{00000000-0005-0000-0000-0000D10A0000}"/>
    <cellStyle name="Normal 6 10 4" xfId="2761" xr:uid="{00000000-0005-0000-0000-0000D20A0000}"/>
    <cellStyle name="Normal 6 10 4 2" xfId="2762" xr:uid="{00000000-0005-0000-0000-0000D30A0000}"/>
    <cellStyle name="Normal 6 10 4 3" xfId="2763" xr:uid="{00000000-0005-0000-0000-0000D40A0000}"/>
    <cellStyle name="Normal 6 10 5" xfId="2764" xr:uid="{00000000-0005-0000-0000-0000D50A0000}"/>
    <cellStyle name="Normal 6 10 5 2" xfId="2765" xr:uid="{00000000-0005-0000-0000-0000D60A0000}"/>
    <cellStyle name="Normal 6 10 5 3" xfId="2766" xr:uid="{00000000-0005-0000-0000-0000D70A0000}"/>
    <cellStyle name="Normal 6 10 6" xfId="2767" xr:uid="{00000000-0005-0000-0000-0000D80A0000}"/>
    <cellStyle name="Normal 6 10 6 2" xfId="2768" xr:uid="{00000000-0005-0000-0000-0000D90A0000}"/>
    <cellStyle name="Normal 6 10 6 3" xfId="2769" xr:uid="{00000000-0005-0000-0000-0000DA0A0000}"/>
    <cellStyle name="Normal 6 10 7" xfId="2770" xr:uid="{00000000-0005-0000-0000-0000DB0A0000}"/>
    <cellStyle name="Normal 6 10 8" xfId="2771" xr:uid="{00000000-0005-0000-0000-0000DC0A0000}"/>
    <cellStyle name="Normal 6 10_Agakhan Bills of Quantities EDITED" xfId="2772" xr:uid="{00000000-0005-0000-0000-0000DD0A0000}"/>
    <cellStyle name="Normal 6 11" xfId="2773" xr:uid="{00000000-0005-0000-0000-0000DE0A0000}"/>
    <cellStyle name="Normal 6 12" xfId="2774" xr:uid="{00000000-0005-0000-0000-0000DF0A0000}"/>
    <cellStyle name="Normal 6 13" xfId="2775" xr:uid="{00000000-0005-0000-0000-0000E00A0000}"/>
    <cellStyle name="Normal 6 14" xfId="2776" xr:uid="{00000000-0005-0000-0000-0000E10A0000}"/>
    <cellStyle name="Normal 6 2" xfId="2777" xr:uid="{00000000-0005-0000-0000-0000E20A0000}"/>
    <cellStyle name="Normal 6 2 2" xfId="2778" xr:uid="{00000000-0005-0000-0000-0000E30A0000}"/>
    <cellStyle name="Normal 6 2 2 2" xfId="2779" xr:uid="{00000000-0005-0000-0000-0000E40A0000}"/>
    <cellStyle name="Normal 6 2 2 3" xfId="2780" xr:uid="{00000000-0005-0000-0000-0000E50A0000}"/>
    <cellStyle name="Normal 6 2 3" xfId="2781" xr:uid="{00000000-0005-0000-0000-0000E60A0000}"/>
    <cellStyle name="Normal 6 2 3 2" xfId="2782" xr:uid="{00000000-0005-0000-0000-0000E70A0000}"/>
    <cellStyle name="Normal 6 2 3 3" xfId="2783" xr:uid="{00000000-0005-0000-0000-0000E80A0000}"/>
    <cellStyle name="Normal 6 2 4" xfId="2784" xr:uid="{00000000-0005-0000-0000-0000E90A0000}"/>
    <cellStyle name="Normal 6 2 4 2" xfId="2785" xr:uid="{00000000-0005-0000-0000-0000EA0A0000}"/>
    <cellStyle name="Normal 6 2 4 3" xfId="2786" xr:uid="{00000000-0005-0000-0000-0000EB0A0000}"/>
    <cellStyle name="Normal 6 2 5" xfId="2787" xr:uid="{00000000-0005-0000-0000-0000EC0A0000}"/>
    <cellStyle name="Normal 6 2 5 2" xfId="2788" xr:uid="{00000000-0005-0000-0000-0000ED0A0000}"/>
    <cellStyle name="Normal 6 2 5 3" xfId="2789" xr:uid="{00000000-0005-0000-0000-0000EE0A0000}"/>
    <cellStyle name="Normal 6 2 6" xfId="2790" xr:uid="{00000000-0005-0000-0000-0000EF0A0000}"/>
    <cellStyle name="Normal 6 2 6 2" xfId="2791" xr:uid="{00000000-0005-0000-0000-0000F00A0000}"/>
    <cellStyle name="Normal 6 2 6 3" xfId="2792" xr:uid="{00000000-0005-0000-0000-0000F10A0000}"/>
    <cellStyle name="Normal 6 2 7" xfId="2793" xr:uid="{00000000-0005-0000-0000-0000F20A0000}"/>
    <cellStyle name="Normal 6 2 8" xfId="2794" xr:uid="{00000000-0005-0000-0000-0000F30A0000}"/>
    <cellStyle name="Normal 6 2_Agakhan Bills of Quantities EDITED" xfId="2795" xr:uid="{00000000-0005-0000-0000-0000F40A0000}"/>
    <cellStyle name="Normal 6 3" xfId="2796" xr:uid="{00000000-0005-0000-0000-0000F50A0000}"/>
    <cellStyle name="Normal 6 3 2" xfId="2797" xr:uid="{00000000-0005-0000-0000-0000F60A0000}"/>
    <cellStyle name="Normal 6 3 2 2" xfId="2798" xr:uid="{00000000-0005-0000-0000-0000F70A0000}"/>
    <cellStyle name="Normal 6 3 2 3" xfId="2799" xr:uid="{00000000-0005-0000-0000-0000F80A0000}"/>
    <cellStyle name="Normal 6 3 3" xfId="2800" xr:uid="{00000000-0005-0000-0000-0000F90A0000}"/>
    <cellStyle name="Normal 6 3 3 2" xfId="2801" xr:uid="{00000000-0005-0000-0000-0000FA0A0000}"/>
    <cellStyle name="Normal 6 3 3 3" xfId="2802" xr:uid="{00000000-0005-0000-0000-0000FB0A0000}"/>
    <cellStyle name="Normal 6 3 4" xfId="2803" xr:uid="{00000000-0005-0000-0000-0000FC0A0000}"/>
    <cellStyle name="Normal 6 3 4 2" xfId="2804" xr:uid="{00000000-0005-0000-0000-0000FD0A0000}"/>
    <cellStyle name="Normal 6 3 4 3" xfId="2805" xr:uid="{00000000-0005-0000-0000-0000FE0A0000}"/>
    <cellStyle name="Normal 6 3 5" xfId="2806" xr:uid="{00000000-0005-0000-0000-0000FF0A0000}"/>
    <cellStyle name="Normal 6 3 5 2" xfId="2807" xr:uid="{00000000-0005-0000-0000-0000000B0000}"/>
    <cellStyle name="Normal 6 3 5 3" xfId="2808" xr:uid="{00000000-0005-0000-0000-0000010B0000}"/>
    <cellStyle name="Normal 6 3 6" xfId="2809" xr:uid="{00000000-0005-0000-0000-0000020B0000}"/>
    <cellStyle name="Normal 6 3 6 2" xfId="2810" xr:uid="{00000000-0005-0000-0000-0000030B0000}"/>
    <cellStyle name="Normal 6 3 6 3" xfId="2811" xr:uid="{00000000-0005-0000-0000-0000040B0000}"/>
    <cellStyle name="Normal 6 3 7" xfId="2812" xr:uid="{00000000-0005-0000-0000-0000050B0000}"/>
    <cellStyle name="Normal 6 3 8" xfId="2813" xr:uid="{00000000-0005-0000-0000-0000060B0000}"/>
    <cellStyle name="Normal 6 3_Agakhan Bills of Quantities EDITED" xfId="2814" xr:uid="{00000000-0005-0000-0000-0000070B0000}"/>
    <cellStyle name="Normal 6 4" xfId="2815" xr:uid="{00000000-0005-0000-0000-0000080B0000}"/>
    <cellStyle name="Normal 6 4 2" xfId="2816" xr:uid="{00000000-0005-0000-0000-0000090B0000}"/>
    <cellStyle name="Normal 6 4 2 2" xfId="2817" xr:uid="{00000000-0005-0000-0000-00000A0B0000}"/>
    <cellStyle name="Normal 6 4 2 3" xfId="2818" xr:uid="{00000000-0005-0000-0000-00000B0B0000}"/>
    <cellStyle name="Normal 6 4 3" xfId="2819" xr:uid="{00000000-0005-0000-0000-00000C0B0000}"/>
    <cellStyle name="Normal 6 4 3 2" xfId="2820" xr:uid="{00000000-0005-0000-0000-00000D0B0000}"/>
    <cellStyle name="Normal 6 4 3 3" xfId="2821" xr:uid="{00000000-0005-0000-0000-00000E0B0000}"/>
    <cellStyle name="Normal 6 4 4" xfId="2822" xr:uid="{00000000-0005-0000-0000-00000F0B0000}"/>
    <cellStyle name="Normal 6 4 4 2" xfId="2823" xr:uid="{00000000-0005-0000-0000-0000100B0000}"/>
    <cellStyle name="Normal 6 4 4 3" xfId="2824" xr:uid="{00000000-0005-0000-0000-0000110B0000}"/>
    <cellStyle name="Normal 6 4 5" xfId="2825" xr:uid="{00000000-0005-0000-0000-0000120B0000}"/>
    <cellStyle name="Normal 6 4 5 2" xfId="2826" xr:uid="{00000000-0005-0000-0000-0000130B0000}"/>
    <cellStyle name="Normal 6 4 5 3" xfId="2827" xr:uid="{00000000-0005-0000-0000-0000140B0000}"/>
    <cellStyle name="Normal 6 4 6" xfId="2828" xr:uid="{00000000-0005-0000-0000-0000150B0000}"/>
    <cellStyle name="Normal 6 4 6 2" xfId="2829" xr:uid="{00000000-0005-0000-0000-0000160B0000}"/>
    <cellStyle name="Normal 6 4 6 3" xfId="2830" xr:uid="{00000000-0005-0000-0000-0000170B0000}"/>
    <cellStyle name="Normal 6 4 7" xfId="2831" xr:uid="{00000000-0005-0000-0000-0000180B0000}"/>
    <cellStyle name="Normal 6 4 8" xfId="2832" xr:uid="{00000000-0005-0000-0000-0000190B0000}"/>
    <cellStyle name="Normal 6 4_Agakhan Bills of Quantities EDITED" xfId="2833" xr:uid="{00000000-0005-0000-0000-00001A0B0000}"/>
    <cellStyle name="Normal 6 5" xfId="2834" xr:uid="{00000000-0005-0000-0000-00001B0B0000}"/>
    <cellStyle name="Normal 6 5 2" xfId="2835" xr:uid="{00000000-0005-0000-0000-00001C0B0000}"/>
    <cellStyle name="Normal 6 5 2 2" xfId="2836" xr:uid="{00000000-0005-0000-0000-00001D0B0000}"/>
    <cellStyle name="Normal 6 5 2 3" xfId="2837" xr:uid="{00000000-0005-0000-0000-00001E0B0000}"/>
    <cellStyle name="Normal 6 5 3" xfId="2838" xr:uid="{00000000-0005-0000-0000-00001F0B0000}"/>
    <cellStyle name="Normal 6 5 3 2" xfId="2839" xr:uid="{00000000-0005-0000-0000-0000200B0000}"/>
    <cellStyle name="Normal 6 5 3 3" xfId="2840" xr:uid="{00000000-0005-0000-0000-0000210B0000}"/>
    <cellStyle name="Normal 6 5 4" xfId="2841" xr:uid="{00000000-0005-0000-0000-0000220B0000}"/>
    <cellStyle name="Normal 6 5 4 2" xfId="2842" xr:uid="{00000000-0005-0000-0000-0000230B0000}"/>
    <cellStyle name="Normal 6 5 4 3" xfId="2843" xr:uid="{00000000-0005-0000-0000-0000240B0000}"/>
    <cellStyle name="Normal 6 5 5" xfId="2844" xr:uid="{00000000-0005-0000-0000-0000250B0000}"/>
    <cellStyle name="Normal 6 5 5 2" xfId="2845" xr:uid="{00000000-0005-0000-0000-0000260B0000}"/>
    <cellStyle name="Normal 6 5 5 3" xfId="2846" xr:uid="{00000000-0005-0000-0000-0000270B0000}"/>
    <cellStyle name="Normal 6 5 6" xfId="2847" xr:uid="{00000000-0005-0000-0000-0000280B0000}"/>
    <cellStyle name="Normal 6 5 6 2" xfId="2848" xr:uid="{00000000-0005-0000-0000-0000290B0000}"/>
    <cellStyle name="Normal 6 5 6 3" xfId="2849" xr:uid="{00000000-0005-0000-0000-00002A0B0000}"/>
    <cellStyle name="Normal 6 5 7" xfId="2850" xr:uid="{00000000-0005-0000-0000-00002B0B0000}"/>
    <cellStyle name="Normal 6 5 8" xfId="2851" xr:uid="{00000000-0005-0000-0000-00002C0B0000}"/>
    <cellStyle name="Normal 6 5_Agakhan Bills of Quantities EDITED" xfId="2852" xr:uid="{00000000-0005-0000-0000-00002D0B0000}"/>
    <cellStyle name="Normal 6 6" xfId="2853" xr:uid="{00000000-0005-0000-0000-00002E0B0000}"/>
    <cellStyle name="Normal 6 6 2" xfId="2854" xr:uid="{00000000-0005-0000-0000-00002F0B0000}"/>
    <cellStyle name="Normal 6 6 2 2" xfId="2855" xr:uid="{00000000-0005-0000-0000-0000300B0000}"/>
    <cellStyle name="Normal 6 6 2 3" xfId="2856" xr:uid="{00000000-0005-0000-0000-0000310B0000}"/>
    <cellStyle name="Normal 6 6 3" xfId="2857" xr:uid="{00000000-0005-0000-0000-0000320B0000}"/>
    <cellStyle name="Normal 6 6 3 2" xfId="2858" xr:uid="{00000000-0005-0000-0000-0000330B0000}"/>
    <cellStyle name="Normal 6 6 3 3" xfId="2859" xr:uid="{00000000-0005-0000-0000-0000340B0000}"/>
    <cellStyle name="Normal 6 6 4" xfId="2860" xr:uid="{00000000-0005-0000-0000-0000350B0000}"/>
    <cellStyle name="Normal 6 6 4 2" xfId="2861" xr:uid="{00000000-0005-0000-0000-0000360B0000}"/>
    <cellStyle name="Normal 6 6 4 3" xfId="2862" xr:uid="{00000000-0005-0000-0000-0000370B0000}"/>
    <cellStyle name="Normal 6 6 5" xfId="2863" xr:uid="{00000000-0005-0000-0000-0000380B0000}"/>
    <cellStyle name="Normal 6 6 5 2" xfId="2864" xr:uid="{00000000-0005-0000-0000-0000390B0000}"/>
    <cellStyle name="Normal 6 6 5 3" xfId="2865" xr:uid="{00000000-0005-0000-0000-00003A0B0000}"/>
    <cellStyle name="Normal 6 6 6" xfId="2866" xr:uid="{00000000-0005-0000-0000-00003B0B0000}"/>
    <cellStyle name="Normal 6 6 6 2" xfId="2867" xr:uid="{00000000-0005-0000-0000-00003C0B0000}"/>
    <cellStyle name="Normal 6 6 6 3" xfId="2868" xr:uid="{00000000-0005-0000-0000-00003D0B0000}"/>
    <cellStyle name="Normal 6 6 7" xfId="2869" xr:uid="{00000000-0005-0000-0000-00003E0B0000}"/>
    <cellStyle name="Normal 6 6 8" xfId="2870" xr:uid="{00000000-0005-0000-0000-00003F0B0000}"/>
    <cellStyle name="Normal 6 6_Agakhan Bills of Quantities EDITED" xfId="2871" xr:uid="{00000000-0005-0000-0000-0000400B0000}"/>
    <cellStyle name="Normal 6 7" xfId="2872" xr:uid="{00000000-0005-0000-0000-0000410B0000}"/>
    <cellStyle name="Normal 6 7 2" xfId="2873" xr:uid="{00000000-0005-0000-0000-0000420B0000}"/>
    <cellStyle name="Normal 6 7 2 2" xfId="2874" xr:uid="{00000000-0005-0000-0000-0000430B0000}"/>
    <cellStyle name="Normal 6 7 2 3" xfId="2875" xr:uid="{00000000-0005-0000-0000-0000440B0000}"/>
    <cellStyle name="Normal 6 7 3" xfId="2876" xr:uid="{00000000-0005-0000-0000-0000450B0000}"/>
    <cellStyle name="Normal 6 7 3 2" xfId="2877" xr:uid="{00000000-0005-0000-0000-0000460B0000}"/>
    <cellStyle name="Normal 6 7 3 3" xfId="2878" xr:uid="{00000000-0005-0000-0000-0000470B0000}"/>
    <cellStyle name="Normal 6 7 4" xfId="2879" xr:uid="{00000000-0005-0000-0000-0000480B0000}"/>
    <cellStyle name="Normal 6 7 4 2" xfId="2880" xr:uid="{00000000-0005-0000-0000-0000490B0000}"/>
    <cellStyle name="Normal 6 7 4 3" xfId="2881" xr:uid="{00000000-0005-0000-0000-00004A0B0000}"/>
    <cellStyle name="Normal 6 7 5" xfId="2882" xr:uid="{00000000-0005-0000-0000-00004B0B0000}"/>
    <cellStyle name="Normal 6 7 5 2" xfId="2883" xr:uid="{00000000-0005-0000-0000-00004C0B0000}"/>
    <cellStyle name="Normal 6 7 5 3" xfId="2884" xr:uid="{00000000-0005-0000-0000-00004D0B0000}"/>
    <cellStyle name="Normal 6 7 6" xfId="2885" xr:uid="{00000000-0005-0000-0000-00004E0B0000}"/>
    <cellStyle name="Normal 6 7 6 2" xfId="2886" xr:uid="{00000000-0005-0000-0000-00004F0B0000}"/>
    <cellStyle name="Normal 6 7 6 3" xfId="2887" xr:uid="{00000000-0005-0000-0000-0000500B0000}"/>
    <cellStyle name="Normal 6 7 7" xfId="2888" xr:uid="{00000000-0005-0000-0000-0000510B0000}"/>
    <cellStyle name="Normal 6 7 8" xfId="2889" xr:uid="{00000000-0005-0000-0000-0000520B0000}"/>
    <cellStyle name="Normal 6 7_Agakhan Bills of Quantities EDITED" xfId="2890" xr:uid="{00000000-0005-0000-0000-0000530B0000}"/>
    <cellStyle name="Normal 6 8" xfId="2891" xr:uid="{00000000-0005-0000-0000-0000540B0000}"/>
    <cellStyle name="Normal 6 8 2" xfId="2892" xr:uid="{00000000-0005-0000-0000-0000550B0000}"/>
    <cellStyle name="Normal 6 8 2 2" xfId="2893" xr:uid="{00000000-0005-0000-0000-0000560B0000}"/>
    <cellStyle name="Normal 6 8 2 3" xfId="2894" xr:uid="{00000000-0005-0000-0000-0000570B0000}"/>
    <cellStyle name="Normal 6 8 3" xfId="2895" xr:uid="{00000000-0005-0000-0000-0000580B0000}"/>
    <cellStyle name="Normal 6 8 3 2" xfId="2896" xr:uid="{00000000-0005-0000-0000-0000590B0000}"/>
    <cellStyle name="Normal 6 8 3 3" xfId="2897" xr:uid="{00000000-0005-0000-0000-00005A0B0000}"/>
    <cellStyle name="Normal 6 8 4" xfId="2898" xr:uid="{00000000-0005-0000-0000-00005B0B0000}"/>
    <cellStyle name="Normal 6 8 4 2" xfId="2899" xr:uid="{00000000-0005-0000-0000-00005C0B0000}"/>
    <cellStyle name="Normal 6 8 4 3" xfId="2900" xr:uid="{00000000-0005-0000-0000-00005D0B0000}"/>
    <cellStyle name="Normal 6 8 5" xfId="2901" xr:uid="{00000000-0005-0000-0000-00005E0B0000}"/>
    <cellStyle name="Normal 6 8 5 2" xfId="2902" xr:uid="{00000000-0005-0000-0000-00005F0B0000}"/>
    <cellStyle name="Normal 6 8 5 3" xfId="2903" xr:uid="{00000000-0005-0000-0000-0000600B0000}"/>
    <cellStyle name="Normal 6 8 6" xfId="2904" xr:uid="{00000000-0005-0000-0000-0000610B0000}"/>
    <cellStyle name="Normal 6 8 6 2" xfId="2905" xr:uid="{00000000-0005-0000-0000-0000620B0000}"/>
    <cellStyle name="Normal 6 8 6 3" xfId="2906" xr:uid="{00000000-0005-0000-0000-0000630B0000}"/>
    <cellStyle name="Normal 6 8 7" xfId="2907" xr:uid="{00000000-0005-0000-0000-0000640B0000}"/>
    <cellStyle name="Normal 6 8 8" xfId="2908" xr:uid="{00000000-0005-0000-0000-0000650B0000}"/>
    <cellStyle name="Normal 6 8_Agakhan Bills of Quantities EDITED" xfId="2909" xr:uid="{00000000-0005-0000-0000-0000660B0000}"/>
    <cellStyle name="Normal 6 9" xfId="2910" xr:uid="{00000000-0005-0000-0000-0000670B0000}"/>
    <cellStyle name="Normal 6 9 2" xfId="2911" xr:uid="{00000000-0005-0000-0000-0000680B0000}"/>
    <cellStyle name="Normal 6 9 2 2" xfId="2912" xr:uid="{00000000-0005-0000-0000-0000690B0000}"/>
    <cellStyle name="Normal 6 9 2 3" xfId="2913" xr:uid="{00000000-0005-0000-0000-00006A0B0000}"/>
    <cellStyle name="Normal 6 9 3" xfId="2914" xr:uid="{00000000-0005-0000-0000-00006B0B0000}"/>
    <cellStyle name="Normal 6 9 3 2" xfId="2915" xr:uid="{00000000-0005-0000-0000-00006C0B0000}"/>
    <cellStyle name="Normal 6 9 3 3" xfId="2916" xr:uid="{00000000-0005-0000-0000-00006D0B0000}"/>
    <cellStyle name="Normal 6 9 4" xfId="2917" xr:uid="{00000000-0005-0000-0000-00006E0B0000}"/>
    <cellStyle name="Normal 6 9 4 2" xfId="2918" xr:uid="{00000000-0005-0000-0000-00006F0B0000}"/>
    <cellStyle name="Normal 6 9 4 3" xfId="2919" xr:uid="{00000000-0005-0000-0000-0000700B0000}"/>
    <cellStyle name="Normal 6 9 5" xfId="2920" xr:uid="{00000000-0005-0000-0000-0000710B0000}"/>
    <cellStyle name="Normal 6 9 5 2" xfId="2921" xr:uid="{00000000-0005-0000-0000-0000720B0000}"/>
    <cellStyle name="Normal 6 9 5 3" xfId="2922" xr:uid="{00000000-0005-0000-0000-0000730B0000}"/>
    <cellStyle name="Normal 6 9 6" xfId="2923" xr:uid="{00000000-0005-0000-0000-0000740B0000}"/>
    <cellStyle name="Normal 6 9 6 2" xfId="2924" xr:uid="{00000000-0005-0000-0000-0000750B0000}"/>
    <cellStyle name="Normal 6 9 6 3" xfId="2925" xr:uid="{00000000-0005-0000-0000-0000760B0000}"/>
    <cellStyle name="Normal 6 9 7" xfId="2926" xr:uid="{00000000-0005-0000-0000-0000770B0000}"/>
    <cellStyle name="Normal 6 9 8" xfId="2927" xr:uid="{00000000-0005-0000-0000-0000780B0000}"/>
    <cellStyle name="Normal 6 9_Agakhan Bills of Quantities EDITED" xfId="2928" xr:uid="{00000000-0005-0000-0000-0000790B0000}"/>
    <cellStyle name="Normal 6_Book2" xfId="2929" xr:uid="{00000000-0005-0000-0000-00007A0B0000}"/>
    <cellStyle name="Normal 7" xfId="2930" xr:uid="{00000000-0005-0000-0000-00007B0B0000}"/>
    <cellStyle name="Normal 7 2" xfId="2931" xr:uid="{00000000-0005-0000-0000-00007C0B0000}"/>
    <cellStyle name="Normal 7 2 2" xfId="2932" xr:uid="{00000000-0005-0000-0000-00007D0B0000}"/>
    <cellStyle name="Normal 7 2 3" xfId="2933" xr:uid="{00000000-0005-0000-0000-00007E0B0000}"/>
    <cellStyle name="Normal 7 2 4" xfId="2934" xr:uid="{00000000-0005-0000-0000-00007F0B0000}"/>
    <cellStyle name="Normal 7 3" xfId="2935" xr:uid="{00000000-0005-0000-0000-0000800B0000}"/>
    <cellStyle name="Normal 7 3 2" xfId="2936" xr:uid="{00000000-0005-0000-0000-0000810B0000}"/>
    <cellStyle name="Normal 7 3 3" xfId="2937" xr:uid="{00000000-0005-0000-0000-0000820B0000}"/>
    <cellStyle name="Normal 7 3 4" xfId="2938" xr:uid="{00000000-0005-0000-0000-0000830B0000}"/>
    <cellStyle name="Normal 7 4" xfId="2939" xr:uid="{00000000-0005-0000-0000-0000840B0000}"/>
    <cellStyle name="Normal 7 4 2" xfId="2940" xr:uid="{00000000-0005-0000-0000-0000850B0000}"/>
    <cellStyle name="Normal 7 4 3" xfId="2941" xr:uid="{00000000-0005-0000-0000-0000860B0000}"/>
    <cellStyle name="Normal 7 5" xfId="2942" xr:uid="{00000000-0005-0000-0000-0000870B0000}"/>
    <cellStyle name="Normal 7 5 2" xfId="2943" xr:uid="{00000000-0005-0000-0000-0000880B0000}"/>
    <cellStyle name="Normal 7 5 3" xfId="2944" xr:uid="{00000000-0005-0000-0000-0000890B0000}"/>
    <cellStyle name="Normal 7 6" xfId="2945" xr:uid="{00000000-0005-0000-0000-00008A0B0000}"/>
    <cellStyle name="Normal 7 6 2" xfId="2946" xr:uid="{00000000-0005-0000-0000-00008B0B0000}"/>
    <cellStyle name="Normal 7 6 3" xfId="2947" xr:uid="{00000000-0005-0000-0000-00008C0B0000}"/>
    <cellStyle name="Normal 7 7" xfId="2948" xr:uid="{00000000-0005-0000-0000-00008D0B0000}"/>
    <cellStyle name="Normal 7 8" xfId="2949" xr:uid="{00000000-0005-0000-0000-00008E0B0000}"/>
    <cellStyle name="Normal 7 9" xfId="2950" xr:uid="{00000000-0005-0000-0000-00008F0B0000}"/>
    <cellStyle name="Normal 7_Agakhan Bills of Quantities EDITED" xfId="2951" xr:uid="{00000000-0005-0000-0000-0000900B0000}"/>
    <cellStyle name="Normal 8" xfId="2952" xr:uid="{00000000-0005-0000-0000-0000910B0000}"/>
    <cellStyle name="Normal 8 2" xfId="2953" xr:uid="{00000000-0005-0000-0000-0000920B0000}"/>
    <cellStyle name="Normal 8 2 2" xfId="2954" xr:uid="{00000000-0005-0000-0000-0000930B0000}"/>
    <cellStyle name="Normal 8 2 3" xfId="2955" xr:uid="{00000000-0005-0000-0000-0000940B0000}"/>
    <cellStyle name="Normal 8 2 4" xfId="2956" xr:uid="{00000000-0005-0000-0000-0000950B0000}"/>
    <cellStyle name="Normal 8 3" xfId="2957" xr:uid="{00000000-0005-0000-0000-0000960B0000}"/>
    <cellStyle name="Normal 8 3 2" xfId="2958" xr:uid="{00000000-0005-0000-0000-0000970B0000}"/>
    <cellStyle name="Normal 8 3 3" xfId="2959" xr:uid="{00000000-0005-0000-0000-0000980B0000}"/>
    <cellStyle name="Normal 8 3 4" xfId="2960" xr:uid="{00000000-0005-0000-0000-0000990B0000}"/>
    <cellStyle name="Normal 8 4" xfId="2961" xr:uid="{00000000-0005-0000-0000-00009A0B0000}"/>
    <cellStyle name="Normal 8 4 2" xfId="2962" xr:uid="{00000000-0005-0000-0000-00009B0B0000}"/>
    <cellStyle name="Normal 8 4 3" xfId="2963" xr:uid="{00000000-0005-0000-0000-00009C0B0000}"/>
    <cellStyle name="Normal 8 5" xfId="2964" xr:uid="{00000000-0005-0000-0000-00009D0B0000}"/>
    <cellStyle name="Normal 8 5 2" xfId="2965" xr:uid="{00000000-0005-0000-0000-00009E0B0000}"/>
    <cellStyle name="Normal 8 5 3" xfId="2966" xr:uid="{00000000-0005-0000-0000-00009F0B0000}"/>
    <cellStyle name="Normal 8 6" xfId="2967" xr:uid="{00000000-0005-0000-0000-0000A00B0000}"/>
    <cellStyle name="Normal 8 6 2" xfId="2968" xr:uid="{00000000-0005-0000-0000-0000A10B0000}"/>
    <cellStyle name="Normal 8 6 3" xfId="2969" xr:uid="{00000000-0005-0000-0000-0000A20B0000}"/>
    <cellStyle name="Normal 8 7" xfId="2970" xr:uid="{00000000-0005-0000-0000-0000A30B0000}"/>
    <cellStyle name="Normal 8 8" xfId="2971" xr:uid="{00000000-0005-0000-0000-0000A40B0000}"/>
    <cellStyle name="Normal 8 9" xfId="2972" xr:uid="{00000000-0005-0000-0000-0000A50B0000}"/>
    <cellStyle name="Normal 8_Agakhan Bills of Quantities EDITED" xfId="2973" xr:uid="{00000000-0005-0000-0000-0000A60B0000}"/>
    <cellStyle name="Normal 9" xfId="2974" xr:uid="{00000000-0005-0000-0000-0000A70B0000}"/>
    <cellStyle name="Normal 9 2" xfId="2975" xr:uid="{00000000-0005-0000-0000-0000A80B0000}"/>
    <cellStyle name="Normal 9 2 2" xfId="2976" xr:uid="{00000000-0005-0000-0000-0000A90B0000}"/>
    <cellStyle name="Normal 9 2 3" xfId="2977" xr:uid="{00000000-0005-0000-0000-0000AA0B0000}"/>
    <cellStyle name="Normal 9 2 4" xfId="2978" xr:uid="{00000000-0005-0000-0000-0000AB0B0000}"/>
    <cellStyle name="Normal 9 3" xfId="2979" xr:uid="{00000000-0005-0000-0000-0000AC0B0000}"/>
    <cellStyle name="Normal 9 3 2" xfId="2980" xr:uid="{00000000-0005-0000-0000-0000AD0B0000}"/>
    <cellStyle name="Normal 9 3 3" xfId="2981" xr:uid="{00000000-0005-0000-0000-0000AE0B0000}"/>
    <cellStyle name="Normal 9 4" xfId="2982" xr:uid="{00000000-0005-0000-0000-0000AF0B0000}"/>
    <cellStyle name="Normal 9 4 2" xfId="2983" xr:uid="{00000000-0005-0000-0000-0000B00B0000}"/>
    <cellStyle name="Normal 9 4 3" xfId="2984" xr:uid="{00000000-0005-0000-0000-0000B10B0000}"/>
    <cellStyle name="Normal 9 5" xfId="2985" xr:uid="{00000000-0005-0000-0000-0000B20B0000}"/>
    <cellStyle name="Normal 9 5 2" xfId="2986" xr:uid="{00000000-0005-0000-0000-0000B30B0000}"/>
    <cellStyle name="Normal 9 5 3" xfId="2987" xr:uid="{00000000-0005-0000-0000-0000B40B0000}"/>
    <cellStyle name="Normal 9 6" xfId="2988" xr:uid="{00000000-0005-0000-0000-0000B50B0000}"/>
    <cellStyle name="Normal 9 6 2" xfId="2989" xr:uid="{00000000-0005-0000-0000-0000B60B0000}"/>
    <cellStyle name="Normal 9 6 3" xfId="2990" xr:uid="{00000000-0005-0000-0000-0000B70B0000}"/>
    <cellStyle name="Normal 9 7" xfId="2991" xr:uid="{00000000-0005-0000-0000-0000B80B0000}"/>
    <cellStyle name="Normal 9 8" xfId="2992" xr:uid="{00000000-0005-0000-0000-0000B90B0000}"/>
    <cellStyle name="Normal 9 9" xfId="2993" xr:uid="{00000000-0005-0000-0000-0000BA0B0000}"/>
    <cellStyle name="Normal 9_Agakhan Bills of Quantities EDITED" xfId="2994" xr:uid="{00000000-0005-0000-0000-0000BB0B0000}"/>
    <cellStyle name="Normal_0.5   Bills of Quantities Section - Summit View" xfId="2995" xr:uid="{00000000-0005-0000-0000-0000BC0B0000}"/>
    <cellStyle name="Normal_0.5   Bills of Quantities Section - Summit View 2" xfId="2996" xr:uid="{00000000-0005-0000-0000-0000BD0B0000}"/>
    <cellStyle name="Normal_0.5   Bills of Quantities Section - Summit View 2 2" xfId="2997" xr:uid="{00000000-0005-0000-0000-0000BE0B0000}"/>
    <cellStyle name="Normal_0.5   Bills of Quantities Section - Summit View 2_PROPOSED ORTHOPAEDIC HOSPITAL (PHASE 1a) - SEB BILLS FINAL" xfId="2998" xr:uid="{00000000-0005-0000-0000-0000C00B0000}"/>
    <cellStyle name="Normal_0.5   Bills of Quantities Section - Summit View 2_PROPOSED ORTHOPAEDIC HOSPITAL (PHASE 1a) - SEB BILLS FINAL 2" xfId="3043" xr:uid="{00000000-0005-0000-0000-0000C10B0000}"/>
    <cellStyle name="Normal_0.5   Bills of Quantities Section - Summit View 2_PROPOSED RESIDENTIAL HOUSE AT PLOT 11, HILL LANE, KOLOLO EDITED" xfId="2999" xr:uid="{00000000-0005-0000-0000-0000C30B0000}"/>
    <cellStyle name="Normal_Bill No. 5  Element No.01 2" xfId="3000" xr:uid="{00000000-0005-0000-0000-0000C40B0000}"/>
    <cellStyle name="Normal_Bills of Quantities - unpriced" xfId="3001" xr:uid="{00000000-0005-0000-0000-0000C50B0000}"/>
    <cellStyle name="Normal_Bills of Quantities - unpriced 2" xfId="3002" xr:uid="{00000000-0005-0000-0000-0000C60B0000}"/>
    <cellStyle name="Normal_Bills of Quantities - unpriced 2 2 2" xfId="3003" xr:uid="{00000000-0005-0000-0000-0000C70B0000}"/>
    <cellStyle name="Normal_Bills of Quantities - unpriced 2_ADDITIONS &amp; MODIFICATIONS AT NAKASERO SOAP WORKS - CONTRACT BOQ" xfId="3004" xr:uid="{00000000-0005-0000-0000-0000C90B0000}"/>
    <cellStyle name="Normal_Bills of Quantities - unpriced 2_PROPOSED RESIDENTIAL APARTMENTS-SUDAN" xfId="3045" xr:uid="{00000000-0005-0000-0000-0000CA0B0000}"/>
    <cellStyle name="Normal_Bills of Quantities - unpriced 2_PROPOSED RESIDENTIAL HOUSE AT PLOT 11, HILL LANE, KOLOLO EDITED" xfId="3005" xr:uid="{00000000-0005-0000-0000-0000CB0B0000}"/>
    <cellStyle name="Normal_Bills of Quantities - unpriced 2_PROPOSED RESIDENTIAL HOUSE AT PLOT 11, HILL LANE, KOLOLO EDITED 2" xfId="3044" xr:uid="{00000000-0005-0000-0000-0000CC0B0000}"/>
    <cellStyle name="Normal_Bills of Quantities - unpriced 3 2" xfId="3040" xr:uid="{00000000-0005-0000-0000-0000CD0B0000}"/>
    <cellStyle name="Normal_Bills of Quantities - unpriced_B.Q external works" xfId="3006" xr:uid="{00000000-0005-0000-0000-0000CE0B0000}"/>
    <cellStyle name="Normal_Bills of Quantities - unpriced_Priced  B.Q - Nsambya Diagnostic Center" xfId="3007" xr:uid="{00000000-0005-0000-0000-0000CF0B0000}"/>
    <cellStyle name="Normal_Bills of Quantities - unpriced_Revised B.Q  priced - Tororo 09.06.04 2 2" xfId="3042" xr:uid="{00000000-0005-0000-0000-0000D20B0000}"/>
    <cellStyle name="Normal_Blank Bills of Quantities - ESA - FINAL" xfId="3008" xr:uid="{00000000-0005-0000-0000-0000D30B0000}"/>
    <cellStyle name="Note 2" xfId="3009" xr:uid="{00000000-0005-0000-0000-0000D50B0000}"/>
    <cellStyle name="Note 2 2" xfId="3010" xr:uid="{00000000-0005-0000-0000-0000D60B0000}"/>
    <cellStyle name="Note 2 2 2" xfId="3011" xr:uid="{00000000-0005-0000-0000-0000D70B0000}"/>
    <cellStyle name="Note 2 2_LOT 1.2 - MITYANA GH(1) 08-08-12" xfId="3012" xr:uid="{00000000-0005-0000-0000-0000D80B0000}"/>
    <cellStyle name="Note 2 3" xfId="3013" xr:uid="{00000000-0005-0000-0000-0000D90B0000}"/>
    <cellStyle name="Note 2 4" xfId="3014" xr:uid="{00000000-0005-0000-0000-0000DA0B0000}"/>
    <cellStyle name="Note 2 5" xfId="3015" xr:uid="{00000000-0005-0000-0000-0000DB0B0000}"/>
    <cellStyle name="Note 2_LOT 1.2 - MITYANA GH(1) 08-08-12" xfId="3016" xr:uid="{00000000-0005-0000-0000-0000DC0B0000}"/>
    <cellStyle name="Note 3" xfId="3017" xr:uid="{00000000-0005-0000-0000-0000DD0B0000}"/>
    <cellStyle name="Note 3 2" xfId="3018" xr:uid="{00000000-0005-0000-0000-0000DE0B0000}"/>
    <cellStyle name="Note 3 3" xfId="3019" xr:uid="{00000000-0005-0000-0000-0000DF0B0000}"/>
    <cellStyle name="Note 3 4" xfId="3020" xr:uid="{00000000-0005-0000-0000-0000E00B0000}"/>
    <cellStyle name="Note 3 5" xfId="3021" xr:uid="{00000000-0005-0000-0000-0000E10B0000}"/>
    <cellStyle name="Note 3_LOT 1.2 - MITYANA GH(1) 08-08-12" xfId="3022" xr:uid="{00000000-0005-0000-0000-0000E20B0000}"/>
    <cellStyle name="Note 4" xfId="3023" xr:uid="{00000000-0005-0000-0000-0000E30B0000}"/>
    <cellStyle name="Note 4 2" xfId="3024" xr:uid="{00000000-0005-0000-0000-0000E40B0000}"/>
    <cellStyle name="Note 4_LOT 1.2 - MITYANA GH(1) 08-08-12" xfId="3025" xr:uid="{00000000-0005-0000-0000-0000E50B0000}"/>
    <cellStyle name="Percent 2" xfId="3026" xr:uid="{00000000-0005-0000-0000-0000E70B0000}"/>
    <cellStyle name="Percent 2 2" xfId="3027" xr:uid="{00000000-0005-0000-0000-0000E80B0000}"/>
    <cellStyle name="Percent 2 2 2" xfId="3028" xr:uid="{00000000-0005-0000-0000-0000E90B0000}"/>
    <cellStyle name="Percent 2 3" xfId="3029" xr:uid="{00000000-0005-0000-0000-0000EA0B0000}"/>
    <cellStyle name="Percent 2 4" xfId="3030" xr:uid="{00000000-0005-0000-0000-0000EB0B0000}"/>
    <cellStyle name="Percent 3" xfId="3031" xr:uid="{00000000-0005-0000-0000-0000EC0B0000}"/>
    <cellStyle name="Percent 3 2" xfId="3032" xr:uid="{00000000-0005-0000-0000-0000ED0B0000}"/>
    <cellStyle name="Percent 3 3" xfId="3033" xr:uid="{00000000-0005-0000-0000-0000EE0B0000}"/>
    <cellStyle name="Percent 4" xfId="3034" xr:uid="{00000000-0005-0000-0000-0000EF0B0000}"/>
    <cellStyle name="Percent 4 2" xfId="3035" xr:uid="{00000000-0005-0000-0000-0000F00B0000}"/>
    <cellStyle name="Percent 4 2 2" xfId="3036" xr:uid="{00000000-0005-0000-0000-0000F10B0000}"/>
    <cellStyle name="Percent 5" xfId="3037" xr:uid="{00000000-0005-0000-0000-0000F20B0000}"/>
    <cellStyle name="Percent 5 2" xfId="3038" xr:uid="{00000000-0005-0000-0000-0000F30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customXml" Target="../customXml/item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1020233</xdr:colOff>
      <xdr:row>26</xdr:row>
      <xdr:rowOff>175260</xdr:rowOff>
    </xdr:to>
    <xdr:sp macro="" textlink="">
      <xdr:nvSpPr>
        <xdr:cNvPr id="2" name="Text Box 9">
          <a:extLst>
            <a:ext uri="{FF2B5EF4-FFF2-40B4-BE49-F238E27FC236}">
              <a16:creationId xmlns:a16="http://schemas.microsoft.com/office/drawing/2014/main" id="{75049126-CD64-49BC-A486-9B41C87523A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 name="Text Box 10">
          <a:extLst>
            <a:ext uri="{FF2B5EF4-FFF2-40B4-BE49-F238E27FC236}">
              <a16:creationId xmlns:a16="http://schemas.microsoft.com/office/drawing/2014/main" id="{CC8263AD-0EB5-4792-A17E-1795AE0447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 name="Text Box 11">
          <a:extLst>
            <a:ext uri="{FF2B5EF4-FFF2-40B4-BE49-F238E27FC236}">
              <a16:creationId xmlns:a16="http://schemas.microsoft.com/office/drawing/2014/main" id="{D80E1DF6-3A07-40FC-B3B4-6B3841671B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 name="Text Box 12">
          <a:extLst>
            <a:ext uri="{FF2B5EF4-FFF2-40B4-BE49-F238E27FC236}">
              <a16:creationId xmlns:a16="http://schemas.microsoft.com/office/drawing/2014/main" id="{CC941EA5-35BC-4D2E-A1DA-EB6A4077F07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 name="Text Box 21">
          <a:extLst>
            <a:ext uri="{FF2B5EF4-FFF2-40B4-BE49-F238E27FC236}">
              <a16:creationId xmlns:a16="http://schemas.microsoft.com/office/drawing/2014/main" id="{B1A956FF-5AD9-473D-A952-8A9F4D0702C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 name="Text Box 22">
          <a:extLst>
            <a:ext uri="{FF2B5EF4-FFF2-40B4-BE49-F238E27FC236}">
              <a16:creationId xmlns:a16="http://schemas.microsoft.com/office/drawing/2014/main" id="{CC0BEA98-B0DD-4AAF-98E6-47E4842F5B0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 name="Text Box 23">
          <a:extLst>
            <a:ext uri="{FF2B5EF4-FFF2-40B4-BE49-F238E27FC236}">
              <a16:creationId xmlns:a16="http://schemas.microsoft.com/office/drawing/2014/main" id="{F83A334C-FD6E-4B53-99D4-1CC84B8BA0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 name="Text Box 24">
          <a:extLst>
            <a:ext uri="{FF2B5EF4-FFF2-40B4-BE49-F238E27FC236}">
              <a16:creationId xmlns:a16="http://schemas.microsoft.com/office/drawing/2014/main" id="{B5824378-8F94-4743-9F53-122FB94DBE0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 name="Text Box 33">
          <a:extLst>
            <a:ext uri="{FF2B5EF4-FFF2-40B4-BE49-F238E27FC236}">
              <a16:creationId xmlns:a16="http://schemas.microsoft.com/office/drawing/2014/main" id="{41C4776F-2734-49B6-AC0A-283F5753918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 name="Text Box 34">
          <a:extLst>
            <a:ext uri="{FF2B5EF4-FFF2-40B4-BE49-F238E27FC236}">
              <a16:creationId xmlns:a16="http://schemas.microsoft.com/office/drawing/2014/main" id="{A1509AB4-0CD3-42E7-87CD-66855DC14AF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 name="Text Box 35">
          <a:extLst>
            <a:ext uri="{FF2B5EF4-FFF2-40B4-BE49-F238E27FC236}">
              <a16:creationId xmlns:a16="http://schemas.microsoft.com/office/drawing/2014/main" id="{22608CEE-5A2E-4242-BE94-E20DAA5816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 name="Text Box 36">
          <a:extLst>
            <a:ext uri="{FF2B5EF4-FFF2-40B4-BE49-F238E27FC236}">
              <a16:creationId xmlns:a16="http://schemas.microsoft.com/office/drawing/2014/main" id="{BEB1CCAD-603B-4E5E-B926-CD5FB615A22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 name="Text Box 45">
          <a:extLst>
            <a:ext uri="{FF2B5EF4-FFF2-40B4-BE49-F238E27FC236}">
              <a16:creationId xmlns:a16="http://schemas.microsoft.com/office/drawing/2014/main" id="{4822D6F4-EF8D-4DCA-8421-37543992ECF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 name="Text Box 46">
          <a:extLst>
            <a:ext uri="{FF2B5EF4-FFF2-40B4-BE49-F238E27FC236}">
              <a16:creationId xmlns:a16="http://schemas.microsoft.com/office/drawing/2014/main" id="{37AD4069-4882-457F-A0C7-A76F50BAFB6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 name="Text Box 47">
          <a:extLst>
            <a:ext uri="{FF2B5EF4-FFF2-40B4-BE49-F238E27FC236}">
              <a16:creationId xmlns:a16="http://schemas.microsoft.com/office/drawing/2014/main" id="{96C3ABF8-7134-4A5F-8663-0308AE40366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 name="Text Box 48">
          <a:extLst>
            <a:ext uri="{FF2B5EF4-FFF2-40B4-BE49-F238E27FC236}">
              <a16:creationId xmlns:a16="http://schemas.microsoft.com/office/drawing/2014/main" id="{1C121DDF-24EA-4CE3-BAAD-CDB0C777BB5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 name="Text Box 57">
          <a:extLst>
            <a:ext uri="{FF2B5EF4-FFF2-40B4-BE49-F238E27FC236}">
              <a16:creationId xmlns:a16="http://schemas.microsoft.com/office/drawing/2014/main" id="{B9026F92-D803-47E7-A956-67D1D9405BA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 name="Text Box 58">
          <a:extLst>
            <a:ext uri="{FF2B5EF4-FFF2-40B4-BE49-F238E27FC236}">
              <a16:creationId xmlns:a16="http://schemas.microsoft.com/office/drawing/2014/main" id="{9E9A4D62-8C54-4C20-9586-D3E7EAE74AB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 name="Text Box 59">
          <a:extLst>
            <a:ext uri="{FF2B5EF4-FFF2-40B4-BE49-F238E27FC236}">
              <a16:creationId xmlns:a16="http://schemas.microsoft.com/office/drawing/2014/main" id="{9C921F89-4DC3-4F44-A01D-7C53E77CE9A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 name="Text Box 60">
          <a:extLst>
            <a:ext uri="{FF2B5EF4-FFF2-40B4-BE49-F238E27FC236}">
              <a16:creationId xmlns:a16="http://schemas.microsoft.com/office/drawing/2014/main" id="{CD7FC242-E41E-458B-9D5F-88D3CD536AD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 name="Text Box 69">
          <a:extLst>
            <a:ext uri="{FF2B5EF4-FFF2-40B4-BE49-F238E27FC236}">
              <a16:creationId xmlns:a16="http://schemas.microsoft.com/office/drawing/2014/main" id="{5A1227F2-8D62-42BA-8FF4-3B6B2504A3C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 name="Text Box 70">
          <a:extLst>
            <a:ext uri="{FF2B5EF4-FFF2-40B4-BE49-F238E27FC236}">
              <a16:creationId xmlns:a16="http://schemas.microsoft.com/office/drawing/2014/main" id="{D41B5DFC-48C6-4C05-AF6F-61BA6EA2AF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 name="Text Box 71">
          <a:extLst>
            <a:ext uri="{FF2B5EF4-FFF2-40B4-BE49-F238E27FC236}">
              <a16:creationId xmlns:a16="http://schemas.microsoft.com/office/drawing/2014/main" id="{2143F4A9-7453-402E-BF8C-05D2E639185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 name="Text Box 72">
          <a:extLst>
            <a:ext uri="{FF2B5EF4-FFF2-40B4-BE49-F238E27FC236}">
              <a16:creationId xmlns:a16="http://schemas.microsoft.com/office/drawing/2014/main" id="{4C9B4222-DCB3-4E6E-98B2-625E861A6B7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 name="Text Box 9">
          <a:extLst>
            <a:ext uri="{FF2B5EF4-FFF2-40B4-BE49-F238E27FC236}">
              <a16:creationId xmlns:a16="http://schemas.microsoft.com/office/drawing/2014/main" id="{0BC5684A-DB69-4853-8574-12C6AC017C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 name="Text Box 10">
          <a:extLst>
            <a:ext uri="{FF2B5EF4-FFF2-40B4-BE49-F238E27FC236}">
              <a16:creationId xmlns:a16="http://schemas.microsoft.com/office/drawing/2014/main" id="{4A197E1E-4AE2-4E8A-BE1D-1319294B186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 name="Text Box 11">
          <a:extLst>
            <a:ext uri="{FF2B5EF4-FFF2-40B4-BE49-F238E27FC236}">
              <a16:creationId xmlns:a16="http://schemas.microsoft.com/office/drawing/2014/main" id="{795DF445-8594-4590-862D-2F9CA964BFD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 name="Text Box 12">
          <a:extLst>
            <a:ext uri="{FF2B5EF4-FFF2-40B4-BE49-F238E27FC236}">
              <a16:creationId xmlns:a16="http://schemas.microsoft.com/office/drawing/2014/main" id="{C4203DB1-AC5E-4480-9654-D0FB62F460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 name="Text Box 21">
          <a:extLst>
            <a:ext uri="{FF2B5EF4-FFF2-40B4-BE49-F238E27FC236}">
              <a16:creationId xmlns:a16="http://schemas.microsoft.com/office/drawing/2014/main" id="{6B5003E3-B265-49A8-9107-4B6C89BEE5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 name="Text Box 22">
          <a:extLst>
            <a:ext uri="{FF2B5EF4-FFF2-40B4-BE49-F238E27FC236}">
              <a16:creationId xmlns:a16="http://schemas.microsoft.com/office/drawing/2014/main" id="{AAF1E5E2-4017-434A-927D-85EE9B3C35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 name="Text Box 23">
          <a:extLst>
            <a:ext uri="{FF2B5EF4-FFF2-40B4-BE49-F238E27FC236}">
              <a16:creationId xmlns:a16="http://schemas.microsoft.com/office/drawing/2014/main" id="{5A766315-A3D1-43B3-8277-5368580E52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 name="Text Box 24">
          <a:extLst>
            <a:ext uri="{FF2B5EF4-FFF2-40B4-BE49-F238E27FC236}">
              <a16:creationId xmlns:a16="http://schemas.microsoft.com/office/drawing/2014/main" id="{678EE2A0-F59B-4E62-8D02-F1B07E558BA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 name="Text Box 33">
          <a:extLst>
            <a:ext uri="{FF2B5EF4-FFF2-40B4-BE49-F238E27FC236}">
              <a16:creationId xmlns:a16="http://schemas.microsoft.com/office/drawing/2014/main" id="{AAB8485E-493D-43EE-BFE0-CE7AC81D36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 name="Text Box 34">
          <a:extLst>
            <a:ext uri="{FF2B5EF4-FFF2-40B4-BE49-F238E27FC236}">
              <a16:creationId xmlns:a16="http://schemas.microsoft.com/office/drawing/2014/main" id="{622FEE55-206C-4221-9AE5-10DCFEB5655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 name="Text Box 35">
          <a:extLst>
            <a:ext uri="{FF2B5EF4-FFF2-40B4-BE49-F238E27FC236}">
              <a16:creationId xmlns:a16="http://schemas.microsoft.com/office/drawing/2014/main" id="{15C36D5A-2B7B-42B0-8A62-C7A0076EB5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 name="Text Box 36">
          <a:extLst>
            <a:ext uri="{FF2B5EF4-FFF2-40B4-BE49-F238E27FC236}">
              <a16:creationId xmlns:a16="http://schemas.microsoft.com/office/drawing/2014/main" id="{070A6D09-8779-4E70-9932-607EDF9819E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 name="Text Box 45">
          <a:extLst>
            <a:ext uri="{FF2B5EF4-FFF2-40B4-BE49-F238E27FC236}">
              <a16:creationId xmlns:a16="http://schemas.microsoft.com/office/drawing/2014/main" id="{56B88CB5-8AB8-4742-9AF5-A0E831EA5B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 name="Text Box 46">
          <a:extLst>
            <a:ext uri="{FF2B5EF4-FFF2-40B4-BE49-F238E27FC236}">
              <a16:creationId xmlns:a16="http://schemas.microsoft.com/office/drawing/2014/main" id="{50CD9E8F-2362-4EFB-A24B-1A54E2DB21B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 name="Text Box 47">
          <a:extLst>
            <a:ext uri="{FF2B5EF4-FFF2-40B4-BE49-F238E27FC236}">
              <a16:creationId xmlns:a16="http://schemas.microsoft.com/office/drawing/2014/main" id="{01480142-D91D-47CF-A87E-7FEA7947725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 name="Text Box 48">
          <a:extLst>
            <a:ext uri="{FF2B5EF4-FFF2-40B4-BE49-F238E27FC236}">
              <a16:creationId xmlns:a16="http://schemas.microsoft.com/office/drawing/2014/main" id="{CB982E89-41A6-4592-8752-4DC1BE76E97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 name="Text Box 57">
          <a:extLst>
            <a:ext uri="{FF2B5EF4-FFF2-40B4-BE49-F238E27FC236}">
              <a16:creationId xmlns:a16="http://schemas.microsoft.com/office/drawing/2014/main" id="{640AED83-CC44-4376-9DEC-AE2F2AEEC0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 name="Text Box 58">
          <a:extLst>
            <a:ext uri="{FF2B5EF4-FFF2-40B4-BE49-F238E27FC236}">
              <a16:creationId xmlns:a16="http://schemas.microsoft.com/office/drawing/2014/main" id="{F08B3DBD-D44C-466E-8653-A6F659665FF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 name="Text Box 59">
          <a:extLst>
            <a:ext uri="{FF2B5EF4-FFF2-40B4-BE49-F238E27FC236}">
              <a16:creationId xmlns:a16="http://schemas.microsoft.com/office/drawing/2014/main" id="{D42063E2-636E-419A-B733-09574CBF25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 name="Text Box 60">
          <a:extLst>
            <a:ext uri="{FF2B5EF4-FFF2-40B4-BE49-F238E27FC236}">
              <a16:creationId xmlns:a16="http://schemas.microsoft.com/office/drawing/2014/main" id="{98BCE090-1157-41A0-84F8-A64773BFF2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 name="Text Box 69">
          <a:extLst>
            <a:ext uri="{FF2B5EF4-FFF2-40B4-BE49-F238E27FC236}">
              <a16:creationId xmlns:a16="http://schemas.microsoft.com/office/drawing/2014/main" id="{1F40A630-FD2F-48A1-BABD-03313A0ABA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 name="Text Box 70">
          <a:extLst>
            <a:ext uri="{FF2B5EF4-FFF2-40B4-BE49-F238E27FC236}">
              <a16:creationId xmlns:a16="http://schemas.microsoft.com/office/drawing/2014/main" id="{4717A56C-832C-41C9-B3B5-0321895EA4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 name="Text Box 71">
          <a:extLst>
            <a:ext uri="{FF2B5EF4-FFF2-40B4-BE49-F238E27FC236}">
              <a16:creationId xmlns:a16="http://schemas.microsoft.com/office/drawing/2014/main" id="{28507FF2-F345-455F-AE06-C7A8401DEF5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 name="Text Box 72">
          <a:extLst>
            <a:ext uri="{FF2B5EF4-FFF2-40B4-BE49-F238E27FC236}">
              <a16:creationId xmlns:a16="http://schemas.microsoft.com/office/drawing/2014/main" id="{F370C57B-8492-4663-AEF2-C420655E9B0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 name="Text Box 9">
          <a:extLst>
            <a:ext uri="{FF2B5EF4-FFF2-40B4-BE49-F238E27FC236}">
              <a16:creationId xmlns:a16="http://schemas.microsoft.com/office/drawing/2014/main" id="{161228E9-A12F-43B4-B7D6-145E48E290E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 name="Text Box 10">
          <a:extLst>
            <a:ext uri="{FF2B5EF4-FFF2-40B4-BE49-F238E27FC236}">
              <a16:creationId xmlns:a16="http://schemas.microsoft.com/office/drawing/2014/main" id="{059F4025-B186-4E3F-A43D-BA13F097DD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 name="Text Box 11">
          <a:extLst>
            <a:ext uri="{FF2B5EF4-FFF2-40B4-BE49-F238E27FC236}">
              <a16:creationId xmlns:a16="http://schemas.microsoft.com/office/drawing/2014/main" id="{E0E8E1E4-6B4C-421D-BAD7-303CB03A0B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 name="Text Box 12">
          <a:extLst>
            <a:ext uri="{FF2B5EF4-FFF2-40B4-BE49-F238E27FC236}">
              <a16:creationId xmlns:a16="http://schemas.microsoft.com/office/drawing/2014/main" id="{ED03C2C8-02A0-4046-943B-A001A200E96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 name="Text Box 21">
          <a:extLst>
            <a:ext uri="{FF2B5EF4-FFF2-40B4-BE49-F238E27FC236}">
              <a16:creationId xmlns:a16="http://schemas.microsoft.com/office/drawing/2014/main" id="{457CE300-BD38-4E88-84BD-32A3ED8489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 name="Text Box 22">
          <a:extLst>
            <a:ext uri="{FF2B5EF4-FFF2-40B4-BE49-F238E27FC236}">
              <a16:creationId xmlns:a16="http://schemas.microsoft.com/office/drawing/2014/main" id="{2F9CA4F1-D61A-4AAD-81C9-B078854BFB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 name="Text Box 23">
          <a:extLst>
            <a:ext uri="{FF2B5EF4-FFF2-40B4-BE49-F238E27FC236}">
              <a16:creationId xmlns:a16="http://schemas.microsoft.com/office/drawing/2014/main" id="{5FA80FC9-F8D3-439D-A87A-7E7D801A083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 name="Text Box 24">
          <a:extLst>
            <a:ext uri="{FF2B5EF4-FFF2-40B4-BE49-F238E27FC236}">
              <a16:creationId xmlns:a16="http://schemas.microsoft.com/office/drawing/2014/main" id="{B2F5FD45-8C10-47B9-9BDE-CE5F06BE2D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 name="Text Box 33">
          <a:extLst>
            <a:ext uri="{FF2B5EF4-FFF2-40B4-BE49-F238E27FC236}">
              <a16:creationId xmlns:a16="http://schemas.microsoft.com/office/drawing/2014/main" id="{4CA10129-2EE1-438E-8A32-CA0B2A7CAA0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 name="Text Box 34">
          <a:extLst>
            <a:ext uri="{FF2B5EF4-FFF2-40B4-BE49-F238E27FC236}">
              <a16:creationId xmlns:a16="http://schemas.microsoft.com/office/drawing/2014/main" id="{3CA4078B-6263-489B-B81B-D5970A52DCB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 name="Text Box 35">
          <a:extLst>
            <a:ext uri="{FF2B5EF4-FFF2-40B4-BE49-F238E27FC236}">
              <a16:creationId xmlns:a16="http://schemas.microsoft.com/office/drawing/2014/main" id="{CE08BB1C-4D66-4631-B5F5-11988BEF23A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 name="Text Box 36">
          <a:extLst>
            <a:ext uri="{FF2B5EF4-FFF2-40B4-BE49-F238E27FC236}">
              <a16:creationId xmlns:a16="http://schemas.microsoft.com/office/drawing/2014/main" id="{DA2EB063-1946-43C1-84A7-82AD2695A68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 name="Text Box 45">
          <a:extLst>
            <a:ext uri="{FF2B5EF4-FFF2-40B4-BE49-F238E27FC236}">
              <a16:creationId xmlns:a16="http://schemas.microsoft.com/office/drawing/2014/main" id="{4F96237C-8451-4B1D-AABE-6FBCD5126CF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 name="Text Box 46">
          <a:extLst>
            <a:ext uri="{FF2B5EF4-FFF2-40B4-BE49-F238E27FC236}">
              <a16:creationId xmlns:a16="http://schemas.microsoft.com/office/drawing/2014/main" id="{33216F7A-7696-473C-AD76-3E3D290BF1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 name="Text Box 47">
          <a:extLst>
            <a:ext uri="{FF2B5EF4-FFF2-40B4-BE49-F238E27FC236}">
              <a16:creationId xmlns:a16="http://schemas.microsoft.com/office/drawing/2014/main" id="{E549311F-4E7C-4CCE-AC67-6A01E55D13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 name="Text Box 48">
          <a:extLst>
            <a:ext uri="{FF2B5EF4-FFF2-40B4-BE49-F238E27FC236}">
              <a16:creationId xmlns:a16="http://schemas.microsoft.com/office/drawing/2014/main" id="{22C45A04-2501-4B49-AA33-70AFAE811F2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 name="Text Box 57">
          <a:extLst>
            <a:ext uri="{FF2B5EF4-FFF2-40B4-BE49-F238E27FC236}">
              <a16:creationId xmlns:a16="http://schemas.microsoft.com/office/drawing/2014/main" id="{DF566386-ADBB-4A48-963C-6372CDA27BB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 name="Text Box 58">
          <a:extLst>
            <a:ext uri="{FF2B5EF4-FFF2-40B4-BE49-F238E27FC236}">
              <a16:creationId xmlns:a16="http://schemas.microsoft.com/office/drawing/2014/main" id="{277480BD-052C-40D2-AE24-04C85C46BE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 name="Text Box 59">
          <a:extLst>
            <a:ext uri="{FF2B5EF4-FFF2-40B4-BE49-F238E27FC236}">
              <a16:creationId xmlns:a16="http://schemas.microsoft.com/office/drawing/2014/main" id="{9AC51CD9-AE41-4E0D-B744-4C5FB65D9C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 name="Text Box 60">
          <a:extLst>
            <a:ext uri="{FF2B5EF4-FFF2-40B4-BE49-F238E27FC236}">
              <a16:creationId xmlns:a16="http://schemas.microsoft.com/office/drawing/2014/main" id="{36FB1819-E1AE-4C68-A40C-AEFB84165BF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 name="Text Box 69">
          <a:extLst>
            <a:ext uri="{FF2B5EF4-FFF2-40B4-BE49-F238E27FC236}">
              <a16:creationId xmlns:a16="http://schemas.microsoft.com/office/drawing/2014/main" id="{2CC11D18-C181-45C8-9792-76D7E478D1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 name="Text Box 70">
          <a:extLst>
            <a:ext uri="{FF2B5EF4-FFF2-40B4-BE49-F238E27FC236}">
              <a16:creationId xmlns:a16="http://schemas.microsoft.com/office/drawing/2014/main" id="{097A8359-486E-42AA-B3B2-4481C35D23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 name="Text Box 71">
          <a:extLst>
            <a:ext uri="{FF2B5EF4-FFF2-40B4-BE49-F238E27FC236}">
              <a16:creationId xmlns:a16="http://schemas.microsoft.com/office/drawing/2014/main" id="{CF69C21E-567B-4F2F-A6C6-A619B526EC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 name="Text Box 72">
          <a:extLst>
            <a:ext uri="{FF2B5EF4-FFF2-40B4-BE49-F238E27FC236}">
              <a16:creationId xmlns:a16="http://schemas.microsoft.com/office/drawing/2014/main" id="{4C861019-37D5-4765-BCBD-4FCA39D38A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 name="Text Box 9">
          <a:extLst>
            <a:ext uri="{FF2B5EF4-FFF2-40B4-BE49-F238E27FC236}">
              <a16:creationId xmlns:a16="http://schemas.microsoft.com/office/drawing/2014/main" id="{B6428A2B-4D24-48A8-A107-5678ED890C3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 name="Text Box 10">
          <a:extLst>
            <a:ext uri="{FF2B5EF4-FFF2-40B4-BE49-F238E27FC236}">
              <a16:creationId xmlns:a16="http://schemas.microsoft.com/office/drawing/2014/main" id="{5CD62F80-169B-48AB-85FA-5C733F69ED5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 name="Text Box 11">
          <a:extLst>
            <a:ext uri="{FF2B5EF4-FFF2-40B4-BE49-F238E27FC236}">
              <a16:creationId xmlns:a16="http://schemas.microsoft.com/office/drawing/2014/main" id="{6183EF82-0BCC-42C1-8583-532B167495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 name="Text Box 12">
          <a:extLst>
            <a:ext uri="{FF2B5EF4-FFF2-40B4-BE49-F238E27FC236}">
              <a16:creationId xmlns:a16="http://schemas.microsoft.com/office/drawing/2014/main" id="{4EA30183-A7A8-4079-AA51-DEA26779718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 name="Text Box 21">
          <a:extLst>
            <a:ext uri="{FF2B5EF4-FFF2-40B4-BE49-F238E27FC236}">
              <a16:creationId xmlns:a16="http://schemas.microsoft.com/office/drawing/2014/main" id="{3BD2BB2B-D611-415E-A8D7-8144ADA668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 name="Text Box 22">
          <a:extLst>
            <a:ext uri="{FF2B5EF4-FFF2-40B4-BE49-F238E27FC236}">
              <a16:creationId xmlns:a16="http://schemas.microsoft.com/office/drawing/2014/main" id="{354FBAAC-539D-49F9-8A89-71956C49FAF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 name="Text Box 23">
          <a:extLst>
            <a:ext uri="{FF2B5EF4-FFF2-40B4-BE49-F238E27FC236}">
              <a16:creationId xmlns:a16="http://schemas.microsoft.com/office/drawing/2014/main" id="{FA739E18-2DF7-40A5-98C4-FBF41811205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 name="Text Box 24">
          <a:extLst>
            <a:ext uri="{FF2B5EF4-FFF2-40B4-BE49-F238E27FC236}">
              <a16:creationId xmlns:a16="http://schemas.microsoft.com/office/drawing/2014/main" id="{8C6D3D3A-176E-4646-9402-B8FF4F0F42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 name="Text Box 33">
          <a:extLst>
            <a:ext uri="{FF2B5EF4-FFF2-40B4-BE49-F238E27FC236}">
              <a16:creationId xmlns:a16="http://schemas.microsoft.com/office/drawing/2014/main" id="{B219A502-A8A8-438F-ABC6-0F8FB6FD86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 name="Text Box 34">
          <a:extLst>
            <a:ext uri="{FF2B5EF4-FFF2-40B4-BE49-F238E27FC236}">
              <a16:creationId xmlns:a16="http://schemas.microsoft.com/office/drawing/2014/main" id="{1BA2BF51-5E43-421F-8D7F-896BF377A30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 name="Text Box 35">
          <a:extLst>
            <a:ext uri="{FF2B5EF4-FFF2-40B4-BE49-F238E27FC236}">
              <a16:creationId xmlns:a16="http://schemas.microsoft.com/office/drawing/2014/main" id="{99D184ED-6E84-4C08-96A7-821D5B9E6B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 name="Text Box 36">
          <a:extLst>
            <a:ext uri="{FF2B5EF4-FFF2-40B4-BE49-F238E27FC236}">
              <a16:creationId xmlns:a16="http://schemas.microsoft.com/office/drawing/2014/main" id="{BD369EF2-AA7B-424D-B252-49BD7A0B912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 name="Text Box 45">
          <a:extLst>
            <a:ext uri="{FF2B5EF4-FFF2-40B4-BE49-F238E27FC236}">
              <a16:creationId xmlns:a16="http://schemas.microsoft.com/office/drawing/2014/main" id="{7E88E0BC-A879-4F00-B14F-677003C81D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 name="Text Box 46">
          <a:extLst>
            <a:ext uri="{FF2B5EF4-FFF2-40B4-BE49-F238E27FC236}">
              <a16:creationId xmlns:a16="http://schemas.microsoft.com/office/drawing/2014/main" id="{A0011144-C835-4D10-9629-10AFA444BC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 name="Text Box 47">
          <a:extLst>
            <a:ext uri="{FF2B5EF4-FFF2-40B4-BE49-F238E27FC236}">
              <a16:creationId xmlns:a16="http://schemas.microsoft.com/office/drawing/2014/main" id="{7D8E0E37-08A7-402B-BDF9-7E5227146B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 name="Text Box 48">
          <a:extLst>
            <a:ext uri="{FF2B5EF4-FFF2-40B4-BE49-F238E27FC236}">
              <a16:creationId xmlns:a16="http://schemas.microsoft.com/office/drawing/2014/main" id="{82F4F845-8308-43D0-AC9F-CD110F6912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 name="Text Box 57">
          <a:extLst>
            <a:ext uri="{FF2B5EF4-FFF2-40B4-BE49-F238E27FC236}">
              <a16:creationId xmlns:a16="http://schemas.microsoft.com/office/drawing/2014/main" id="{BE4C65C8-1045-48F9-A510-77B780CCFC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 name="Text Box 58">
          <a:extLst>
            <a:ext uri="{FF2B5EF4-FFF2-40B4-BE49-F238E27FC236}">
              <a16:creationId xmlns:a16="http://schemas.microsoft.com/office/drawing/2014/main" id="{DF81999E-3CE9-4524-9D86-725A73E1FD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 name="Text Box 59">
          <a:extLst>
            <a:ext uri="{FF2B5EF4-FFF2-40B4-BE49-F238E27FC236}">
              <a16:creationId xmlns:a16="http://schemas.microsoft.com/office/drawing/2014/main" id="{0E2577F6-BE85-41DA-B4D6-AC3ECABF71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 name="Text Box 60">
          <a:extLst>
            <a:ext uri="{FF2B5EF4-FFF2-40B4-BE49-F238E27FC236}">
              <a16:creationId xmlns:a16="http://schemas.microsoft.com/office/drawing/2014/main" id="{651DD177-FBF5-4348-A23F-FCFECD88CC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 name="Text Box 69">
          <a:extLst>
            <a:ext uri="{FF2B5EF4-FFF2-40B4-BE49-F238E27FC236}">
              <a16:creationId xmlns:a16="http://schemas.microsoft.com/office/drawing/2014/main" id="{2D26A8F2-87CB-4A1F-B1A2-E4D9E04B7F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 name="Text Box 70">
          <a:extLst>
            <a:ext uri="{FF2B5EF4-FFF2-40B4-BE49-F238E27FC236}">
              <a16:creationId xmlns:a16="http://schemas.microsoft.com/office/drawing/2014/main" id="{2CD7BC79-1782-4C90-BED8-77218A12D03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 name="Text Box 71">
          <a:extLst>
            <a:ext uri="{FF2B5EF4-FFF2-40B4-BE49-F238E27FC236}">
              <a16:creationId xmlns:a16="http://schemas.microsoft.com/office/drawing/2014/main" id="{A5AEC116-6BB2-4E32-B252-56D70E221F1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 name="Text Box 72">
          <a:extLst>
            <a:ext uri="{FF2B5EF4-FFF2-40B4-BE49-F238E27FC236}">
              <a16:creationId xmlns:a16="http://schemas.microsoft.com/office/drawing/2014/main" id="{B0274E9E-6579-4D16-8A07-4F87EE0E4AA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 name="Text Box 9">
          <a:extLst>
            <a:ext uri="{FF2B5EF4-FFF2-40B4-BE49-F238E27FC236}">
              <a16:creationId xmlns:a16="http://schemas.microsoft.com/office/drawing/2014/main" id="{9190BFE0-E8F7-4FC7-92FB-3C051035D79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 name="Text Box 10">
          <a:extLst>
            <a:ext uri="{FF2B5EF4-FFF2-40B4-BE49-F238E27FC236}">
              <a16:creationId xmlns:a16="http://schemas.microsoft.com/office/drawing/2014/main" id="{A6FC97E3-3DD4-468B-BD87-41A7F8A823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 name="Text Box 11">
          <a:extLst>
            <a:ext uri="{FF2B5EF4-FFF2-40B4-BE49-F238E27FC236}">
              <a16:creationId xmlns:a16="http://schemas.microsoft.com/office/drawing/2014/main" id="{61DF16FB-BEBA-4CCA-B5E3-D550794B10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 name="Text Box 12">
          <a:extLst>
            <a:ext uri="{FF2B5EF4-FFF2-40B4-BE49-F238E27FC236}">
              <a16:creationId xmlns:a16="http://schemas.microsoft.com/office/drawing/2014/main" id="{56BD3D93-F823-4B63-BF79-A02D53A33E9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 name="Text Box 21">
          <a:extLst>
            <a:ext uri="{FF2B5EF4-FFF2-40B4-BE49-F238E27FC236}">
              <a16:creationId xmlns:a16="http://schemas.microsoft.com/office/drawing/2014/main" id="{31EC8C55-ADC4-42BC-90F4-918E8C0E4C5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 name="Text Box 22">
          <a:extLst>
            <a:ext uri="{FF2B5EF4-FFF2-40B4-BE49-F238E27FC236}">
              <a16:creationId xmlns:a16="http://schemas.microsoft.com/office/drawing/2014/main" id="{9DE1AE5E-923B-4644-BE0F-069D8EA343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 name="Text Box 23">
          <a:extLst>
            <a:ext uri="{FF2B5EF4-FFF2-40B4-BE49-F238E27FC236}">
              <a16:creationId xmlns:a16="http://schemas.microsoft.com/office/drawing/2014/main" id="{AEB69565-DE3E-43F6-9CBD-092CB50853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 name="Text Box 24">
          <a:extLst>
            <a:ext uri="{FF2B5EF4-FFF2-40B4-BE49-F238E27FC236}">
              <a16:creationId xmlns:a16="http://schemas.microsoft.com/office/drawing/2014/main" id="{CE6AF9C4-C7BE-4514-8D4F-FD548DD6205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 name="Text Box 33">
          <a:extLst>
            <a:ext uri="{FF2B5EF4-FFF2-40B4-BE49-F238E27FC236}">
              <a16:creationId xmlns:a16="http://schemas.microsoft.com/office/drawing/2014/main" id="{DCCCCD86-E248-4797-BFE0-53D048129C5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 name="Text Box 34">
          <a:extLst>
            <a:ext uri="{FF2B5EF4-FFF2-40B4-BE49-F238E27FC236}">
              <a16:creationId xmlns:a16="http://schemas.microsoft.com/office/drawing/2014/main" id="{13F1FF52-1684-40DD-AA8E-B3A5211FF0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 name="Text Box 35">
          <a:extLst>
            <a:ext uri="{FF2B5EF4-FFF2-40B4-BE49-F238E27FC236}">
              <a16:creationId xmlns:a16="http://schemas.microsoft.com/office/drawing/2014/main" id="{7C93FEB4-3A22-4D9D-AE3C-35CF705647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 name="Text Box 36">
          <a:extLst>
            <a:ext uri="{FF2B5EF4-FFF2-40B4-BE49-F238E27FC236}">
              <a16:creationId xmlns:a16="http://schemas.microsoft.com/office/drawing/2014/main" id="{3853548A-1980-4580-B712-A20AD11F68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 name="Text Box 45">
          <a:extLst>
            <a:ext uri="{FF2B5EF4-FFF2-40B4-BE49-F238E27FC236}">
              <a16:creationId xmlns:a16="http://schemas.microsoft.com/office/drawing/2014/main" id="{5F446E29-6C27-4106-85D0-0025FB59F99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 name="Text Box 46">
          <a:extLst>
            <a:ext uri="{FF2B5EF4-FFF2-40B4-BE49-F238E27FC236}">
              <a16:creationId xmlns:a16="http://schemas.microsoft.com/office/drawing/2014/main" id="{65FB0B56-2E1B-4140-8A3A-11AC787886D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 name="Text Box 47">
          <a:extLst>
            <a:ext uri="{FF2B5EF4-FFF2-40B4-BE49-F238E27FC236}">
              <a16:creationId xmlns:a16="http://schemas.microsoft.com/office/drawing/2014/main" id="{F1C4817C-FAF0-407F-85B9-B31A791BFEE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 name="Text Box 48">
          <a:extLst>
            <a:ext uri="{FF2B5EF4-FFF2-40B4-BE49-F238E27FC236}">
              <a16:creationId xmlns:a16="http://schemas.microsoft.com/office/drawing/2014/main" id="{5556525D-5CB2-43A3-8429-7EAEF640F17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 name="Text Box 57">
          <a:extLst>
            <a:ext uri="{FF2B5EF4-FFF2-40B4-BE49-F238E27FC236}">
              <a16:creationId xmlns:a16="http://schemas.microsoft.com/office/drawing/2014/main" id="{74FF67B0-61F3-4CB6-813B-A85124A9666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 name="Text Box 58">
          <a:extLst>
            <a:ext uri="{FF2B5EF4-FFF2-40B4-BE49-F238E27FC236}">
              <a16:creationId xmlns:a16="http://schemas.microsoft.com/office/drawing/2014/main" id="{81AB0C5C-E163-47A0-B124-153FE0FB3E9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 name="Text Box 59">
          <a:extLst>
            <a:ext uri="{FF2B5EF4-FFF2-40B4-BE49-F238E27FC236}">
              <a16:creationId xmlns:a16="http://schemas.microsoft.com/office/drawing/2014/main" id="{68D17C49-57CB-4393-B40F-75A4ADE261F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 name="Text Box 60">
          <a:extLst>
            <a:ext uri="{FF2B5EF4-FFF2-40B4-BE49-F238E27FC236}">
              <a16:creationId xmlns:a16="http://schemas.microsoft.com/office/drawing/2014/main" id="{2BF0E746-C4BF-428F-9A71-3564B842D0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 name="Text Box 69">
          <a:extLst>
            <a:ext uri="{FF2B5EF4-FFF2-40B4-BE49-F238E27FC236}">
              <a16:creationId xmlns:a16="http://schemas.microsoft.com/office/drawing/2014/main" id="{5DCEE34C-6EE0-4D3E-80C9-944A5516E7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 name="Text Box 70">
          <a:extLst>
            <a:ext uri="{FF2B5EF4-FFF2-40B4-BE49-F238E27FC236}">
              <a16:creationId xmlns:a16="http://schemas.microsoft.com/office/drawing/2014/main" id="{2CF6A3D4-7661-4C0C-B40B-32B9BADDEF5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 name="Text Box 71">
          <a:extLst>
            <a:ext uri="{FF2B5EF4-FFF2-40B4-BE49-F238E27FC236}">
              <a16:creationId xmlns:a16="http://schemas.microsoft.com/office/drawing/2014/main" id="{43E4FE0F-314F-41FE-B570-E37A923D53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 name="Text Box 72">
          <a:extLst>
            <a:ext uri="{FF2B5EF4-FFF2-40B4-BE49-F238E27FC236}">
              <a16:creationId xmlns:a16="http://schemas.microsoft.com/office/drawing/2014/main" id="{D7F21C74-B94D-4870-9909-87ADB7AC3D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 name="Text Box 9">
          <a:extLst>
            <a:ext uri="{FF2B5EF4-FFF2-40B4-BE49-F238E27FC236}">
              <a16:creationId xmlns:a16="http://schemas.microsoft.com/office/drawing/2014/main" id="{56DB410F-1270-4F98-BF8B-8C38CBA3F0E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 name="Text Box 10">
          <a:extLst>
            <a:ext uri="{FF2B5EF4-FFF2-40B4-BE49-F238E27FC236}">
              <a16:creationId xmlns:a16="http://schemas.microsoft.com/office/drawing/2014/main" id="{E124B839-A25C-4D90-BE5C-4EE5CCF99FF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 name="Text Box 11">
          <a:extLst>
            <a:ext uri="{FF2B5EF4-FFF2-40B4-BE49-F238E27FC236}">
              <a16:creationId xmlns:a16="http://schemas.microsoft.com/office/drawing/2014/main" id="{6A7D39CF-1935-44F9-8B85-B276447717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 name="Text Box 12">
          <a:extLst>
            <a:ext uri="{FF2B5EF4-FFF2-40B4-BE49-F238E27FC236}">
              <a16:creationId xmlns:a16="http://schemas.microsoft.com/office/drawing/2014/main" id="{AE208A0A-1E0A-4C21-BACA-DB0C362CC3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 name="Text Box 21">
          <a:extLst>
            <a:ext uri="{FF2B5EF4-FFF2-40B4-BE49-F238E27FC236}">
              <a16:creationId xmlns:a16="http://schemas.microsoft.com/office/drawing/2014/main" id="{E84070A1-A0FA-4D86-B97B-7EE972BC45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 name="Text Box 22">
          <a:extLst>
            <a:ext uri="{FF2B5EF4-FFF2-40B4-BE49-F238E27FC236}">
              <a16:creationId xmlns:a16="http://schemas.microsoft.com/office/drawing/2014/main" id="{F3B00979-FDBF-4F16-83E4-F552ABBC30E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 name="Text Box 23">
          <a:extLst>
            <a:ext uri="{FF2B5EF4-FFF2-40B4-BE49-F238E27FC236}">
              <a16:creationId xmlns:a16="http://schemas.microsoft.com/office/drawing/2014/main" id="{B1A69CA2-C2D7-4B6A-B470-93BA213C99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 name="Text Box 24">
          <a:extLst>
            <a:ext uri="{FF2B5EF4-FFF2-40B4-BE49-F238E27FC236}">
              <a16:creationId xmlns:a16="http://schemas.microsoft.com/office/drawing/2014/main" id="{2C07298C-7316-4FB0-A6D6-87FED2BBDD5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 name="Text Box 33">
          <a:extLst>
            <a:ext uri="{FF2B5EF4-FFF2-40B4-BE49-F238E27FC236}">
              <a16:creationId xmlns:a16="http://schemas.microsoft.com/office/drawing/2014/main" id="{E0B2DDEC-0EB0-4E61-96D2-AFCB26DE5F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 name="Text Box 34">
          <a:extLst>
            <a:ext uri="{FF2B5EF4-FFF2-40B4-BE49-F238E27FC236}">
              <a16:creationId xmlns:a16="http://schemas.microsoft.com/office/drawing/2014/main" id="{8AC73CE3-457B-4BA8-93AE-8BCB1EFED7C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 name="Text Box 35">
          <a:extLst>
            <a:ext uri="{FF2B5EF4-FFF2-40B4-BE49-F238E27FC236}">
              <a16:creationId xmlns:a16="http://schemas.microsoft.com/office/drawing/2014/main" id="{634A3CF6-D887-47F2-92E8-3EA85AD36FC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 name="Text Box 36">
          <a:extLst>
            <a:ext uri="{FF2B5EF4-FFF2-40B4-BE49-F238E27FC236}">
              <a16:creationId xmlns:a16="http://schemas.microsoft.com/office/drawing/2014/main" id="{D8706ACB-F471-4FE5-A1C4-9263F06E07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 name="Text Box 45">
          <a:extLst>
            <a:ext uri="{FF2B5EF4-FFF2-40B4-BE49-F238E27FC236}">
              <a16:creationId xmlns:a16="http://schemas.microsoft.com/office/drawing/2014/main" id="{7C92AA29-C8FD-402E-8764-3FBCAD2F502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 name="Text Box 46">
          <a:extLst>
            <a:ext uri="{FF2B5EF4-FFF2-40B4-BE49-F238E27FC236}">
              <a16:creationId xmlns:a16="http://schemas.microsoft.com/office/drawing/2014/main" id="{0F2A8435-2F91-4EEA-9736-BD76937D67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 name="Text Box 47">
          <a:extLst>
            <a:ext uri="{FF2B5EF4-FFF2-40B4-BE49-F238E27FC236}">
              <a16:creationId xmlns:a16="http://schemas.microsoft.com/office/drawing/2014/main" id="{EAE86A64-8BC3-43C5-AA1F-37BC69C527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 name="Text Box 48">
          <a:extLst>
            <a:ext uri="{FF2B5EF4-FFF2-40B4-BE49-F238E27FC236}">
              <a16:creationId xmlns:a16="http://schemas.microsoft.com/office/drawing/2014/main" id="{E36D9314-E996-42E8-8DE2-F647508B37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 name="Text Box 57">
          <a:extLst>
            <a:ext uri="{FF2B5EF4-FFF2-40B4-BE49-F238E27FC236}">
              <a16:creationId xmlns:a16="http://schemas.microsoft.com/office/drawing/2014/main" id="{32BE7EB9-8D6D-4DFE-8A16-B06759411AC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 name="Text Box 58">
          <a:extLst>
            <a:ext uri="{FF2B5EF4-FFF2-40B4-BE49-F238E27FC236}">
              <a16:creationId xmlns:a16="http://schemas.microsoft.com/office/drawing/2014/main" id="{78472C1F-20C2-4BAC-8EDE-A338AA9A6F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 name="Text Box 59">
          <a:extLst>
            <a:ext uri="{FF2B5EF4-FFF2-40B4-BE49-F238E27FC236}">
              <a16:creationId xmlns:a16="http://schemas.microsoft.com/office/drawing/2014/main" id="{F651E504-0FDE-46FE-BB59-F92D7279D1D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 name="Text Box 60">
          <a:extLst>
            <a:ext uri="{FF2B5EF4-FFF2-40B4-BE49-F238E27FC236}">
              <a16:creationId xmlns:a16="http://schemas.microsoft.com/office/drawing/2014/main" id="{FA1EA226-533A-4B48-9005-4F91EA39FA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 name="Text Box 69">
          <a:extLst>
            <a:ext uri="{FF2B5EF4-FFF2-40B4-BE49-F238E27FC236}">
              <a16:creationId xmlns:a16="http://schemas.microsoft.com/office/drawing/2014/main" id="{4590E588-DBB6-40D4-9D52-BF19408269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 name="Text Box 70">
          <a:extLst>
            <a:ext uri="{FF2B5EF4-FFF2-40B4-BE49-F238E27FC236}">
              <a16:creationId xmlns:a16="http://schemas.microsoft.com/office/drawing/2014/main" id="{5B122F69-EA0E-4A5C-9521-914C694F86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4" name="Text Box 71">
          <a:extLst>
            <a:ext uri="{FF2B5EF4-FFF2-40B4-BE49-F238E27FC236}">
              <a16:creationId xmlns:a16="http://schemas.microsoft.com/office/drawing/2014/main" id="{44E2B313-3BCF-4FFA-8DC8-EEF74AA1F43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5" name="Text Box 72">
          <a:extLst>
            <a:ext uri="{FF2B5EF4-FFF2-40B4-BE49-F238E27FC236}">
              <a16:creationId xmlns:a16="http://schemas.microsoft.com/office/drawing/2014/main" id="{E99EE741-60C0-496F-B682-35D65065DA6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6" name="Text Box 9">
          <a:extLst>
            <a:ext uri="{FF2B5EF4-FFF2-40B4-BE49-F238E27FC236}">
              <a16:creationId xmlns:a16="http://schemas.microsoft.com/office/drawing/2014/main" id="{6F6C3356-534D-496D-BB98-96FE21605FE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7" name="Text Box 10">
          <a:extLst>
            <a:ext uri="{FF2B5EF4-FFF2-40B4-BE49-F238E27FC236}">
              <a16:creationId xmlns:a16="http://schemas.microsoft.com/office/drawing/2014/main" id="{9F4FC36D-89CB-4B19-AFF4-DDB8828C1E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8" name="Text Box 11">
          <a:extLst>
            <a:ext uri="{FF2B5EF4-FFF2-40B4-BE49-F238E27FC236}">
              <a16:creationId xmlns:a16="http://schemas.microsoft.com/office/drawing/2014/main" id="{9BF892E7-F5F0-4F53-9F91-1CE916B315C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9" name="Text Box 12">
          <a:extLst>
            <a:ext uri="{FF2B5EF4-FFF2-40B4-BE49-F238E27FC236}">
              <a16:creationId xmlns:a16="http://schemas.microsoft.com/office/drawing/2014/main" id="{879E650F-81AE-40F3-98FF-9840438FBBF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0" name="Text Box 21">
          <a:extLst>
            <a:ext uri="{FF2B5EF4-FFF2-40B4-BE49-F238E27FC236}">
              <a16:creationId xmlns:a16="http://schemas.microsoft.com/office/drawing/2014/main" id="{FF3EEC12-E414-4A90-834A-D3095DCAA6B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1" name="Text Box 22">
          <a:extLst>
            <a:ext uri="{FF2B5EF4-FFF2-40B4-BE49-F238E27FC236}">
              <a16:creationId xmlns:a16="http://schemas.microsoft.com/office/drawing/2014/main" id="{1E9B244F-A2F2-458C-B0D8-88E01B6A7F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2" name="Text Box 23">
          <a:extLst>
            <a:ext uri="{FF2B5EF4-FFF2-40B4-BE49-F238E27FC236}">
              <a16:creationId xmlns:a16="http://schemas.microsoft.com/office/drawing/2014/main" id="{6D3F3592-161A-438C-ACC9-23757903C8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3" name="Text Box 24">
          <a:extLst>
            <a:ext uri="{FF2B5EF4-FFF2-40B4-BE49-F238E27FC236}">
              <a16:creationId xmlns:a16="http://schemas.microsoft.com/office/drawing/2014/main" id="{96A0F4FB-A6B7-4449-B969-0E76F660922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4" name="Text Box 33">
          <a:extLst>
            <a:ext uri="{FF2B5EF4-FFF2-40B4-BE49-F238E27FC236}">
              <a16:creationId xmlns:a16="http://schemas.microsoft.com/office/drawing/2014/main" id="{5673D423-C268-4458-98D4-6B19045F08B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5" name="Text Box 34">
          <a:extLst>
            <a:ext uri="{FF2B5EF4-FFF2-40B4-BE49-F238E27FC236}">
              <a16:creationId xmlns:a16="http://schemas.microsoft.com/office/drawing/2014/main" id="{4007B74F-AECA-448C-B4C7-3EDD876E3B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6" name="Text Box 35">
          <a:extLst>
            <a:ext uri="{FF2B5EF4-FFF2-40B4-BE49-F238E27FC236}">
              <a16:creationId xmlns:a16="http://schemas.microsoft.com/office/drawing/2014/main" id="{1BDC23ED-55A1-43E6-844D-AC35006AC0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7" name="Text Box 36">
          <a:extLst>
            <a:ext uri="{FF2B5EF4-FFF2-40B4-BE49-F238E27FC236}">
              <a16:creationId xmlns:a16="http://schemas.microsoft.com/office/drawing/2014/main" id="{FC669E4B-00A6-44EB-B396-FE3E48EB243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8" name="Text Box 45">
          <a:extLst>
            <a:ext uri="{FF2B5EF4-FFF2-40B4-BE49-F238E27FC236}">
              <a16:creationId xmlns:a16="http://schemas.microsoft.com/office/drawing/2014/main" id="{3968FBD1-7A8F-4EDB-9F6E-8B2742CCF38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59" name="Text Box 46">
          <a:extLst>
            <a:ext uri="{FF2B5EF4-FFF2-40B4-BE49-F238E27FC236}">
              <a16:creationId xmlns:a16="http://schemas.microsoft.com/office/drawing/2014/main" id="{5837840C-BF67-4643-B8EF-0FF93202E2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0" name="Text Box 47">
          <a:extLst>
            <a:ext uri="{FF2B5EF4-FFF2-40B4-BE49-F238E27FC236}">
              <a16:creationId xmlns:a16="http://schemas.microsoft.com/office/drawing/2014/main" id="{D5FE8C9E-8F51-4163-AA10-F632D411C49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1" name="Text Box 48">
          <a:extLst>
            <a:ext uri="{FF2B5EF4-FFF2-40B4-BE49-F238E27FC236}">
              <a16:creationId xmlns:a16="http://schemas.microsoft.com/office/drawing/2014/main" id="{C1FC06C9-B919-4927-AFC4-EFCE48DB14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2" name="Text Box 57">
          <a:extLst>
            <a:ext uri="{FF2B5EF4-FFF2-40B4-BE49-F238E27FC236}">
              <a16:creationId xmlns:a16="http://schemas.microsoft.com/office/drawing/2014/main" id="{C052E75D-948C-4578-BC80-7E5A1A9203D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3" name="Text Box 58">
          <a:extLst>
            <a:ext uri="{FF2B5EF4-FFF2-40B4-BE49-F238E27FC236}">
              <a16:creationId xmlns:a16="http://schemas.microsoft.com/office/drawing/2014/main" id="{C9D9764F-C0A8-43FF-957F-112D2E305EE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4" name="Text Box 59">
          <a:extLst>
            <a:ext uri="{FF2B5EF4-FFF2-40B4-BE49-F238E27FC236}">
              <a16:creationId xmlns:a16="http://schemas.microsoft.com/office/drawing/2014/main" id="{727A4B5B-81AE-4437-8091-102D0198CB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5" name="Text Box 60">
          <a:extLst>
            <a:ext uri="{FF2B5EF4-FFF2-40B4-BE49-F238E27FC236}">
              <a16:creationId xmlns:a16="http://schemas.microsoft.com/office/drawing/2014/main" id="{DD4F0A10-FC91-40B2-9E0D-8B546FA875E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6" name="Text Box 69">
          <a:extLst>
            <a:ext uri="{FF2B5EF4-FFF2-40B4-BE49-F238E27FC236}">
              <a16:creationId xmlns:a16="http://schemas.microsoft.com/office/drawing/2014/main" id="{FABA5307-BC54-4FD9-AC2F-0496FBBFFAE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7" name="Text Box 70">
          <a:extLst>
            <a:ext uri="{FF2B5EF4-FFF2-40B4-BE49-F238E27FC236}">
              <a16:creationId xmlns:a16="http://schemas.microsoft.com/office/drawing/2014/main" id="{E77DEFFC-CC43-4D1E-8774-38AA2BACDE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8" name="Text Box 71">
          <a:extLst>
            <a:ext uri="{FF2B5EF4-FFF2-40B4-BE49-F238E27FC236}">
              <a16:creationId xmlns:a16="http://schemas.microsoft.com/office/drawing/2014/main" id="{CFD061C1-9B0D-4AFB-85CC-15459E0D7DB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69" name="Text Box 72">
          <a:extLst>
            <a:ext uri="{FF2B5EF4-FFF2-40B4-BE49-F238E27FC236}">
              <a16:creationId xmlns:a16="http://schemas.microsoft.com/office/drawing/2014/main" id="{8B22555C-4E56-4DEC-A405-59C4C7DD87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0" name="Text Box 9">
          <a:extLst>
            <a:ext uri="{FF2B5EF4-FFF2-40B4-BE49-F238E27FC236}">
              <a16:creationId xmlns:a16="http://schemas.microsoft.com/office/drawing/2014/main" id="{580125F4-F064-4FC0-BEAB-C01940547C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1" name="Text Box 10">
          <a:extLst>
            <a:ext uri="{FF2B5EF4-FFF2-40B4-BE49-F238E27FC236}">
              <a16:creationId xmlns:a16="http://schemas.microsoft.com/office/drawing/2014/main" id="{38ADAE39-C1A4-4C7C-BEE1-ACAAE4392E1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2" name="Text Box 11">
          <a:extLst>
            <a:ext uri="{FF2B5EF4-FFF2-40B4-BE49-F238E27FC236}">
              <a16:creationId xmlns:a16="http://schemas.microsoft.com/office/drawing/2014/main" id="{56F66662-E3A6-43E7-9E7A-15EE0A8FBB9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3" name="Text Box 12">
          <a:extLst>
            <a:ext uri="{FF2B5EF4-FFF2-40B4-BE49-F238E27FC236}">
              <a16:creationId xmlns:a16="http://schemas.microsoft.com/office/drawing/2014/main" id="{7BCBDA21-5FD3-4DC5-BE10-164790B6CE6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4" name="Text Box 21">
          <a:extLst>
            <a:ext uri="{FF2B5EF4-FFF2-40B4-BE49-F238E27FC236}">
              <a16:creationId xmlns:a16="http://schemas.microsoft.com/office/drawing/2014/main" id="{B3B97BCD-B24E-418E-A4CE-5B35878A7AB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5" name="Text Box 22">
          <a:extLst>
            <a:ext uri="{FF2B5EF4-FFF2-40B4-BE49-F238E27FC236}">
              <a16:creationId xmlns:a16="http://schemas.microsoft.com/office/drawing/2014/main" id="{4A731D84-648C-43B2-AB8B-614E666F1E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6" name="Text Box 23">
          <a:extLst>
            <a:ext uri="{FF2B5EF4-FFF2-40B4-BE49-F238E27FC236}">
              <a16:creationId xmlns:a16="http://schemas.microsoft.com/office/drawing/2014/main" id="{7063B209-17E5-459B-94A8-EA2233A40C2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7" name="Text Box 24">
          <a:extLst>
            <a:ext uri="{FF2B5EF4-FFF2-40B4-BE49-F238E27FC236}">
              <a16:creationId xmlns:a16="http://schemas.microsoft.com/office/drawing/2014/main" id="{544993BD-0EF4-49D3-BA56-C052EECE9A8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8" name="Text Box 33">
          <a:extLst>
            <a:ext uri="{FF2B5EF4-FFF2-40B4-BE49-F238E27FC236}">
              <a16:creationId xmlns:a16="http://schemas.microsoft.com/office/drawing/2014/main" id="{168FB8D6-2984-40B1-8DB2-C005BF8A90A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79" name="Text Box 34">
          <a:extLst>
            <a:ext uri="{FF2B5EF4-FFF2-40B4-BE49-F238E27FC236}">
              <a16:creationId xmlns:a16="http://schemas.microsoft.com/office/drawing/2014/main" id="{18F69564-AD7D-484A-9776-36F13F1F579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0" name="Text Box 35">
          <a:extLst>
            <a:ext uri="{FF2B5EF4-FFF2-40B4-BE49-F238E27FC236}">
              <a16:creationId xmlns:a16="http://schemas.microsoft.com/office/drawing/2014/main" id="{EDF58FD5-68B1-4953-AF3D-44B08297B32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1" name="Text Box 36">
          <a:extLst>
            <a:ext uri="{FF2B5EF4-FFF2-40B4-BE49-F238E27FC236}">
              <a16:creationId xmlns:a16="http://schemas.microsoft.com/office/drawing/2014/main" id="{B8AD67D9-E13A-4E32-9471-458209C3621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2" name="Text Box 45">
          <a:extLst>
            <a:ext uri="{FF2B5EF4-FFF2-40B4-BE49-F238E27FC236}">
              <a16:creationId xmlns:a16="http://schemas.microsoft.com/office/drawing/2014/main" id="{2A840BC5-41F3-4862-9D43-008DD45A7F3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3" name="Text Box 46">
          <a:extLst>
            <a:ext uri="{FF2B5EF4-FFF2-40B4-BE49-F238E27FC236}">
              <a16:creationId xmlns:a16="http://schemas.microsoft.com/office/drawing/2014/main" id="{44F3713F-4529-4D8A-A41D-E209B128975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4" name="Text Box 47">
          <a:extLst>
            <a:ext uri="{FF2B5EF4-FFF2-40B4-BE49-F238E27FC236}">
              <a16:creationId xmlns:a16="http://schemas.microsoft.com/office/drawing/2014/main" id="{00079395-2693-4C1E-9CB3-AA1CC656DB3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5" name="Text Box 48">
          <a:extLst>
            <a:ext uri="{FF2B5EF4-FFF2-40B4-BE49-F238E27FC236}">
              <a16:creationId xmlns:a16="http://schemas.microsoft.com/office/drawing/2014/main" id="{12D00CB4-88D6-4B4F-98F2-1940B009DD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6" name="Text Box 57">
          <a:extLst>
            <a:ext uri="{FF2B5EF4-FFF2-40B4-BE49-F238E27FC236}">
              <a16:creationId xmlns:a16="http://schemas.microsoft.com/office/drawing/2014/main" id="{7C104A58-9037-4209-A567-E064C6DB82C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7" name="Text Box 58">
          <a:extLst>
            <a:ext uri="{FF2B5EF4-FFF2-40B4-BE49-F238E27FC236}">
              <a16:creationId xmlns:a16="http://schemas.microsoft.com/office/drawing/2014/main" id="{21332DA7-5E44-4D18-AD4B-474A2F09A3C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8" name="Text Box 59">
          <a:extLst>
            <a:ext uri="{FF2B5EF4-FFF2-40B4-BE49-F238E27FC236}">
              <a16:creationId xmlns:a16="http://schemas.microsoft.com/office/drawing/2014/main" id="{51AF5072-3D58-491B-9C75-D5C5E1A13C6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89" name="Text Box 60">
          <a:extLst>
            <a:ext uri="{FF2B5EF4-FFF2-40B4-BE49-F238E27FC236}">
              <a16:creationId xmlns:a16="http://schemas.microsoft.com/office/drawing/2014/main" id="{5654265F-24A3-4445-B189-66B8FE1CE57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0" name="Text Box 69">
          <a:extLst>
            <a:ext uri="{FF2B5EF4-FFF2-40B4-BE49-F238E27FC236}">
              <a16:creationId xmlns:a16="http://schemas.microsoft.com/office/drawing/2014/main" id="{C54E9477-ED2E-4F94-A3F0-25D880249D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1" name="Text Box 70">
          <a:extLst>
            <a:ext uri="{FF2B5EF4-FFF2-40B4-BE49-F238E27FC236}">
              <a16:creationId xmlns:a16="http://schemas.microsoft.com/office/drawing/2014/main" id="{7265E682-9113-4996-93EC-498E87F091A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2" name="Text Box 71">
          <a:extLst>
            <a:ext uri="{FF2B5EF4-FFF2-40B4-BE49-F238E27FC236}">
              <a16:creationId xmlns:a16="http://schemas.microsoft.com/office/drawing/2014/main" id="{140212B7-4DA7-4B3D-9CA2-74DECE072A3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3" name="Text Box 72">
          <a:extLst>
            <a:ext uri="{FF2B5EF4-FFF2-40B4-BE49-F238E27FC236}">
              <a16:creationId xmlns:a16="http://schemas.microsoft.com/office/drawing/2014/main" id="{7FF396B2-40CD-4B53-9325-5D05717D16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4" name="Text Box 9">
          <a:extLst>
            <a:ext uri="{FF2B5EF4-FFF2-40B4-BE49-F238E27FC236}">
              <a16:creationId xmlns:a16="http://schemas.microsoft.com/office/drawing/2014/main" id="{48F44991-6279-494E-8E36-7F5EEE05925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5" name="Text Box 10">
          <a:extLst>
            <a:ext uri="{FF2B5EF4-FFF2-40B4-BE49-F238E27FC236}">
              <a16:creationId xmlns:a16="http://schemas.microsoft.com/office/drawing/2014/main" id="{A5ECB0D8-EC0B-4147-B95F-B11531BE75E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6" name="Text Box 11">
          <a:extLst>
            <a:ext uri="{FF2B5EF4-FFF2-40B4-BE49-F238E27FC236}">
              <a16:creationId xmlns:a16="http://schemas.microsoft.com/office/drawing/2014/main" id="{64FB15C8-056B-470C-B471-85E18AD970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7" name="Text Box 12">
          <a:extLst>
            <a:ext uri="{FF2B5EF4-FFF2-40B4-BE49-F238E27FC236}">
              <a16:creationId xmlns:a16="http://schemas.microsoft.com/office/drawing/2014/main" id="{5E50EA75-02E1-425C-87C5-B15731D5D2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8" name="Text Box 21">
          <a:extLst>
            <a:ext uri="{FF2B5EF4-FFF2-40B4-BE49-F238E27FC236}">
              <a16:creationId xmlns:a16="http://schemas.microsoft.com/office/drawing/2014/main" id="{657D3346-496C-4B1A-B545-61A50835E2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99" name="Text Box 22">
          <a:extLst>
            <a:ext uri="{FF2B5EF4-FFF2-40B4-BE49-F238E27FC236}">
              <a16:creationId xmlns:a16="http://schemas.microsoft.com/office/drawing/2014/main" id="{64BBA06E-ADF6-4BF7-9637-460E61C2C86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0" name="Text Box 23">
          <a:extLst>
            <a:ext uri="{FF2B5EF4-FFF2-40B4-BE49-F238E27FC236}">
              <a16:creationId xmlns:a16="http://schemas.microsoft.com/office/drawing/2014/main" id="{0B9C0D9F-8768-4841-A420-757A049023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1" name="Text Box 24">
          <a:extLst>
            <a:ext uri="{FF2B5EF4-FFF2-40B4-BE49-F238E27FC236}">
              <a16:creationId xmlns:a16="http://schemas.microsoft.com/office/drawing/2014/main" id="{D9784AD3-6740-462B-80ED-8445BD3743C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2" name="Text Box 33">
          <a:extLst>
            <a:ext uri="{FF2B5EF4-FFF2-40B4-BE49-F238E27FC236}">
              <a16:creationId xmlns:a16="http://schemas.microsoft.com/office/drawing/2014/main" id="{83DE5766-9D37-45A5-8B0B-9841AEC1B5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3" name="Text Box 34">
          <a:extLst>
            <a:ext uri="{FF2B5EF4-FFF2-40B4-BE49-F238E27FC236}">
              <a16:creationId xmlns:a16="http://schemas.microsoft.com/office/drawing/2014/main" id="{ED46EDBD-7AA3-489E-889B-962A5A6A12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4" name="Text Box 35">
          <a:extLst>
            <a:ext uri="{FF2B5EF4-FFF2-40B4-BE49-F238E27FC236}">
              <a16:creationId xmlns:a16="http://schemas.microsoft.com/office/drawing/2014/main" id="{8D80F142-D2CE-4D77-BFE0-6F48D68ABA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5" name="Text Box 36">
          <a:extLst>
            <a:ext uri="{FF2B5EF4-FFF2-40B4-BE49-F238E27FC236}">
              <a16:creationId xmlns:a16="http://schemas.microsoft.com/office/drawing/2014/main" id="{8EDA9C81-582F-4E75-8282-F9158CA8D2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6" name="Text Box 45">
          <a:extLst>
            <a:ext uri="{FF2B5EF4-FFF2-40B4-BE49-F238E27FC236}">
              <a16:creationId xmlns:a16="http://schemas.microsoft.com/office/drawing/2014/main" id="{78B85CF6-F964-4D24-9114-F9992C69D80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7" name="Text Box 46">
          <a:extLst>
            <a:ext uri="{FF2B5EF4-FFF2-40B4-BE49-F238E27FC236}">
              <a16:creationId xmlns:a16="http://schemas.microsoft.com/office/drawing/2014/main" id="{F4E8A649-2C88-49B4-AFC1-FBD6ACD055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8" name="Text Box 47">
          <a:extLst>
            <a:ext uri="{FF2B5EF4-FFF2-40B4-BE49-F238E27FC236}">
              <a16:creationId xmlns:a16="http://schemas.microsoft.com/office/drawing/2014/main" id="{62CD3917-5770-441E-8A88-63BEAB5E1F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09" name="Text Box 48">
          <a:extLst>
            <a:ext uri="{FF2B5EF4-FFF2-40B4-BE49-F238E27FC236}">
              <a16:creationId xmlns:a16="http://schemas.microsoft.com/office/drawing/2014/main" id="{F9F6ED68-2CCD-4634-80BC-B359D9665C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0" name="Text Box 57">
          <a:extLst>
            <a:ext uri="{FF2B5EF4-FFF2-40B4-BE49-F238E27FC236}">
              <a16:creationId xmlns:a16="http://schemas.microsoft.com/office/drawing/2014/main" id="{82C8F16B-16BC-4656-B808-1D237BE88B7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1" name="Text Box 58">
          <a:extLst>
            <a:ext uri="{FF2B5EF4-FFF2-40B4-BE49-F238E27FC236}">
              <a16:creationId xmlns:a16="http://schemas.microsoft.com/office/drawing/2014/main" id="{E12DEA9C-FB07-418A-B777-47302D48E7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2" name="Text Box 59">
          <a:extLst>
            <a:ext uri="{FF2B5EF4-FFF2-40B4-BE49-F238E27FC236}">
              <a16:creationId xmlns:a16="http://schemas.microsoft.com/office/drawing/2014/main" id="{8C80B23E-3518-4F6B-A51C-3007775894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3" name="Text Box 60">
          <a:extLst>
            <a:ext uri="{FF2B5EF4-FFF2-40B4-BE49-F238E27FC236}">
              <a16:creationId xmlns:a16="http://schemas.microsoft.com/office/drawing/2014/main" id="{8C35CD56-45B9-40B6-BDA9-1AE2048B807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4" name="Text Box 69">
          <a:extLst>
            <a:ext uri="{FF2B5EF4-FFF2-40B4-BE49-F238E27FC236}">
              <a16:creationId xmlns:a16="http://schemas.microsoft.com/office/drawing/2014/main" id="{619A77EA-89AC-439E-97C7-7ABFE0299B2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5" name="Text Box 70">
          <a:extLst>
            <a:ext uri="{FF2B5EF4-FFF2-40B4-BE49-F238E27FC236}">
              <a16:creationId xmlns:a16="http://schemas.microsoft.com/office/drawing/2014/main" id="{E206F6FC-5087-427F-811D-840D86B750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6" name="Text Box 71">
          <a:extLst>
            <a:ext uri="{FF2B5EF4-FFF2-40B4-BE49-F238E27FC236}">
              <a16:creationId xmlns:a16="http://schemas.microsoft.com/office/drawing/2014/main" id="{9C8D4744-7EB4-4C39-8D79-5EBA47C94F2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7" name="Text Box 72">
          <a:extLst>
            <a:ext uri="{FF2B5EF4-FFF2-40B4-BE49-F238E27FC236}">
              <a16:creationId xmlns:a16="http://schemas.microsoft.com/office/drawing/2014/main" id="{DDBB2E4B-3549-477D-9E2E-FF61A1C7291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8" name="Text Box 9">
          <a:extLst>
            <a:ext uri="{FF2B5EF4-FFF2-40B4-BE49-F238E27FC236}">
              <a16:creationId xmlns:a16="http://schemas.microsoft.com/office/drawing/2014/main" id="{2C35828F-833C-4DBD-A1DC-E4306408D7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19" name="Text Box 10">
          <a:extLst>
            <a:ext uri="{FF2B5EF4-FFF2-40B4-BE49-F238E27FC236}">
              <a16:creationId xmlns:a16="http://schemas.microsoft.com/office/drawing/2014/main" id="{450F7307-FE9A-4A14-BE28-27BED6E7F7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0" name="Text Box 11">
          <a:extLst>
            <a:ext uri="{FF2B5EF4-FFF2-40B4-BE49-F238E27FC236}">
              <a16:creationId xmlns:a16="http://schemas.microsoft.com/office/drawing/2014/main" id="{7608E335-A030-4B61-9A7E-1867EE7F50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1" name="Text Box 12">
          <a:extLst>
            <a:ext uri="{FF2B5EF4-FFF2-40B4-BE49-F238E27FC236}">
              <a16:creationId xmlns:a16="http://schemas.microsoft.com/office/drawing/2014/main" id="{B114557F-AE6A-49DE-9462-3467128CD3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2" name="Text Box 21">
          <a:extLst>
            <a:ext uri="{FF2B5EF4-FFF2-40B4-BE49-F238E27FC236}">
              <a16:creationId xmlns:a16="http://schemas.microsoft.com/office/drawing/2014/main" id="{56399D9F-D6D2-4896-AC5F-D13C061C45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3" name="Text Box 22">
          <a:extLst>
            <a:ext uri="{FF2B5EF4-FFF2-40B4-BE49-F238E27FC236}">
              <a16:creationId xmlns:a16="http://schemas.microsoft.com/office/drawing/2014/main" id="{A3AF7FE0-89F0-43FF-84E5-4FF20720CB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4" name="Text Box 23">
          <a:extLst>
            <a:ext uri="{FF2B5EF4-FFF2-40B4-BE49-F238E27FC236}">
              <a16:creationId xmlns:a16="http://schemas.microsoft.com/office/drawing/2014/main" id="{711B1196-096D-412F-8814-330845F6022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5" name="Text Box 24">
          <a:extLst>
            <a:ext uri="{FF2B5EF4-FFF2-40B4-BE49-F238E27FC236}">
              <a16:creationId xmlns:a16="http://schemas.microsoft.com/office/drawing/2014/main" id="{E650591A-08E6-4646-85B6-D8B86865F2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6" name="Text Box 33">
          <a:extLst>
            <a:ext uri="{FF2B5EF4-FFF2-40B4-BE49-F238E27FC236}">
              <a16:creationId xmlns:a16="http://schemas.microsoft.com/office/drawing/2014/main" id="{80548854-B701-41A9-AE65-653B4152830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7" name="Text Box 34">
          <a:extLst>
            <a:ext uri="{FF2B5EF4-FFF2-40B4-BE49-F238E27FC236}">
              <a16:creationId xmlns:a16="http://schemas.microsoft.com/office/drawing/2014/main" id="{5D6C4A24-0784-4D2C-B55C-68D07FCB6A9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8" name="Text Box 35">
          <a:extLst>
            <a:ext uri="{FF2B5EF4-FFF2-40B4-BE49-F238E27FC236}">
              <a16:creationId xmlns:a16="http://schemas.microsoft.com/office/drawing/2014/main" id="{D0BC3B87-C461-44FD-883A-CC42967390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29" name="Text Box 36">
          <a:extLst>
            <a:ext uri="{FF2B5EF4-FFF2-40B4-BE49-F238E27FC236}">
              <a16:creationId xmlns:a16="http://schemas.microsoft.com/office/drawing/2014/main" id="{DAF72CCE-1A01-43E4-91DA-7108585C18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0" name="Text Box 45">
          <a:extLst>
            <a:ext uri="{FF2B5EF4-FFF2-40B4-BE49-F238E27FC236}">
              <a16:creationId xmlns:a16="http://schemas.microsoft.com/office/drawing/2014/main" id="{641EEF36-D80F-4D8E-928F-FCC19DCAAD0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1" name="Text Box 46">
          <a:extLst>
            <a:ext uri="{FF2B5EF4-FFF2-40B4-BE49-F238E27FC236}">
              <a16:creationId xmlns:a16="http://schemas.microsoft.com/office/drawing/2014/main" id="{507F9327-7A40-49DD-A2D7-D2504490E1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2" name="Text Box 47">
          <a:extLst>
            <a:ext uri="{FF2B5EF4-FFF2-40B4-BE49-F238E27FC236}">
              <a16:creationId xmlns:a16="http://schemas.microsoft.com/office/drawing/2014/main" id="{34DFE229-F25A-449C-9F52-EB4ECDD1B96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3" name="Text Box 48">
          <a:extLst>
            <a:ext uri="{FF2B5EF4-FFF2-40B4-BE49-F238E27FC236}">
              <a16:creationId xmlns:a16="http://schemas.microsoft.com/office/drawing/2014/main" id="{1FD6EC65-74A6-4492-BDB7-3C073B3F053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4" name="Text Box 57">
          <a:extLst>
            <a:ext uri="{FF2B5EF4-FFF2-40B4-BE49-F238E27FC236}">
              <a16:creationId xmlns:a16="http://schemas.microsoft.com/office/drawing/2014/main" id="{299F03A6-DFA0-4D9E-B02B-C7D494F332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5" name="Text Box 58">
          <a:extLst>
            <a:ext uri="{FF2B5EF4-FFF2-40B4-BE49-F238E27FC236}">
              <a16:creationId xmlns:a16="http://schemas.microsoft.com/office/drawing/2014/main" id="{52E04B59-5D01-40F6-A6CB-A959D5A645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6" name="Text Box 59">
          <a:extLst>
            <a:ext uri="{FF2B5EF4-FFF2-40B4-BE49-F238E27FC236}">
              <a16:creationId xmlns:a16="http://schemas.microsoft.com/office/drawing/2014/main" id="{67B028B7-B25A-46E8-BD73-5D10A3CE1F5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7" name="Text Box 60">
          <a:extLst>
            <a:ext uri="{FF2B5EF4-FFF2-40B4-BE49-F238E27FC236}">
              <a16:creationId xmlns:a16="http://schemas.microsoft.com/office/drawing/2014/main" id="{BEA178B5-C55B-4A5C-85C2-9C7D01440A2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8" name="Text Box 69">
          <a:extLst>
            <a:ext uri="{FF2B5EF4-FFF2-40B4-BE49-F238E27FC236}">
              <a16:creationId xmlns:a16="http://schemas.microsoft.com/office/drawing/2014/main" id="{60992D5B-4E46-4740-81DF-9EFD7275D0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39" name="Text Box 70">
          <a:extLst>
            <a:ext uri="{FF2B5EF4-FFF2-40B4-BE49-F238E27FC236}">
              <a16:creationId xmlns:a16="http://schemas.microsoft.com/office/drawing/2014/main" id="{D1A7341D-9FE2-4346-AE3C-F3C8CFD78A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0" name="Text Box 71">
          <a:extLst>
            <a:ext uri="{FF2B5EF4-FFF2-40B4-BE49-F238E27FC236}">
              <a16:creationId xmlns:a16="http://schemas.microsoft.com/office/drawing/2014/main" id="{967A8B2F-D53A-4E62-B185-8281776D9E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1" name="Text Box 72">
          <a:extLst>
            <a:ext uri="{FF2B5EF4-FFF2-40B4-BE49-F238E27FC236}">
              <a16:creationId xmlns:a16="http://schemas.microsoft.com/office/drawing/2014/main" id="{5199FC23-8855-4665-BBA3-9510987C66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2" name="Text Box 9">
          <a:extLst>
            <a:ext uri="{FF2B5EF4-FFF2-40B4-BE49-F238E27FC236}">
              <a16:creationId xmlns:a16="http://schemas.microsoft.com/office/drawing/2014/main" id="{51430121-9CC9-4448-9E5B-1535F0ECCB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3" name="Text Box 10">
          <a:extLst>
            <a:ext uri="{FF2B5EF4-FFF2-40B4-BE49-F238E27FC236}">
              <a16:creationId xmlns:a16="http://schemas.microsoft.com/office/drawing/2014/main" id="{A3946932-19BA-46BE-82E9-820633D367A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4" name="Text Box 11">
          <a:extLst>
            <a:ext uri="{FF2B5EF4-FFF2-40B4-BE49-F238E27FC236}">
              <a16:creationId xmlns:a16="http://schemas.microsoft.com/office/drawing/2014/main" id="{21EF2E23-136C-4C96-9B33-4C71689CAB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5" name="Text Box 12">
          <a:extLst>
            <a:ext uri="{FF2B5EF4-FFF2-40B4-BE49-F238E27FC236}">
              <a16:creationId xmlns:a16="http://schemas.microsoft.com/office/drawing/2014/main" id="{12BE8710-9E9A-4555-A869-4617A2EB6B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6" name="Text Box 21">
          <a:extLst>
            <a:ext uri="{FF2B5EF4-FFF2-40B4-BE49-F238E27FC236}">
              <a16:creationId xmlns:a16="http://schemas.microsoft.com/office/drawing/2014/main" id="{99A10CEE-3035-449B-B558-46BED7793F7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7" name="Text Box 22">
          <a:extLst>
            <a:ext uri="{FF2B5EF4-FFF2-40B4-BE49-F238E27FC236}">
              <a16:creationId xmlns:a16="http://schemas.microsoft.com/office/drawing/2014/main" id="{261F051A-8B8E-4D23-A9D2-B2C4B68D1C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8" name="Text Box 23">
          <a:extLst>
            <a:ext uri="{FF2B5EF4-FFF2-40B4-BE49-F238E27FC236}">
              <a16:creationId xmlns:a16="http://schemas.microsoft.com/office/drawing/2014/main" id="{ADA468CB-4EF9-4770-8241-EFFC369AA7F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49" name="Text Box 24">
          <a:extLst>
            <a:ext uri="{FF2B5EF4-FFF2-40B4-BE49-F238E27FC236}">
              <a16:creationId xmlns:a16="http://schemas.microsoft.com/office/drawing/2014/main" id="{9CFB70C8-B93D-47AE-B743-73E8D8B655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0" name="Text Box 33">
          <a:extLst>
            <a:ext uri="{FF2B5EF4-FFF2-40B4-BE49-F238E27FC236}">
              <a16:creationId xmlns:a16="http://schemas.microsoft.com/office/drawing/2014/main" id="{12C58159-DAD5-4AB0-AE2D-D330E49A731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1" name="Text Box 34">
          <a:extLst>
            <a:ext uri="{FF2B5EF4-FFF2-40B4-BE49-F238E27FC236}">
              <a16:creationId xmlns:a16="http://schemas.microsoft.com/office/drawing/2014/main" id="{E41BD982-3B68-4C6C-ADD4-EEB37A0F79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2" name="Text Box 35">
          <a:extLst>
            <a:ext uri="{FF2B5EF4-FFF2-40B4-BE49-F238E27FC236}">
              <a16:creationId xmlns:a16="http://schemas.microsoft.com/office/drawing/2014/main" id="{2B49C315-B9D1-49E0-BB42-4CC20B36170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3" name="Text Box 36">
          <a:extLst>
            <a:ext uri="{FF2B5EF4-FFF2-40B4-BE49-F238E27FC236}">
              <a16:creationId xmlns:a16="http://schemas.microsoft.com/office/drawing/2014/main" id="{76A85328-595D-402A-99D7-3CDBA9A49C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4" name="Text Box 45">
          <a:extLst>
            <a:ext uri="{FF2B5EF4-FFF2-40B4-BE49-F238E27FC236}">
              <a16:creationId xmlns:a16="http://schemas.microsoft.com/office/drawing/2014/main" id="{548AE647-A94B-4B83-8868-08603CA1084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5" name="Text Box 46">
          <a:extLst>
            <a:ext uri="{FF2B5EF4-FFF2-40B4-BE49-F238E27FC236}">
              <a16:creationId xmlns:a16="http://schemas.microsoft.com/office/drawing/2014/main" id="{D905F432-CDCB-4C7E-B3A6-002270D0EF5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6" name="Text Box 47">
          <a:extLst>
            <a:ext uri="{FF2B5EF4-FFF2-40B4-BE49-F238E27FC236}">
              <a16:creationId xmlns:a16="http://schemas.microsoft.com/office/drawing/2014/main" id="{F4051657-328C-4E76-9BE5-D1B411E208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7" name="Text Box 48">
          <a:extLst>
            <a:ext uri="{FF2B5EF4-FFF2-40B4-BE49-F238E27FC236}">
              <a16:creationId xmlns:a16="http://schemas.microsoft.com/office/drawing/2014/main" id="{472143CA-880F-415D-8BE9-AFDD163F5CE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8" name="Text Box 57">
          <a:extLst>
            <a:ext uri="{FF2B5EF4-FFF2-40B4-BE49-F238E27FC236}">
              <a16:creationId xmlns:a16="http://schemas.microsoft.com/office/drawing/2014/main" id="{2F1DEEAD-249A-42E0-941C-E2285A86AB6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59" name="Text Box 58">
          <a:extLst>
            <a:ext uri="{FF2B5EF4-FFF2-40B4-BE49-F238E27FC236}">
              <a16:creationId xmlns:a16="http://schemas.microsoft.com/office/drawing/2014/main" id="{EAF659D6-F835-442C-99B7-B4127A05706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0" name="Text Box 59">
          <a:extLst>
            <a:ext uri="{FF2B5EF4-FFF2-40B4-BE49-F238E27FC236}">
              <a16:creationId xmlns:a16="http://schemas.microsoft.com/office/drawing/2014/main" id="{3B38B17E-FDCA-44BC-BE5A-E0F87FCF5E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1" name="Text Box 60">
          <a:extLst>
            <a:ext uri="{FF2B5EF4-FFF2-40B4-BE49-F238E27FC236}">
              <a16:creationId xmlns:a16="http://schemas.microsoft.com/office/drawing/2014/main" id="{E4937FF4-42FD-4F34-837E-3FBB47140B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2" name="Text Box 69">
          <a:extLst>
            <a:ext uri="{FF2B5EF4-FFF2-40B4-BE49-F238E27FC236}">
              <a16:creationId xmlns:a16="http://schemas.microsoft.com/office/drawing/2014/main" id="{9B98E439-E79A-4B17-8287-58687363CE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3" name="Text Box 70">
          <a:extLst>
            <a:ext uri="{FF2B5EF4-FFF2-40B4-BE49-F238E27FC236}">
              <a16:creationId xmlns:a16="http://schemas.microsoft.com/office/drawing/2014/main" id="{BB18AE2D-E598-4AAF-B1F2-052E5AB4B23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4" name="Text Box 71">
          <a:extLst>
            <a:ext uri="{FF2B5EF4-FFF2-40B4-BE49-F238E27FC236}">
              <a16:creationId xmlns:a16="http://schemas.microsoft.com/office/drawing/2014/main" id="{B92A1207-21DE-43F3-B558-219C7BF441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5" name="Text Box 72">
          <a:extLst>
            <a:ext uri="{FF2B5EF4-FFF2-40B4-BE49-F238E27FC236}">
              <a16:creationId xmlns:a16="http://schemas.microsoft.com/office/drawing/2014/main" id="{83934C00-C3A6-4C8A-B923-ED72137BC6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6" name="Text Box 9">
          <a:extLst>
            <a:ext uri="{FF2B5EF4-FFF2-40B4-BE49-F238E27FC236}">
              <a16:creationId xmlns:a16="http://schemas.microsoft.com/office/drawing/2014/main" id="{0736B263-D7C6-4A8E-BD88-4D456685BE8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7" name="Text Box 10">
          <a:extLst>
            <a:ext uri="{FF2B5EF4-FFF2-40B4-BE49-F238E27FC236}">
              <a16:creationId xmlns:a16="http://schemas.microsoft.com/office/drawing/2014/main" id="{00AC1E9B-500A-4D1D-B32E-D367CA2CB4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8" name="Text Box 11">
          <a:extLst>
            <a:ext uri="{FF2B5EF4-FFF2-40B4-BE49-F238E27FC236}">
              <a16:creationId xmlns:a16="http://schemas.microsoft.com/office/drawing/2014/main" id="{22BAE9B1-FF6C-4D09-A7A9-315E5B55B1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69" name="Text Box 12">
          <a:extLst>
            <a:ext uri="{FF2B5EF4-FFF2-40B4-BE49-F238E27FC236}">
              <a16:creationId xmlns:a16="http://schemas.microsoft.com/office/drawing/2014/main" id="{495CFFD3-FF84-49E2-99F6-470B9905F49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0" name="Text Box 21">
          <a:extLst>
            <a:ext uri="{FF2B5EF4-FFF2-40B4-BE49-F238E27FC236}">
              <a16:creationId xmlns:a16="http://schemas.microsoft.com/office/drawing/2014/main" id="{DFCF78A2-AF18-44B2-A7BE-FBE11B7CBF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1" name="Text Box 22">
          <a:extLst>
            <a:ext uri="{FF2B5EF4-FFF2-40B4-BE49-F238E27FC236}">
              <a16:creationId xmlns:a16="http://schemas.microsoft.com/office/drawing/2014/main" id="{C057D168-B2AC-413F-AE31-BE4BCCBDCFA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2" name="Text Box 23">
          <a:extLst>
            <a:ext uri="{FF2B5EF4-FFF2-40B4-BE49-F238E27FC236}">
              <a16:creationId xmlns:a16="http://schemas.microsoft.com/office/drawing/2014/main" id="{863E51BD-59B4-4F14-ABB0-406C9B4E25E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3" name="Text Box 24">
          <a:extLst>
            <a:ext uri="{FF2B5EF4-FFF2-40B4-BE49-F238E27FC236}">
              <a16:creationId xmlns:a16="http://schemas.microsoft.com/office/drawing/2014/main" id="{F41F6D36-4026-4D94-B579-D17B2F52C3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4" name="Text Box 33">
          <a:extLst>
            <a:ext uri="{FF2B5EF4-FFF2-40B4-BE49-F238E27FC236}">
              <a16:creationId xmlns:a16="http://schemas.microsoft.com/office/drawing/2014/main" id="{D41447DA-A780-41F3-BB6A-60F774540E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5" name="Text Box 34">
          <a:extLst>
            <a:ext uri="{FF2B5EF4-FFF2-40B4-BE49-F238E27FC236}">
              <a16:creationId xmlns:a16="http://schemas.microsoft.com/office/drawing/2014/main" id="{D9EB9109-BAD5-4A0E-8C35-55BCD3EA197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6" name="Text Box 35">
          <a:extLst>
            <a:ext uri="{FF2B5EF4-FFF2-40B4-BE49-F238E27FC236}">
              <a16:creationId xmlns:a16="http://schemas.microsoft.com/office/drawing/2014/main" id="{6431E3EA-F717-4078-B1D8-CEB3363BFAA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7" name="Text Box 36">
          <a:extLst>
            <a:ext uri="{FF2B5EF4-FFF2-40B4-BE49-F238E27FC236}">
              <a16:creationId xmlns:a16="http://schemas.microsoft.com/office/drawing/2014/main" id="{95F2A230-57D0-4395-BC28-F983B74E542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8" name="Text Box 45">
          <a:extLst>
            <a:ext uri="{FF2B5EF4-FFF2-40B4-BE49-F238E27FC236}">
              <a16:creationId xmlns:a16="http://schemas.microsoft.com/office/drawing/2014/main" id="{BB08015D-77A0-4268-BE45-D52F3392B8A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79" name="Text Box 46">
          <a:extLst>
            <a:ext uri="{FF2B5EF4-FFF2-40B4-BE49-F238E27FC236}">
              <a16:creationId xmlns:a16="http://schemas.microsoft.com/office/drawing/2014/main" id="{80AB903E-CB03-42EA-8AAF-68B0A184EC3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0" name="Text Box 47">
          <a:extLst>
            <a:ext uri="{FF2B5EF4-FFF2-40B4-BE49-F238E27FC236}">
              <a16:creationId xmlns:a16="http://schemas.microsoft.com/office/drawing/2014/main" id="{943D651D-AF22-4333-9AAD-26D03CFF77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1" name="Text Box 48">
          <a:extLst>
            <a:ext uri="{FF2B5EF4-FFF2-40B4-BE49-F238E27FC236}">
              <a16:creationId xmlns:a16="http://schemas.microsoft.com/office/drawing/2014/main" id="{083033FA-E5FB-45CE-80AE-E04D635DDB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2" name="Text Box 57">
          <a:extLst>
            <a:ext uri="{FF2B5EF4-FFF2-40B4-BE49-F238E27FC236}">
              <a16:creationId xmlns:a16="http://schemas.microsoft.com/office/drawing/2014/main" id="{CD1ED4C0-DF48-4814-AE84-5010A324F85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3" name="Text Box 58">
          <a:extLst>
            <a:ext uri="{FF2B5EF4-FFF2-40B4-BE49-F238E27FC236}">
              <a16:creationId xmlns:a16="http://schemas.microsoft.com/office/drawing/2014/main" id="{BA948271-E66E-423B-99BC-8673276A6A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4" name="Text Box 59">
          <a:extLst>
            <a:ext uri="{FF2B5EF4-FFF2-40B4-BE49-F238E27FC236}">
              <a16:creationId xmlns:a16="http://schemas.microsoft.com/office/drawing/2014/main" id="{B3BBDC0A-B17A-44F2-9A2D-6BAF1711B51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5" name="Text Box 60">
          <a:extLst>
            <a:ext uri="{FF2B5EF4-FFF2-40B4-BE49-F238E27FC236}">
              <a16:creationId xmlns:a16="http://schemas.microsoft.com/office/drawing/2014/main" id="{2B9F3D38-8850-4C5F-ADC2-581116EC47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6" name="Text Box 69">
          <a:extLst>
            <a:ext uri="{FF2B5EF4-FFF2-40B4-BE49-F238E27FC236}">
              <a16:creationId xmlns:a16="http://schemas.microsoft.com/office/drawing/2014/main" id="{91814847-1C85-4C35-A652-61560AFA8D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7" name="Text Box 70">
          <a:extLst>
            <a:ext uri="{FF2B5EF4-FFF2-40B4-BE49-F238E27FC236}">
              <a16:creationId xmlns:a16="http://schemas.microsoft.com/office/drawing/2014/main" id="{DB085906-9923-4191-A8A7-5E9C0CC6588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8" name="Text Box 71">
          <a:extLst>
            <a:ext uri="{FF2B5EF4-FFF2-40B4-BE49-F238E27FC236}">
              <a16:creationId xmlns:a16="http://schemas.microsoft.com/office/drawing/2014/main" id="{2B7F75A2-95E6-424C-B696-FB2AB72CACA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89" name="Text Box 72">
          <a:extLst>
            <a:ext uri="{FF2B5EF4-FFF2-40B4-BE49-F238E27FC236}">
              <a16:creationId xmlns:a16="http://schemas.microsoft.com/office/drawing/2014/main" id="{FD00AF3F-0181-49EE-9BA2-4CFBF0F6DE6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0" name="Text Box 9">
          <a:extLst>
            <a:ext uri="{FF2B5EF4-FFF2-40B4-BE49-F238E27FC236}">
              <a16:creationId xmlns:a16="http://schemas.microsoft.com/office/drawing/2014/main" id="{46B4B37A-F7F3-4F69-9E9A-FC75E00C4A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1" name="Text Box 10">
          <a:extLst>
            <a:ext uri="{FF2B5EF4-FFF2-40B4-BE49-F238E27FC236}">
              <a16:creationId xmlns:a16="http://schemas.microsoft.com/office/drawing/2014/main" id="{ECFF64E6-A819-4D94-A614-E49250D1D0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2" name="Text Box 11">
          <a:extLst>
            <a:ext uri="{FF2B5EF4-FFF2-40B4-BE49-F238E27FC236}">
              <a16:creationId xmlns:a16="http://schemas.microsoft.com/office/drawing/2014/main" id="{746DF4D3-E271-4DA2-99EE-261DCDDDDF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3" name="Text Box 12">
          <a:extLst>
            <a:ext uri="{FF2B5EF4-FFF2-40B4-BE49-F238E27FC236}">
              <a16:creationId xmlns:a16="http://schemas.microsoft.com/office/drawing/2014/main" id="{BCCCB4EB-ABB5-4B6E-9CF4-CCDC2F9A848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4" name="Text Box 21">
          <a:extLst>
            <a:ext uri="{FF2B5EF4-FFF2-40B4-BE49-F238E27FC236}">
              <a16:creationId xmlns:a16="http://schemas.microsoft.com/office/drawing/2014/main" id="{2836B209-3438-4F73-8CC5-5C94C9C26DD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5" name="Text Box 22">
          <a:extLst>
            <a:ext uri="{FF2B5EF4-FFF2-40B4-BE49-F238E27FC236}">
              <a16:creationId xmlns:a16="http://schemas.microsoft.com/office/drawing/2014/main" id="{BCCFA0F3-9E3D-4E7C-8E75-C997CAFB6DD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6" name="Text Box 23">
          <a:extLst>
            <a:ext uri="{FF2B5EF4-FFF2-40B4-BE49-F238E27FC236}">
              <a16:creationId xmlns:a16="http://schemas.microsoft.com/office/drawing/2014/main" id="{F2497ED7-FFDB-42A5-80BB-E3695FFBC24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7" name="Text Box 24">
          <a:extLst>
            <a:ext uri="{FF2B5EF4-FFF2-40B4-BE49-F238E27FC236}">
              <a16:creationId xmlns:a16="http://schemas.microsoft.com/office/drawing/2014/main" id="{815C4663-551D-4521-A981-BCCAC46376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8" name="Text Box 33">
          <a:extLst>
            <a:ext uri="{FF2B5EF4-FFF2-40B4-BE49-F238E27FC236}">
              <a16:creationId xmlns:a16="http://schemas.microsoft.com/office/drawing/2014/main" id="{841CC3AA-9433-4919-9E02-8D238CF30F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299" name="Text Box 34">
          <a:extLst>
            <a:ext uri="{FF2B5EF4-FFF2-40B4-BE49-F238E27FC236}">
              <a16:creationId xmlns:a16="http://schemas.microsoft.com/office/drawing/2014/main" id="{D00FA88C-FF85-40F0-BCD2-F4FBD38366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0" name="Text Box 35">
          <a:extLst>
            <a:ext uri="{FF2B5EF4-FFF2-40B4-BE49-F238E27FC236}">
              <a16:creationId xmlns:a16="http://schemas.microsoft.com/office/drawing/2014/main" id="{36BC1B09-9D2C-485C-9B76-5CABDADF11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1" name="Text Box 36">
          <a:extLst>
            <a:ext uri="{FF2B5EF4-FFF2-40B4-BE49-F238E27FC236}">
              <a16:creationId xmlns:a16="http://schemas.microsoft.com/office/drawing/2014/main" id="{4C661C21-F0FA-4E1E-B3C0-EBFB61689B4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2" name="Text Box 45">
          <a:extLst>
            <a:ext uri="{FF2B5EF4-FFF2-40B4-BE49-F238E27FC236}">
              <a16:creationId xmlns:a16="http://schemas.microsoft.com/office/drawing/2014/main" id="{095FAC76-507D-4A42-A70A-C548CBE1F6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3" name="Text Box 46">
          <a:extLst>
            <a:ext uri="{FF2B5EF4-FFF2-40B4-BE49-F238E27FC236}">
              <a16:creationId xmlns:a16="http://schemas.microsoft.com/office/drawing/2014/main" id="{E84D15DF-DDEF-4014-886C-A5E4CEB62BC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4" name="Text Box 47">
          <a:extLst>
            <a:ext uri="{FF2B5EF4-FFF2-40B4-BE49-F238E27FC236}">
              <a16:creationId xmlns:a16="http://schemas.microsoft.com/office/drawing/2014/main" id="{38DE26D2-3E0A-4CAB-A3B8-7F0E0D3A29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5" name="Text Box 48">
          <a:extLst>
            <a:ext uri="{FF2B5EF4-FFF2-40B4-BE49-F238E27FC236}">
              <a16:creationId xmlns:a16="http://schemas.microsoft.com/office/drawing/2014/main" id="{8F096546-8160-45D5-97AF-A076762F80A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6" name="Text Box 57">
          <a:extLst>
            <a:ext uri="{FF2B5EF4-FFF2-40B4-BE49-F238E27FC236}">
              <a16:creationId xmlns:a16="http://schemas.microsoft.com/office/drawing/2014/main" id="{551B4B6C-44C9-402B-92FB-95A522880B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7" name="Text Box 58">
          <a:extLst>
            <a:ext uri="{FF2B5EF4-FFF2-40B4-BE49-F238E27FC236}">
              <a16:creationId xmlns:a16="http://schemas.microsoft.com/office/drawing/2014/main" id="{3429FF8F-27C5-4968-926E-598CC6A8299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8" name="Text Box 59">
          <a:extLst>
            <a:ext uri="{FF2B5EF4-FFF2-40B4-BE49-F238E27FC236}">
              <a16:creationId xmlns:a16="http://schemas.microsoft.com/office/drawing/2014/main" id="{0A383A3B-19E9-4484-975C-1016E7962CA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09" name="Text Box 60">
          <a:extLst>
            <a:ext uri="{FF2B5EF4-FFF2-40B4-BE49-F238E27FC236}">
              <a16:creationId xmlns:a16="http://schemas.microsoft.com/office/drawing/2014/main" id="{7D8003B9-785A-4679-AE66-DDE74C88C6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0" name="Text Box 69">
          <a:extLst>
            <a:ext uri="{FF2B5EF4-FFF2-40B4-BE49-F238E27FC236}">
              <a16:creationId xmlns:a16="http://schemas.microsoft.com/office/drawing/2014/main" id="{DFF4FF6B-85A4-44F8-8FA7-E33EC2B3093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1" name="Text Box 70">
          <a:extLst>
            <a:ext uri="{FF2B5EF4-FFF2-40B4-BE49-F238E27FC236}">
              <a16:creationId xmlns:a16="http://schemas.microsoft.com/office/drawing/2014/main" id="{DC33577C-A256-4ABD-A6B9-1B962F6C87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2" name="Text Box 71">
          <a:extLst>
            <a:ext uri="{FF2B5EF4-FFF2-40B4-BE49-F238E27FC236}">
              <a16:creationId xmlns:a16="http://schemas.microsoft.com/office/drawing/2014/main" id="{E188140C-4811-4339-8C66-F634F8DECA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3" name="Text Box 72">
          <a:extLst>
            <a:ext uri="{FF2B5EF4-FFF2-40B4-BE49-F238E27FC236}">
              <a16:creationId xmlns:a16="http://schemas.microsoft.com/office/drawing/2014/main" id="{4D8FE9AE-38A5-4554-944D-156A23C15C6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4" name="Text Box 9">
          <a:extLst>
            <a:ext uri="{FF2B5EF4-FFF2-40B4-BE49-F238E27FC236}">
              <a16:creationId xmlns:a16="http://schemas.microsoft.com/office/drawing/2014/main" id="{79C5EA2B-FBCA-472B-93E5-E229883C561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5" name="Text Box 10">
          <a:extLst>
            <a:ext uri="{FF2B5EF4-FFF2-40B4-BE49-F238E27FC236}">
              <a16:creationId xmlns:a16="http://schemas.microsoft.com/office/drawing/2014/main" id="{8BF721A3-2CBB-4D8E-A018-F607025721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6" name="Text Box 11">
          <a:extLst>
            <a:ext uri="{FF2B5EF4-FFF2-40B4-BE49-F238E27FC236}">
              <a16:creationId xmlns:a16="http://schemas.microsoft.com/office/drawing/2014/main" id="{7C58E815-126B-4CE9-908F-F6A8D0A3BB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7" name="Text Box 12">
          <a:extLst>
            <a:ext uri="{FF2B5EF4-FFF2-40B4-BE49-F238E27FC236}">
              <a16:creationId xmlns:a16="http://schemas.microsoft.com/office/drawing/2014/main" id="{23339568-A895-4A59-AED7-E53FA73877F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8" name="Text Box 21">
          <a:extLst>
            <a:ext uri="{FF2B5EF4-FFF2-40B4-BE49-F238E27FC236}">
              <a16:creationId xmlns:a16="http://schemas.microsoft.com/office/drawing/2014/main" id="{E794E3A6-2765-4F13-A80A-3EBB6E68176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19" name="Text Box 22">
          <a:extLst>
            <a:ext uri="{FF2B5EF4-FFF2-40B4-BE49-F238E27FC236}">
              <a16:creationId xmlns:a16="http://schemas.microsoft.com/office/drawing/2014/main" id="{6F58D9CC-201A-492B-8874-3153EC5D262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0" name="Text Box 23">
          <a:extLst>
            <a:ext uri="{FF2B5EF4-FFF2-40B4-BE49-F238E27FC236}">
              <a16:creationId xmlns:a16="http://schemas.microsoft.com/office/drawing/2014/main" id="{A0D95E13-B2DD-4B23-BD7C-13294BA0B68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1" name="Text Box 24">
          <a:extLst>
            <a:ext uri="{FF2B5EF4-FFF2-40B4-BE49-F238E27FC236}">
              <a16:creationId xmlns:a16="http://schemas.microsoft.com/office/drawing/2014/main" id="{E9F71029-1B87-4FD2-A25E-D64BE332740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2" name="Text Box 33">
          <a:extLst>
            <a:ext uri="{FF2B5EF4-FFF2-40B4-BE49-F238E27FC236}">
              <a16:creationId xmlns:a16="http://schemas.microsoft.com/office/drawing/2014/main" id="{BDE14339-BAF1-4548-B269-9EE91D2833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3" name="Text Box 34">
          <a:extLst>
            <a:ext uri="{FF2B5EF4-FFF2-40B4-BE49-F238E27FC236}">
              <a16:creationId xmlns:a16="http://schemas.microsoft.com/office/drawing/2014/main" id="{9A5AEBAB-1388-4DD3-88AC-9C7F750274C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4" name="Text Box 35">
          <a:extLst>
            <a:ext uri="{FF2B5EF4-FFF2-40B4-BE49-F238E27FC236}">
              <a16:creationId xmlns:a16="http://schemas.microsoft.com/office/drawing/2014/main" id="{0D575DDE-CC30-4024-BFB4-4B6B78F27FE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5" name="Text Box 36">
          <a:extLst>
            <a:ext uri="{FF2B5EF4-FFF2-40B4-BE49-F238E27FC236}">
              <a16:creationId xmlns:a16="http://schemas.microsoft.com/office/drawing/2014/main" id="{5BC5D00B-57AE-4C53-82A7-796E4ACFF6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6" name="Text Box 45">
          <a:extLst>
            <a:ext uri="{FF2B5EF4-FFF2-40B4-BE49-F238E27FC236}">
              <a16:creationId xmlns:a16="http://schemas.microsoft.com/office/drawing/2014/main" id="{B7EB0832-4031-4EAB-849E-90C6D3B3AF6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7" name="Text Box 46">
          <a:extLst>
            <a:ext uri="{FF2B5EF4-FFF2-40B4-BE49-F238E27FC236}">
              <a16:creationId xmlns:a16="http://schemas.microsoft.com/office/drawing/2014/main" id="{1017C581-083A-4D3A-ADF4-C306F3A3664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8" name="Text Box 47">
          <a:extLst>
            <a:ext uri="{FF2B5EF4-FFF2-40B4-BE49-F238E27FC236}">
              <a16:creationId xmlns:a16="http://schemas.microsoft.com/office/drawing/2014/main" id="{DE23B7E7-9564-4E06-9B76-96E1B7999C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29" name="Text Box 48">
          <a:extLst>
            <a:ext uri="{FF2B5EF4-FFF2-40B4-BE49-F238E27FC236}">
              <a16:creationId xmlns:a16="http://schemas.microsoft.com/office/drawing/2014/main" id="{A22548C8-544F-4B2C-AB0D-847FBC785B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0" name="Text Box 57">
          <a:extLst>
            <a:ext uri="{FF2B5EF4-FFF2-40B4-BE49-F238E27FC236}">
              <a16:creationId xmlns:a16="http://schemas.microsoft.com/office/drawing/2014/main" id="{2E081E9C-E2E6-4CD6-8DDB-985383D7E9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1" name="Text Box 58">
          <a:extLst>
            <a:ext uri="{FF2B5EF4-FFF2-40B4-BE49-F238E27FC236}">
              <a16:creationId xmlns:a16="http://schemas.microsoft.com/office/drawing/2014/main" id="{2FFD6D81-51F0-4407-860C-97C9B70F26D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2" name="Text Box 59">
          <a:extLst>
            <a:ext uri="{FF2B5EF4-FFF2-40B4-BE49-F238E27FC236}">
              <a16:creationId xmlns:a16="http://schemas.microsoft.com/office/drawing/2014/main" id="{9A476EA1-252F-484D-A3B4-2BCD65E88D5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3" name="Text Box 60">
          <a:extLst>
            <a:ext uri="{FF2B5EF4-FFF2-40B4-BE49-F238E27FC236}">
              <a16:creationId xmlns:a16="http://schemas.microsoft.com/office/drawing/2014/main" id="{81BC5F4F-9431-4C58-8CBA-04FDBA9ED52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4" name="Text Box 69">
          <a:extLst>
            <a:ext uri="{FF2B5EF4-FFF2-40B4-BE49-F238E27FC236}">
              <a16:creationId xmlns:a16="http://schemas.microsoft.com/office/drawing/2014/main" id="{CA57E121-7DE5-461C-A62C-55C363E48E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5" name="Text Box 70">
          <a:extLst>
            <a:ext uri="{FF2B5EF4-FFF2-40B4-BE49-F238E27FC236}">
              <a16:creationId xmlns:a16="http://schemas.microsoft.com/office/drawing/2014/main" id="{51DF3B54-5BB2-440D-B3D3-4C5C7A6A8A6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6" name="Text Box 71">
          <a:extLst>
            <a:ext uri="{FF2B5EF4-FFF2-40B4-BE49-F238E27FC236}">
              <a16:creationId xmlns:a16="http://schemas.microsoft.com/office/drawing/2014/main" id="{11E475F9-00F5-4B48-9649-C89FC22C5F8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7" name="Text Box 72">
          <a:extLst>
            <a:ext uri="{FF2B5EF4-FFF2-40B4-BE49-F238E27FC236}">
              <a16:creationId xmlns:a16="http://schemas.microsoft.com/office/drawing/2014/main" id="{A5431446-C60D-4FE8-B2EB-30051FBFC1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8" name="Text Box 9">
          <a:extLst>
            <a:ext uri="{FF2B5EF4-FFF2-40B4-BE49-F238E27FC236}">
              <a16:creationId xmlns:a16="http://schemas.microsoft.com/office/drawing/2014/main" id="{85B8E62B-D8CD-4259-A30F-B93755E34D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39" name="Text Box 10">
          <a:extLst>
            <a:ext uri="{FF2B5EF4-FFF2-40B4-BE49-F238E27FC236}">
              <a16:creationId xmlns:a16="http://schemas.microsoft.com/office/drawing/2014/main" id="{02851E56-84F3-4FC5-91AF-D67D119B323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0" name="Text Box 11">
          <a:extLst>
            <a:ext uri="{FF2B5EF4-FFF2-40B4-BE49-F238E27FC236}">
              <a16:creationId xmlns:a16="http://schemas.microsoft.com/office/drawing/2014/main" id="{E9A83BFA-3976-418D-A200-FD3E4B929B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1" name="Text Box 12">
          <a:extLst>
            <a:ext uri="{FF2B5EF4-FFF2-40B4-BE49-F238E27FC236}">
              <a16:creationId xmlns:a16="http://schemas.microsoft.com/office/drawing/2014/main" id="{5BBBE7E7-1B93-4F18-AEDF-18812D74851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2" name="Text Box 21">
          <a:extLst>
            <a:ext uri="{FF2B5EF4-FFF2-40B4-BE49-F238E27FC236}">
              <a16:creationId xmlns:a16="http://schemas.microsoft.com/office/drawing/2014/main" id="{162DAC37-3C4A-4BCB-8D3B-9955F6419EA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3" name="Text Box 22">
          <a:extLst>
            <a:ext uri="{FF2B5EF4-FFF2-40B4-BE49-F238E27FC236}">
              <a16:creationId xmlns:a16="http://schemas.microsoft.com/office/drawing/2014/main" id="{F635FF0C-5FA8-4727-B7B2-E4BD4A13E58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4" name="Text Box 23">
          <a:extLst>
            <a:ext uri="{FF2B5EF4-FFF2-40B4-BE49-F238E27FC236}">
              <a16:creationId xmlns:a16="http://schemas.microsoft.com/office/drawing/2014/main" id="{202667F5-5323-4E99-9BAB-F694680157C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5" name="Text Box 24">
          <a:extLst>
            <a:ext uri="{FF2B5EF4-FFF2-40B4-BE49-F238E27FC236}">
              <a16:creationId xmlns:a16="http://schemas.microsoft.com/office/drawing/2014/main" id="{2B2E8B30-0C7B-47A0-B4C1-9C4211DB17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6" name="Text Box 33">
          <a:extLst>
            <a:ext uri="{FF2B5EF4-FFF2-40B4-BE49-F238E27FC236}">
              <a16:creationId xmlns:a16="http://schemas.microsoft.com/office/drawing/2014/main" id="{1E177ACD-EF24-4611-AE15-B5B72756A2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7" name="Text Box 34">
          <a:extLst>
            <a:ext uri="{FF2B5EF4-FFF2-40B4-BE49-F238E27FC236}">
              <a16:creationId xmlns:a16="http://schemas.microsoft.com/office/drawing/2014/main" id="{A0B4A513-1423-4298-A846-D8F2ED4929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8" name="Text Box 35">
          <a:extLst>
            <a:ext uri="{FF2B5EF4-FFF2-40B4-BE49-F238E27FC236}">
              <a16:creationId xmlns:a16="http://schemas.microsoft.com/office/drawing/2014/main" id="{F7FAA16E-F186-4E7B-87AF-179712C6D67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49" name="Text Box 36">
          <a:extLst>
            <a:ext uri="{FF2B5EF4-FFF2-40B4-BE49-F238E27FC236}">
              <a16:creationId xmlns:a16="http://schemas.microsoft.com/office/drawing/2014/main" id="{0E13F788-6FDE-4E45-88F9-DC1D08C4623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0" name="Text Box 45">
          <a:extLst>
            <a:ext uri="{FF2B5EF4-FFF2-40B4-BE49-F238E27FC236}">
              <a16:creationId xmlns:a16="http://schemas.microsoft.com/office/drawing/2014/main" id="{AFD32FDA-DF9F-4876-9F48-7D4A3ACEA62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1" name="Text Box 46">
          <a:extLst>
            <a:ext uri="{FF2B5EF4-FFF2-40B4-BE49-F238E27FC236}">
              <a16:creationId xmlns:a16="http://schemas.microsoft.com/office/drawing/2014/main" id="{4702259B-369C-4957-804C-95644CBC5CD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2" name="Text Box 47">
          <a:extLst>
            <a:ext uri="{FF2B5EF4-FFF2-40B4-BE49-F238E27FC236}">
              <a16:creationId xmlns:a16="http://schemas.microsoft.com/office/drawing/2014/main" id="{DAA59D94-0DB6-429A-ABA2-04A6D78B3EF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3" name="Text Box 48">
          <a:extLst>
            <a:ext uri="{FF2B5EF4-FFF2-40B4-BE49-F238E27FC236}">
              <a16:creationId xmlns:a16="http://schemas.microsoft.com/office/drawing/2014/main" id="{4CA0356C-823C-44B0-ACE3-7DE57D3FCE8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4" name="Text Box 57">
          <a:extLst>
            <a:ext uri="{FF2B5EF4-FFF2-40B4-BE49-F238E27FC236}">
              <a16:creationId xmlns:a16="http://schemas.microsoft.com/office/drawing/2014/main" id="{9010EF7E-AF58-4F43-92C7-E5BA7E1E0D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5" name="Text Box 58">
          <a:extLst>
            <a:ext uri="{FF2B5EF4-FFF2-40B4-BE49-F238E27FC236}">
              <a16:creationId xmlns:a16="http://schemas.microsoft.com/office/drawing/2014/main" id="{FCAEDEBD-984B-428E-9E9F-E576BC568C8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6" name="Text Box 59">
          <a:extLst>
            <a:ext uri="{FF2B5EF4-FFF2-40B4-BE49-F238E27FC236}">
              <a16:creationId xmlns:a16="http://schemas.microsoft.com/office/drawing/2014/main" id="{C6EBCAAC-DF81-4F3A-B4DA-011D00F850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7" name="Text Box 60">
          <a:extLst>
            <a:ext uri="{FF2B5EF4-FFF2-40B4-BE49-F238E27FC236}">
              <a16:creationId xmlns:a16="http://schemas.microsoft.com/office/drawing/2014/main" id="{7578A120-36F3-493F-A3B2-9A33306516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8" name="Text Box 69">
          <a:extLst>
            <a:ext uri="{FF2B5EF4-FFF2-40B4-BE49-F238E27FC236}">
              <a16:creationId xmlns:a16="http://schemas.microsoft.com/office/drawing/2014/main" id="{549AAE58-A7E2-4AE6-8190-391FD2273E6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59" name="Text Box 70">
          <a:extLst>
            <a:ext uri="{FF2B5EF4-FFF2-40B4-BE49-F238E27FC236}">
              <a16:creationId xmlns:a16="http://schemas.microsoft.com/office/drawing/2014/main" id="{ED8BE04F-C24B-4E17-B47C-A51CAEDCBE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0" name="Text Box 71">
          <a:extLst>
            <a:ext uri="{FF2B5EF4-FFF2-40B4-BE49-F238E27FC236}">
              <a16:creationId xmlns:a16="http://schemas.microsoft.com/office/drawing/2014/main" id="{AC19C207-E4BA-4FE4-A976-40AB5318E1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1" name="Text Box 72">
          <a:extLst>
            <a:ext uri="{FF2B5EF4-FFF2-40B4-BE49-F238E27FC236}">
              <a16:creationId xmlns:a16="http://schemas.microsoft.com/office/drawing/2014/main" id="{0E3CEA8D-2CAD-47A6-ABBA-83A6CC3628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2" name="Text Box 9">
          <a:extLst>
            <a:ext uri="{FF2B5EF4-FFF2-40B4-BE49-F238E27FC236}">
              <a16:creationId xmlns:a16="http://schemas.microsoft.com/office/drawing/2014/main" id="{67D7C4E0-20C6-4F82-A0BB-C96BDF7A1E1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3" name="Text Box 10">
          <a:extLst>
            <a:ext uri="{FF2B5EF4-FFF2-40B4-BE49-F238E27FC236}">
              <a16:creationId xmlns:a16="http://schemas.microsoft.com/office/drawing/2014/main" id="{E732AFCA-E2B8-4776-96D9-85D1164D60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4" name="Text Box 11">
          <a:extLst>
            <a:ext uri="{FF2B5EF4-FFF2-40B4-BE49-F238E27FC236}">
              <a16:creationId xmlns:a16="http://schemas.microsoft.com/office/drawing/2014/main" id="{49C34581-2A2B-4B55-9C4E-60508DB6473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5" name="Text Box 12">
          <a:extLst>
            <a:ext uri="{FF2B5EF4-FFF2-40B4-BE49-F238E27FC236}">
              <a16:creationId xmlns:a16="http://schemas.microsoft.com/office/drawing/2014/main" id="{FA91B6E5-DE57-420B-B311-5F0F297027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6" name="Text Box 21">
          <a:extLst>
            <a:ext uri="{FF2B5EF4-FFF2-40B4-BE49-F238E27FC236}">
              <a16:creationId xmlns:a16="http://schemas.microsoft.com/office/drawing/2014/main" id="{4DF26311-D1E4-4713-9696-41EAD05EE9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7" name="Text Box 22">
          <a:extLst>
            <a:ext uri="{FF2B5EF4-FFF2-40B4-BE49-F238E27FC236}">
              <a16:creationId xmlns:a16="http://schemas.microsoft.com/office/drawing/2014/main" id="{BDF43CF6-3287-4D06-9D6A-FBD82CC584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8" name="Text Box 23">
          <a:extLst>
            <a:ext uri="{FF2B5EF4-FFF2-40B4-BE49-F238E27FC236}">
              <a16:creationId xmlns:a16="http://schemas.microsoft.com/office/drawing/2014/main" id="{76EE2B83-CB6A-470D-A2DA-FCD9A23D34B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69" name="Text Box 24">
          <a:extLst>
            <a:ext uri="{FF2B5EF4-FFF2-40B4-BE49-F238E27FC236}">
              <a16:creationId xmlns:a16="http://schemas.microsoft.com/office/drawing/2014/main" id="{2E5E0266-CD2A-425A-823A-EDC1B2A4A8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0" name="Text Box 33">
          <a:extLst>
            <a:ext uri="{FF2B5EF4-FFF2-40B4-BE49-F238E27FC236}">
              <a16:creationId xmlns:a16="http://schemas.microsoft.com/office/drawing/2014/main" id="{C315F570-46B0-4AAE-A4C8-DDABB7DA09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1" name="Text Box 34">
          <a:extLst>
            <a:ext uri="{FF2B5EF4-FFF2-40B4-BE49-F238E27FC236}">
              <a16:creationId xmlns:a16="http://schemas.microsoft.com/office/drawing/2014/main" id="{B5E641CD-294B-43A3-94F1-99A4B635E1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2" name="Text Box 35">
          <a:extLst>
            <a:ext uri="{FF2B5EF4-FFF2-40B4-BE49-F238E27FC236}">
              <a16:creationId xmlns:a16="http://schemas.microsoft.com/office/drawing/2014/main" id="{1F92B6E9-10A4-4739-92CC-B18B349E70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3" name="Text Box 36">
          <a:extLst>
            <a:ext uri="{FF2B5EF4-FFF2-40B4-BE49-F238E27FC236}">
              <a16:creationId xmlns:a16="http://schemas.microsoft.com/office/drawing/2014/main" id="{F7F0D697-CCE9-4979-A570-2EE3859EA47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4" name="Text Box 45">
          <a:extLst>
            <a:ext uri="{FF2B5EF4-FFF2-40B4-BE49-F238E27FC236}">
              <a16:creationId xmlns:a16="http://schemas.microsoft.com/office/drawing/2014/main" id="{506A511D-E49E-4742-893C-2D45B0FFDB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5" name="Text Box 46">
          <a:extLst>
            <a:ext uri="{FF2B5EF4-FFF2-40B4-BE49-F238E27FC236}">
              <a16:creationId xmlns:a16="http://schemas.microsoft.com/office/drawing/2014/main" id="{B1476E90-80CC-45ED-B07D-FC02DD595BE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6" name="Text Box 47">
          <a:extLst>
            <a:ext uri="{FF2B5EF4-FFF2-40B4-BE49-F238E27FC236}">
              <a16:creationId xmlns:a16="http://schemas.microsoft.com/office/drawing/2014/main" id="{1DB94D52-F473-4FEE-8E77-EBA207282E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7" name="Text Box 48">
          <a:extLst>
            <a:ext uri="{FF2B5EF4-FFF2-40B4-BE49-F238E27FC236}">
              <a16:creationId xmlns:a16="http://schemas.microsoft.com/office/drawing/2014/main" id="{7EB36977-6BDD-47E7-8F54-FD61DD5ED0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8" name="Text Box 57">
          <a:extLst>
            <a:ext uri="{FF2B5EF4-FFF2-40B4-BE49-F238E27FC236}">
              <a16:creationId xmlns:a16="http://schemas.microsoft.com/office/drawing/2014/main" id="{A9C4CE50-4774-4EE4-83F2-19D421B6E26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79" name="Text Box 58">
          <a:extLst>
            <a:ext uri="{FF2B5EF4-FFF2-40B4-BE49-F238E27FC236}">
              <a16:creationId xmlns:a16="http://schemas.microsoft.com/office/drawing/2014/main" id="{22DBF462-8C15-4375-9F36-2E222A8F12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0" name="Text Box 59">
          <a:extLst>
            <a:ext uri="{FF2B5EF4-FFF2-40B4-BE49-F238E27FC236}">
              <a16:creationId xmlns:a16="http://schemas.microsoft.com/office/drawing/2014/main" id="{CA827BCD-2F62-42DC-BD23-48B10B47D96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1" name="Text Box 60">
          <a:extLst>
            <a:ext uri="{FF2B5EF4-FFF2-40B4-BE49-F238E27FC236}">
              <a16:creationId xmlns:a16="http://schemas.microsoft.com/office/drawing/2014/main" id="{84ECDBB5-F1A5-46AC-ACE3-1026192C7C7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2" name="Text Box 69">
          <a:extLst>
            <a:ext uri="{FF2B5EF4-FFF2-40B4-BE49-F238E27FC236}">
              <a16:creationId xmlns:a16="http://schemas.microsoft.com/office/drawing/2014/main" id="{F1023D97-9187-4FBF-B0EB-BC292F55C6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3" name="Text Box 70">
          <a:extLst>
            <a:ext uri="{FF2B5EF4-FFF2-40B4-BE49-F238E27FC236}">
              <a16:creationId xmlns:a16="http://schemas.microsoft.com/office/drawing/2014/main" id="{0C7E2462-9344-4097-A503-3CBB776A8FA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4" name="Text Box 71">
          <a:extLst>
            <a:ext uri="{FF2B5EF4-FFF2-40B4-BE49-F238E27FC236}">
              <a16:creationId xmlns:a16="http://schemas.microsoft.com/office/drawing/2014/main" id="{63BA69A6-F382-4BB9-905E-D5F2E2C8CF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5" name="Text Box 72">
          <a:extLst>
            <a:ext uri="{FF2B5EF4-FFF2-40B4-BE49-F238E27FC236}">
              <a16:creationId xmlns:a16="http://schemas.microsoft.com/office/drawing/2014/main" id="{5FE5D479-8D1F-4F46-891D-3622A94ADA6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6" name="Text Box 9">
          <a:extLst>
            <a:ext uri="{FF2B5EF4-FFF2-40B4-BE49-F238E27FC236}">
              <a16:creationId xmlns:a16="http://schemas.microsoft.com/office/drawing/2014/main" id="{639E3F2A-77AC-4EA9-8858-36C7B6021B9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7" name="Text Box 10">
          <a:extLst>
            <a:ext uri="{FF2B5EF4-FFF2-40B4-BE49-F238E27FC236}">
              <a16:creationId xmlns:a16="http://schemas.microsoft.com/office/drawing/2014/main" id="{160C2294-085B-4C4D-8BBF-9CCA34D2CB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8" name="Text Box 11">
          <a:extLst>
            <a:ext uri="{FF2B5EF4-FFF2-40B4-BE49-F238E27FC236}">
              <a16:creationId xmlns:a16="http://schemas.microsoft.com/office/drawing/2014/main" id="{1183B86A-E15D-49C9-BAFB-77399898329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89" name="Text Box 12">
          <a:extLst>
            <a:ext uri="{FF2B5EF4-FFF2-40B4-BE49-F238E27FC236}">
              <a16:creationId xmlns:a16="http://schemas.microsoft.com/office/drawing/2014/main" id="{D43F32C9-ED03-45CE-B4B8-4E06853C221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0" name="Text Box 21">
          <a:extLst>
            <a:ext uri="{FF2B5EF4-FFF2-40B4-BE49-F238E27FC236}">
              <a16:creationId xmlns:a16="http://schemas.microsoft.com/office/drawing/2014/main" id="{93400917-809E-47DF-8EF4-E8F9750ECD0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1" name="Text Box 22">
          <a:extLst>
            <a:ext uri="{FF2B5EF4-FFF2-40B4-BE49-F238E27FC236}">
              <a16:creationId xmlns:a16="http://schemas.microsoft.com/office/drawing/2014/main" id="{4254D30A-7DD3-4753-BE6D-B6FEA524B27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2" name="Text Box 23">
          <a:extLst>
            <a:ext uri="{FF2B5EF4-FFF2-40B4-BE49-F238E27FC236}">
              <a16:creationId xmlns:a16="http://schemas.microsoft.com/office/drawing/2014/main" id="{C026CC7F-2860-4C4E-9550-F650D8DED12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3" name="Text Box 24">
          <a:extLst>
            <a:ext uri="{FF2B5EF4-FFF2-40B4-BE49-F238E27FC236}">
              <a16:creationId xmlns:a16="http://schemas.microsoft.com/office/drawing/2014/main" id="{4D7D6F8D-B0F9-432D-953B-7BE4E2F5F7C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4" name="Text Box 33">
          <a:extLst>
            <a:ext uri="{FF2B5EF4-FFF2-40B4-BE49-F238E27FC236}">
              <a16:creationId xmlns:a16="http://schemas.microsoft.com/office/drawing/2014/main" id="{5AF7DF36-3105-4F5E-903D-9B3ED9FEB26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5" name="Text Box 34">
          <a:extLst>
            <a:ext uri="{FF2B5EF4-FFF2-40B4-BE49-F238E27FC236}">
              <a16:creationId xmlns:a16="http://schemas.microsoft.com/office/drawing/2014/main" id="{DFDFA287-F875-4DB2-A7C6-4D831ECA373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6" name="Text Box 35">
          <a:extLst>
            <a:ext uri="{FF2B5EF4-FFF2-40B4-BE49-F238E27FC236}">
              <a16:creationId xmlns:a16="http://schemas.microsoft.com/office/drawing/2014/main" id="{65E382EF-BC30-4AF6-9B63-7F64339448B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7" name="Text Box 36">
          <a:extLst>
            <a:ext uri="{FF2B5EF4-FFF2-40B4-BE49-F238E27FC236}">
              <a16:creationId xmlns:a16="http://schemas.microsoft.com/office/drawing/2014/main" id="{3A70CE2D-B7A9-49A8-BDCA-F444122A23E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8" name="Text Box 45">
          <a:extLst>
            <a:ext uri="{FF2B5EF4-FFF2-40B4-BE49-F238E27FC236}">
              <a16:creationId xmlns:a16="http://schemas.microsoft.com/office/drawing/2014/main" id="{BD21E339-0F1E-45A4-8236-41AF212853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399" name="Text Box 46">
          <a:extLst>
            <a:ext uri="{FF2B5EF4-FFF2-40B4-BE49-F238E27FC236}">
              <a16:creationId xmlns:a16="http://schemas.microsoft.com/office/drawing/2014/main" id="{2605B1CC-D5B4-4541-80C5-F8AA9B05062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0" name="Text Box 47">
          <a:extLst>
            <a:ext uri="{FF2B5EF4-FFF2-40B4-BE49-F238E27FC236}">
              <a16:creationId xmlns:a16="http://schemas.microsoft.com/office/drawing/2014/main" id="{CBBD387A-F2C7-4CBA-8809-A33EC08FB7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1" name="Text Box 48">
          <a:extLst>
            <a:ext uri="{FF2B5EF4-FFF2-40B4-BE49-F238E27FC236}">
              <a16:creationId xmlns:a16="http://schemas.microsoft.com/office/drawing/2014/main" id="{432EA116-5138-43DC-97FC-D01CA8A9892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2" name="Text Box 57">
          <a:extLst>
            <a:ext uri="{FF2B5EF4-FFF2-40B4-BE49-F238E27FC236}">
              <a16:creationId xmlns:a16="http://schemas.microsoft.com/office/drawing/2014/main" id="{99E69CE0-13B7-4266-B233-5A066D7984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3" name="Text Box 58">
          <a:extLst>
            <a:ext uri="{FF2B5EF4-FFF2-40B4-BE49-F238E27FC236}">
              <a16:creationId xmlns:a16="http://schemas.microsoft.com/office/drawing/2014/main" id="{DE25259D-834E-4382-BD96-44178C09442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4" name="Text Box 59">
          <a:extLst>
            <a:ext uri="{FF2B5EF4-FFF2-40B4-BE49-F238E27FC236}">
              <a16:creationId xmlns:a16="http://schemas.microsoft.com/office/drawing/2014/main" id="{514BDC8A-A9BC-4B61-9631-91D4384A7EC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5" name="Text Box 60">
          <a:extLst>
            <a:ext uri="{FF2B5EF4-FFF2-40B4-BE49-F238E27FC236}">
              <a16:creationId xmlns:a16="http://schemas.microsoft.com/office/drawing/2014/main" id="{879A1810-466B-4596-9AF7-35D81040C61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6" name="Text Box 69">
          <a:extLst>
            <a:ext uri="{FF2B5EF4-FFF2-40B4-BE49-F238E27FC236}">
              <a16:creationId xmlns:a16="http://schemas.microsoft.com/office/drawing/2014/main" id="{D4E8A586-D774-4AF1-A2F0-9BD6CF2BC45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7" name="Text Box 70">
          <a:extLst>
            <a:ext uri="{FF2B5EF4-FFF2-40B4-BE49-F238E27FC236}">
              <a16:creationId xmlns:a16="http://schemas.microsoft.com/office/drawing/2014/main" id="{F2AF55DE-2A18-471D-A1BF-998343077CE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8" name="Text Box 71">
          <a:extLst>
            <a:ext uri="{FF2B5EF4-FFF2-40B4-BE49-F238E27FC236}">
              <a16:creationId xmlns:a16="http://schemas.microsoft.com/office/drawing/2014/main" id="{52B8D2BF-CE99-4428-80A7-A1DE9D3D51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09" name="Text Box 72">
          <a:extLst>
            <a:ext uri="{FF2B5EF4-FFF2-40B4-BE49-F238E27FC236}">
              <a16:creationId xmlns:a16="http://schemas.microsoft.com/office/drawing/2014/main" id="{CE3DB58C-6ADD-495F-982F-E2DFE797722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0" name="Text Box 9">
          <a:extLst>
            <a:ext uri="{FF2B5EF4-FFF2-40B4-BE49-F238E27FC236}">
              <a16:creationId xmlns:a16="http://schemas.microsoft.com/office/drawing/2014/main" id="{E5B29980-A1FC-4A64-B60E-9C2947FD2F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1" name="Text Box 10">
          <a:extLst>
            <a:ext uri="{FF2B5EF4-FFF2-40B4-BE49-F238E27FC236}">
              <a16:creationId xmlns:a16="http://schemas.microsoft.com/office/drawing/2014/main" id="{E08490DD-EE81-44B8-A53A-EACD99814B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2" name="Text Box 11">
          <a:extLst>
            <a:ext uri="{FF2B5EF4-FFF2-40B4-BE49-F238E27FC236}">
              <a16:creationId xmlns:a16="http://schemas.microsoft.com/office/drawing/2014/main" id="{0D24852B-9309-4D03-A218-CE7A6F0D96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3" name="Text Box 12">
          <a:extLst>
            <a:ext uri="{FF2B5EF4-FFF2-40B4-BE49-F238E27FC236}">
              <a16:creationId xmlns:a16="http://schemas.microsoft.com/office/drawing/2014/main" id="{054D4942-CF0C-4173-9BB9-8D3613EF860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4" name="Text Box 21">
          <a:extLst>
            <a:ext uri="{FF2B5EF4-FFF2-40B4-BE49-F238E27FC236}">
              <a16:creationId xmlns:a16="http://schemas.microsoft.com/office/drawing/2014/main" id="{166BC63D-5C6A-4892-832A-74E1B8A55D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5" name="Text Box 22">
          <a:extLst>
            <a:ext uri="{FF2B5EF4-FFF2-40B4-BE49-F238E27FC236}">
              <a16:creationId xmlns:a16="http://schemas.microsoft.com/office/drawing/2014/main" id="{85B1B6E2-F46B-43D3-967E-F72F43FF7E8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6" name="Text Box 23">
          <a:extLst>
            <a:ext uri="{FF2B5EF4-FFF2-40B4-BE49-F238E27FC236}">
              <a16:creationId xmlns:a16="http://schemas.microsoft.com/office/drawing/2014/main" id="{FE8BCD6C-A635-4FE4-98E8-9853A2943D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7" name="Text Box 24">
          <a:extLst>
            <a:ext uri="{FF2B5EF4-FFF2-40B4-BE49-F238E27FC236}">
              <a16:creationId xmlns:a16="http://schemas.microsoft.com/office/drawing/2014/main" id="{E7677B63-C9C5-4494-AD72-1F8A65D35B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8" name="Text Box 33">
          <a:extLst>
            <a:ext uri="{FF2B5EF4-FFF2-40B4-BE49-F238E27FC236}">
              <a16:creationId xmlns:a16="http://schemas.microsoft.com/office/drawing/2014/main" id="{0964F74E-1073-4EC0-BC15-F4F9E6661A5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19" name="Text Box 34">
          <a:extLst>
            <a:ext uri="{FF2B5EF4-FFF2-40B4-BE49-F238E27FC236}">
              <a16:creationId xmlns:a16="http://schemas.microsoft.com/office/drawing/2014/main" id="{0B5A485C-2F7B-4E4E-8CC9-BB5660EA92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0" name="Text Box 35">
          <a:extLst>
            <a:ext uri="{FF2B5EF4-FFF2-40B4-BE49-F238E27FC236}">
              <a16:creationId xmlns:a16="http://schemas.microsoft.com/office/drawing/2014/main" id="{466ED319-C879-42E7-8239-779FD50334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1" name="Text Box 36">
          <a:extLst>
            <a:ext uri="{FF2B5EF4-FFF2-40B4-BE49-F238E27FC236}">
              <a16:creationId xmlns:a16="http://schemas.microsoft.com/office/drawing/2014/main" id="{15027D08-A703-42F6-B7DE-F505EA93AD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2" name="Text Box 45">
          <a:extLst>
            <a:ext uri="{FF2B5EF4-FFF2-40B4-BE49-F238E27FC236}">
              <a16:creationId xmlns:a16="http://schemas.microsoft.com/office/drawing/2014/main" id="{A9AA67A3-0B38-499D-83A9-022BD8F0A03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3" name="Text Box 46">
          <a:extLst>
            <a:ext uri="{FF2B5EF4-FFF2-40B4-BE49-F238E27FC236}">
              <a16:creationId xmlns:a16="http://schemas.microsoft.com/office/drawing/2014/main" id="{052CDEED-5069-48AD-A77E-B9D9D7D8EB3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4" name="Text Box 47">
          <a:extLst>
            <a:ext uri="{FF2B5EF4-FFF2-40B4-BE49-F238E27FC236}">
              <a16:creationId xmlns:a16="http://schemas.microsoft.com/office/drawing/2014/main" id="{580D570D-D339-4E49-8120-49FF588E96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5" name="Text Box 48">
          <a:extLst>
            <a:ext uri="{FF2B5EF4-FFF2-40B4-BE49-F238E27FC236}">
              <a16:creationId xmlns:a16="http://schemas.microsoft.com/office/drawing/2014/main" id="{9C1D4C45-40E0-4315-B5B0-2198AAC8B7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6" name="Text Box 57">
          <a:extLst>
            <a:ext uri="{FF2B5EF4-FFF2-40B4-BE49-F238E27FC236}">
              <a16:creationId xmlns:a16="http://schemas.microsoft.com/office/drawing/2014/main" id="{C6435406-9E0B-4E52-B957-AAC06E4CFAD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7" name="Text Box 58">
          <a:extLst>
            <a:ext uri="{FF2B5EF4-FFF2-40B4-BE49-F238E27FC236}">
              <a16:creationId xmlns:a16="http://schemas.microsoft.com/office/drawing/2014/main" id="{F2486F82-3067-4EF4-A68E-ECB764A1488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8" name="Text Box 59">
          <a:extLst>
            <a:ext uri="{FF2B5EF4-FFF2-40B4-BE49-F238E27FC236}">
              <a16:creationId xmlns:a16="http://schemas.microsoft.com/office/drawing/2014/main" id="{6F206A39-D53D-4440-AA40-295092D96A7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29" name="Text Box 60">
          <a:extLst>
            <a:ext uri="{FF2B5EF4-FFF2-40B4-BE49-F238E27FC236}">
              <a16:creationId xmlns:a16="http://schemas.microsoft.com/office/drawing/2014/main" id="{F769D7D9-B75D-4F56-BB5F-716BC58E875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0" name="Text Box 69">
          <a:extLst>
            <a:ext uri="{FF2B5EF4-FFF2-40B4-BE49-F238E27FC236}">
              <a16:creationId xmlns:a16="http://schemas.microsoft.com/office/drawing/2014/main" id="{AAF4EBC1-F14A-4355-A787-856F29C80A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1" name="Text Box 70">
          <a:extLst>
            <a:ext uri="{FF2B5EF4-FFF2-40B4-BE49-F238E27FC236}">
              <a16:creationId xmlns:a16="http://schemas.microsoft.com/office/drawing/2014/main" id="{34003571-A51C-48F8-9394-37738A2B07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2" name="Text Box 71">
          <a:extLst>
            <a:ext uri="{FF2B5EF4-FFF2-40B4-BE49-F238E27FC236}">
              <a16:creationId xmlns:a16="http://schemas.microsoft.com/office/drawing/2014/main" id="{ED7C4563-BFA1-49CB-8C3A-6817E03DB93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3" name="Text Box 72">
          <a:extLst>
            <a:ext uri="{FF2B5EF4-FFF2-40B4-BE49-F238E27FC236}">
              <a16:creationId xmlns:a16="http://schemas.microsoft.com/office/drawing/2014/main" id="{08CA248B-4C43-4FE9-B28D-7EC4084062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4" name="Text Box 9">
          <a:extLst>
            <a:ext uri="{FF2B5EF4-FFF2-40B4-BE49-F238E27FC236}">
              <a16:creationId xmlns:a16="http://schemas.microsoft.com/office/drawing/2014/main" id="{354707F4-839D-4EF1-9858-255F8EF4DC2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5" name="Text Box 10">
          <a:extLst>
            <a:ext uri="{FF2B5EF4-FFF2-40B4-BE49-F238E27FC236}">
              <a16:creationId xmlns:a16="http://schemas.microsoft.com/office/drawing/2014/main" id="{A305066E-321F-4078-984C-439746AAC60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6" name="Text Box 11">
          <a:extLst>
            <a:ext uri="{FF2B5EF4-FFF2-40B4-BE49-F238E27FC236}">
              <a16:creationId xmlns:a16="http://schemas.microsoft.com/office/drawing/2014/main" id="{05464550-030D-4021-8F4C-EBD5CCB741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7" name="Text Box 12">
          <a:extLst>
            <a:ext uri="{FF2B5EF4-FFF2-40B4-BE49-F238E27FC236}">
              <a16:creationId xmlns:a16="http://schemas.microsoft.com/office/drawing/2014/main" id="{61689C9C-D680-417F-ABCD-8EAF0333981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8" name="Text Box 21">
          <a:extLst>
            <a:ext uri="{FF2B5EF4-FFF2-40B4-BE49-F238E27FC236}">
              <a16:creationId xmlns:a16="http://schemas.microsoft.com/office/drawing/2014/main" id="{B0674272-5D3E-4681-A2AE-C148516E12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39" name="Text Box 22">
          <a:extLst>
            <a:ext uri="{FF2B5EF4-FFF2-40B4-BE49-F238E27FC236}">
              <a16:creationId xmlns:a16="http://schemas.microsoft.com/office/drawing/2014/main" id="{C9423235-A5FF-43F1-A214-D0F52FD05B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0" name="Text Box 23">
          <a:extLst>
            <a:ext uri="{FF2B5EF4-FFF2-40B4-BE49-F238E27FC236}">
              <a16:creationId xmlns:a16="http://schemas.microsoft.com/office/drawing/2014/main" id="{67D4D856-BAB2-41EB-89EC-FAF698DA04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1" name="Text Box 24">
          <a:extLst>
            <a:ext uri="{FF2B5EF4-FFF2-40B4-BE49-F238E27FC236}">
              <a16:creationId xmlns:a16="http://schemas.microsoft.com/office/drawing/2014/main" id="{4FFE9BF7-1973-427B-BD83-73D6D84DD78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2" name="Text Box 33">
          <a:extLst>
            <a:ext uri="{FF2B5EF4-FFF2-40B4-BE49-F238E27FC236}">
              <a16:creationId xmlns:a16="http://schemas.microsoft.com/office/drawing/2014/main" id="{2B6055CC-7E0B-41D1-9244-AA75B61C46A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3" name="Text Box 34">
          <a:extLst>
            <a:ext uri="{FF2B5EF4-FFF2-40B4-BE49-F238E27FC236}">
              <a16:creationId xmlns:a16="http://schemas.microsoft.com/office/drawing/2014/main" id="{9773A11C-FE4A-4617-ADB1-5BC6875803F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4" name="Text Box 35">
          <a:extLst>
            <a:ext uri="{FF2B5EF4-FFF2-40B4-BE49-F238E27FC236}">
              <a16:creationId xmlns:a16="http://schemas.microsoft.com/office/drawing/2014/main" id="{160EE3EA-F70E-43DA-9854-D6C4050F7D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5" name="Text Box 36">
          <a:extLst>
            <a:ext uri="{FF2B5EF4-FFF2-40B4-BE49-F238E27FC236}">
              <a16:creationId xmlns:a16="http://schemas.microsoft.com/office/drawing/2014/main" id="{3FF69C45-D584-4DC8-887E-9F5E21BCAB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6" name="Text Box 45">
          <a:extLst>
            <a:ext uri="{FF2B5EF4-FFF2-40B4-BE49-F238E27FC236}">
              <a16:creationId xmlns:a16="http://schemas.microsoft.com/office/drawing/2014/main" id="{B10CAF86-F23B-4CD5-B91F-AC6D73F354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7" name="Text Box 46">
          <a:extLst>
            <a:ext uri="{FF2B5EF4-FFF2-40B4-BE49-F238E27FC236}">
              <a16:creationId xmlns:a16="http://schemas.microsoft.com/office/drawing/2014/main" id="{C5F5E95E-494C-4D1A-9A10-17A7883610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8" name="Text Box 47">
          <a:extLst>
            <a:ext uri="{FF2B5EF4-FFF2-40B4-BE49-F238E27FC236}">
              <a16:creationId xmlns:a16="http://schemas.microsoft.com/office/drawing/2014/main" id="{6FA3E950-076B-4B7A-9331-23261B551C9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49" name="Text Box 48">
          <a:extLst>
            <a:ext uri="{FF2B5EF4-FFF2-40B4-BE49-F238E27FC236}">
              <a16:creationId xmlns:a16="http://schemas.microsoft.com/office/drawing/2014/main" id="{8CB81768-7E6D-4E61-AEC2-B586ED39374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0" name="Text Box 57">
          <a:extLst>
            <a:ext uri="{FF2B5EF4-FFF2-40B4-BE49-F238E27FC236}">
              <a16:creationId xmlns:a16="http://schemas.microsoft.com/office/drawing/2014/main" id="{54C328FC-06CC-44D7-8F40-4970773138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1" name="Text Box 58">
          <a:extLst>
            <a:ext uri="{FF2B5EF4-FFF2-40B4-BE49-F238E27FC236}">
              <a16:creationId xmlns:a16="http://schemas.microsoft.com/office/drawing/2014/main" id="{18759C03-2677-43B4-9209-6C76F2AE18F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2" name="Text Box 59">
          <a:extLst>
            <a:ext uri="{FF2B5EF4-FFF2-40B4-BE49-F238E27FC236}">
              <a16:creationId xmlns:a16="http://schemas.microsoft.com/office/drawing/2014/main" id="{263E8819-A3FF-4986-BCE1-243BF1C06D2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3" name="Text Box 60">
          <a:extLst>
            <a:ext uri="{FF2B5EF4-FFF2-40B4-BE49-F238E27FC236}">
              <a16:creationId xmlns:a16="http://schemas.microsoft.com/office/drawing/2014/main" id="{8BC79029-3D8F-4557-803A-E28428FB60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4" name="Text Box 69">
          <a:extLst>
            <a:ext uri="{FF2B5EF4-FFF2-40B4-BE49-F238E27FC236}">
              <a16:creationId xmlns:a16="http://schemas.microsoft.com/office/drawing/2014/main" id="{8CC80C54-15CF-4FA6-8B8D-A73906E3597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5" name="Text Box 70">
          <a:extLst>
            <a:ext uri="{FF2B5EF4-FFF2-40B4-BE49-F238E27FC236}">
              <a16:creationId xmlns:a16="http://schemas.microsoft.com/office/drawing/2014/main" id="{9831E9A7-6360-4F57-82BB-B0A8264763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6" name="Text Box 71">
          <a:extLst>
            <a:ext uri="{FF2B5EF4-FFF2-40B4-BE49-F238E27FC236}">
              <a16:creationId xmlns:a16="http://schemas.microsoft.com/office/drawing/2014/main" id="{D599C833-5198-4F64-B10B-0EC0B7944A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7" name="Text Box 72">
          <a:extLst>
            <a:ext uri="{FF2B5EF4-FFF2-40B4-BE49-F238E27FC236}">
              <a16:creationId xmlns:a16="http://schemas.microsoft.com/office/drawing/2014/main" id="{3F353FC6-FF73-4F1B-9A81-E2E02928B55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8" name="Text Box 9">
          <a:extLst>
            <a:ext uri="{FF2B5EF4-FFF2-40B4-BE49-F238E27FC236}">
              <a16:creationId xmlns:a16="http://schemas.microsoft.com/office/drawing/2014/main" id="{4B7A3C72-ED48-408B-A586-33C6B03494C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59" name="Text Box 10">
          <a:extLst>
            <a:ext uri="{FF2B5EF4-FFF2-40B4-BE49-F238E27FC236}">
              <a16:creationId xmlns:a16="http://schemas.microsoft.com/office/drawing/2014/main" id="{94F01A0D-6B70-4F42-8EDF-8D4E35A080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0" name="Text Box 11">
          <a:extLst>
            <a:ext uri="{FF2B5EF4-FFF2-40B4-BE49-F238E27FC236}">
              <a16:creationId xmlns:a16="http://schemas.microsoft.com/office/drawing/2014/main" id="{194A1A4C-E066-40A5-B249-891D66AF74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1" name="Text Box 12">
          <a:extLst>
            <a:ext uri="{FF2B5EF4-FFF2-40B4-BE49-F238E27FC236}">
              <a16:creationId xmlns:a16="http://schemas.microsoft.com/office/drawing/2014/main" id="{C22AD25E-2818-4E65-B253-FCE0DA84CB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2" name="Text Box 21">
          <a:extLst>
            <a:ext uri="{FF2B5EF4-FFF2-40B4-BE49-F238E27FC236}">
              <a16:creationId xmlns:a16="http://schemas.microsoft.com/office/drawing/2014/main" id="{1048167C-0F59-42ED-85F4-FE03A0669F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3" name="Text Box 22">
          <a:extLst>
            <a:ext uri="{FF2B5EF4-FFF2-40B4-BE49-F238E27FC236}">
              <a16:creationId xmlns:a16="http://schemas.microsoft.com/office/drawing/2014/main" id="{8B5EADB0-A5DA-4596-9B0B-F92C091B669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4" name="Text Box 23">
          <a:extLst>
            <a:ext uri="{FF2B5EF4-FFF2-40B4-BE49-F238E27FC236}">
              <a16:creationId xmlns:a16="http://schemas.microsoft.com/office/drawing/2014/main" id="{AE964BA6-FE37-4DA7-A9A5-7D80F9A82BF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5" name="Text Box 24">
          <a:extLst>
            <a:ext uri="{FF2B5EF4-FFF2-40B4-BE49-F238E27FC236}">
              <a16:creationId xmlns:a16="http://schemas.microsoft.com/office/drawing/2014/main" id="{79F69E83-56EB-4B1F-8F48-FF35F39C0E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6" name="Text Box 33">
          <a:extLst>
            <a:ext uri="{FF2B5EF4-FFF2-40B4-BE49-F238E27FC236}">
              <a16:creationId xmlns:a16="http://schemas.microsoft.com/office/drawing/2014/main" id="{F02237A1-A5AF-48B7-84EB-69B7CC0C564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7" name="Text Box 34">
          <a:extLst>
            <a:ext uri="{FF2B5EF4-FFF2-40B4-BE49-F238E27FC236}">
              <a16:creationId xmlns:a16="http://schemas.microsoft.com/office/drawing/2014/main" id="{937153CB-FE61-488A-BD61-2F24D6DF31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8" name="Text Box 35">
          <a:extLst>
            <a:ext uri="{FF2B5EF4-FFF2-40B4-BE49-F238E27FC236}">
              <a16:creationId xmlns:a16="http://schemas.microsoft.com/office/drawing/2014/main" id="{F0B983D7-D6F5-4C06-83AE-CFE3B3B2C5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69" name="Text Box 36">
          <a:extLst>
            <a:ext uri="{FF2B5EF4-FFF2-40B4-BE49-F238E27FC236}">
              <a16:creationId xmlns:a16="http://schemas.microsoft.com/office/drawing/2014/main" id="{BE4CACA8-BE58-4263-80AE-8B1DA6BE39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0" name="Text Box 45">
          <a:extLst>
            <a:ext uri="{FF2B5EF4-FFF2-40B4-BE49-F238E27FC236}">
              <a16:creationId xmlns:a16="http://schemas.microsoft.com/office/drawing/2014/main" id="{72E9F262-E758-4226-A564-27EC8F3C45F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1" name="Text Box 46">
          <a:extLst>
            <a:ext uri="{FF2B5EF4-FFF2-40B4-BE49-F238E27FC236}">
              <a16:creationId xmlns:a16="http://schemas.microsoft.com/office/drawing/2014/main" id="{AF49BA4E-A353-4946-8961-30D12F51F0F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2" name="Text Box 47">
          <a:extLst>
            <a:ext uri="{FF2B5EF4-FFF2-40B4-BE49-F238E27FC236}">
              <a16:creationId xmlns:a16="http://schemas.microsoft.com/office/drawing/2014/main" id="{4E3049A2-4F07-4F3E-98DD-BFFEFB64FA3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3" name="Text Box 48">
          <a:extLst>
            <a:ext uri="{FF2B5EF4-FFF2-40B4-BE49-F238E27FC236}">
              <a16:creationId xmlns:a16="http://schemas.microsoft.com/office/drawing/2014/main" id="{88B8E373-AFB7-479F-9386-EC396AFA087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4" name="Text Box 57">
          <a:extLst>
            <a:ext uri="{FF2B5EF4-FFF2-40B4-BE49-F238E27FC236}">
              <a16:creationId xmlns:a16="http://schemas.microsoft.com/office/drawing/2014/main" id="{1507DC9B-62CF-4760-97BE-5B38436EC0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5" name="Text Box 58">
          <a:extLst>
            <a:ext uri="{FF2B5EF4-FFF2-40B4-BE49-F238E27FC236}">
              <a16:creationId xmlns:a16="http://schemas.microsoft.com/office/drawing/2014/main" id="{3DB453C7-CF3D-4AC3-8FCA-0F04B141E05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6" name="Text Box 59">
          <a:extLst>
            <a:ext uri="{FF2B5EF4-FFF2-40B4-BE49-F238E27FC236}">
              <a16:creationId xmlns:a16="http://schemas.microsoft.com/office/drawing/2014/main" id="{4CAAE7DC-2526-47B9-A10E-8D19C238717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7" name="Text Box 60">
          <a:extLst>
            <a:ext uri="{FF2B5EF4-FFF2-40B4-BE49-F238E27FC236}">
              <a16:creationId xmlns:a16="http://schemas.microsoft.com/office/drawing/2014/main" id="{0E9A259D-74C6-42F8-8B1A-979A46D0D1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8" name="Text Box 69">
          <a:extLst>
            <a:ext uri="{FF2B5EF4-FFF2-40B4-BE49-F238E27FC236}">
              <a16:creationId xmlns:a16="http://schemas.microsoft.com/office/drawing/2014/main" id="{FB027C72-ED94-4229-8C13-F612471B43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79" name="Text Box 70">
          <a:extLst>
            <a:ext uri="{FF2B5EF4-FFF2-40B4-BE49-F238E27FC236}">
              <a16:creationId xmlns:a16="http://schemas.microsoft.com/office/drawing/2014/main" id="{49ECE4ED-5078-49C4-8518-A63F4DCF2FE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0" name="Text Box 71">
          <a:extLst>
            <a:ext uri="{FF2B5EF4-FFF2-40B4-BE49-F238E27FC236}">
              <a16:creationId xmlns:a16="http://schemas.microsoft.com/office/drawing/2014/main" id="{1D0FB8E8-861F-4C04-9F63-9537DE5586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1" name="Text Box 72">
          <a:extLst>
            <a:ext uri="{FF2B5EF4-FFF2-40B4-BE49-F238E27FC236}">
              <a16:creationId xmlns:a16="http://schemas.microsoft.com/office/drawing/2014/main" id="{246B681F-0BC1-4035-AE34-40F393A408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2" name="Text Box 9">
          <a:extLst>
            <a:ext uri="{FF2B5EF4-FFF2-40B4-BE49-F238E27FC236}">
              <a16:creationId xmlns:a16="http://schemas.microsoft.com/office/drawing/2014/main" id="{E52F57DD-DE7D-4F7C-917A-29D7C1C4F48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3" name="Text Box 10">
          <a:extLst>
            <a:ext uri="{FF2B5EF4-FFF2-40B4-BE49-F238E27FC236}">
              <a16:creationId xmlns:a16="http://schemas.microsoft.com/office/drawing/2014/main" id="{FC24409B-F755-49A1-AB49-527FDD10A5B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4" name="Text Box 11">
          <a:extLst>
            <a:ext uri="{FF2B5EF4-FFF2-40B4-BE49-F238E27FC236}">
              <a16:creationId xmlns:a16="http://schemas.microsoft.com/office/drawing/2014/main" id="{4ED74C21-A0F1-4BD5-BC44-9256E37A002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5" name="Text Box 12">
          <a:extLst>
            <a:ext uri="{FF2B5EF4-FFF2-40B4-BE49-F238E27FC236}">
              <a16:creationId xmlns:a16="http://schemas.microsoft.com/office/drawing/2014/main" id="{C6FC39E8-111E-48F2-BC31-9A949E76865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6" name="Text Box 21">
          <a:extLst>
            <a:ext uri="{FF2B5EF4-FFF2-40B4-BE49-F238E27FC236}">
              <a16:creationId xmlns:a16="http://schemas.microsoft.com/office/drawing/2014/main" id="{BE432C5B-A48C-4E72-93DA-C7FA27F7259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7" name="Text Box 22">
          <a:extLst>
            <a:ext uri="{FF2B5EF4-FFF2-40B4-BE49-F238E27FC236}">
              <a16:creationId xmlns:a16="http://schemas.microsoft.com/office/drawing/2014/main" id="{10D7D4A5-92CF-4D0A-9ED9-F194DC51B5F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8" name="Text Box 23">
          <a:extLst>
            <a:ext uri="{FF2B5EF4-FFF2-40B4-BE49-F238E27FC236}">
              <a16:creationId xmlns:a16="http://schemas.microsoft.com/office/drawing/2014/main" id="{2F683A9F-5170-456D-8B2B-E7D368BD166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89" name="Text Box 24">
          <a:extLst>
            <a:ext uri="{FF2B5EF4-FFF2-40B4-BE49-F238E27FC236}">
              <a16:creationId xmlns:a16="http://schemas.microsoft.com/office/drawing/2014/main" id="{0AE5B039-FC16-4BD5-8CC5-66B6035118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0" name="Text Box 33">
          <a:extLst>
            <a:ext uri="{FF2B5EF4-FFF2-40B4-BE49-F238E27FC236}">
              <a16:creationId xmlns:a16="http://schemas.microsoft.com/office/drawing/2014/main" id="{3F9991AA-96DE-447D-8A01-5603FA02B37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1" name="Text Box 34">
          <a:extLst>
            <a:ext uri="{FF2B5EF4-FFF2-40B4-BE49-F238E27FC236}">
              <a16:creationId xmlns:a16="http://schemas.microsoft.com/office/drawing/2014/main" id="{8BA1B42E-A8CC-4538-AFDF-211F27A4EEA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2" name="Text Box 35">
          <a:extLst>
            <a:ext uri="{FF2B5EF4-FFF2-40B4-BE49-F238E27FC236}">
              <a16:creationId xmlns:a16="http://schemas.microsoft.com/office/drawing/2014/main" id="{ABE6B428-D249-4C3C-9FFE-F7A59F92FF8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3" name="Text Box 36">
          <a:extLst>
            <a:ext uri="{FF2B5EF4-FFF2-40B4-BE49-F238E27FC236}">
              <a16:creationId xmlns:a16="http://schemas.microsoft.com/office/drawing/2014/main" id="{B69E8FE5-47F4-4052-9502-87B6707F8E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4" name="Text Box 45">
          <a:extLst>
            <a:ext uri="{FF2B5EF4-FFF2-40B4-BE49-F238E27FC236}">
              <a16:creationId xmlns:a16="http://schemas.microsoft.com/office/drawing/2014/main" id="{3F8AAEF2-3B80-41C5-9C5D-EF1E176A47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5" name="Text Box 46">
          <a:extLst>
            <a:ext uri="{FF2B5EF4-FFF2-40B4-BE49-F238E27FC236}">
              <a16:creationId xmlns:a16="http://schemas.microsoft.com/office/drawing/2014/main" id="{C26B4954-5DC8-4BF0-B49A-2A79E1EF534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6" name="Text Box 47">
          <a:extLst>
            <a:ext uri="{FF2B5EF4-FFF2-40B4-BE49-F238E27FC236}">
              <a16:creationId xmlns:a16="http://schemas.microsoft.com/office/drawing/2014/main" id="{83185382-E439-4209-9F62-4878C8BB88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7" name="Text Box 48">
          <a:extLst>
            <a:ext uri="{FF2B5EF4-FFF2-40B4-BE49-F238E27FC236}">
              <a16:creationId xmlns:a16="http://schemas.microsoft.com/office/drawing/2014/main" id="{96C41433-A982-40CB-A340-A28600136EA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8" name="Text Box 57">
          <a:extLst>
            <a:ext uri="{FF2B5EF4-FFF2-40B4-BE49-F238E27FC236}">
              <a16:creationId xmlns:a16="http://schemas.microsoft.com/office/drawing/2014/main" id="{2F8B2E46-A75C-4F13-BC45-9822F3382A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499" name="Text Box 58">
          <a:extLst>
            <a:ext uri="{FF2B5EF4-FFF2-40B4-BE49-F238E27FC236}">
              <a16:creationId xmlns:a16="http://schemas.microsoft.com/office/drawing/2014/main" id="{E5E1A4E7-AD1E-4C3A-8CF8-940F307C65F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0" name="Text Box 59">
          <a:extLst>
            <a:ext uri="{FF2B5EF4-FFF2-40B4-BE49-F238E27FC236}">
              <a16:creationId xmlns:a16="http://schemas.microsoft.com/office/drawing/2014/main" id="{50D01E51-8110-4BD1-83CD-6B5A1D5018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1" name="Text Box 60">
          <a:extLst>
            <a:ext uri="{FF2B5EF4-FFF2-40B4-BE49-F238E27FC236}">
              <a16:creationId xmlns:a16="http://schemas.microsoft.com/office/drawing/2014/main" id="{84F35A8E-EFBD-46BF-9AFD-6EBB96D9746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2" name="Text Box 69">
          <a:extLst>
            <a:ext uri="{FF2B5EF4-FFF2-40B4-BE49-F238E27FC236}">
              <a16:creationId xmlns:a16="http://schemas.microsoft.com/office/drawing/2014/main" id="{25310E4E-7F37-4B6B-919F-CA86789B930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3" name="Text Box 70">
          <a:extLst>
            <a:ext uri="{FF2B5EF4-FFF2-40B4-BE49-F238E27FC236}">
              <a16:creationId xmlns:a16="http://schemas.microsoft.com/office/drawing/2014/main" id="{26A79A53-D9A5-411C-A5BD-566999315F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4" name="Text Box 71">
          <a:extLst>
            <a:ext uri="{FF2B5EF4-FFF2-40B4-BE49-F238E27FC236}">
              <a16:creationId xmlns:a16="http://schemas.microsoft.com/office/drawing/2014/main" id="{E3E32EBD-0A75-4282-A4F7-4342F8302F2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5" name="Text Box 72">
          <a:extLst>
            <a:ext uri="{FF2B5EF4-FFF2-40B4-BE49-F238E27FC236}">
              <a16:creationId xmlns:a16="http://schemas.microsoft.com/office/drawing/2014/main" id="{1519EC64-6A62-4B45-B711-B3DF638552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6" name="Text Box 9">
          <a:extLst>
            <a:ext uri="{FF2B5EF4-FFF2-40B4-BE49-F238E27FC236}">
              <a16:creationId xmlns:a16="http://schemas.microsoft.com/office/drawing/2014/main" id="{FC79958A-A203-412C-BA23-1835FED564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7" name="Text Box 10">
          <a:extLst>
            <a:ext uri="{FF2B5EF4-FFF2-40B4-BE49-F238E27FC236}">
              <a16:creationId xmlns:a16="http://schemas.microsoft.com/office/drawing/2014/main" id="{A6FB7048-494E-4A81-BEF3-9976151082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8" name="Text Box 11">
          <a:extLst>
            <a:ext uri="{FF2B5EF4-FFF2-40B4-BE49-F238E27FC236}">
              <a16:creationId xmlns:a16="http://schemas.microsoft.com/office/drawing/2014/main" id="{8A489E0B-5AC0-4E51-BDF7-69275DEDA08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09" name="Text Box 12">
          <a:extLst>
            <a:ext uri="{FF2B5EF4-FFF2-40B4-BE49-F238E27FC236}">
              <a16:creationId xmlns:a16="http://schemas.microsoft.com/office/drawing/2014/main" id="{8DD5559D-5659-4F1D-9EFC-0C12D02B913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0" name="Text Box 21">
          <a:extLst>
            <a:ext uri="{FF2B5EF4-FFF2-40B4-BE49-F238E27FC236}">
              <a16:creationId xmlns:a16="http://schemas.microsoft.com/office/drawing/2014/main" id="{FF340CD8-07CF-4332-9B9A-A89C914795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1" name="Text Box 22">
          <a:extLst>
            <a:ext uri="{FF2B5EF4-FFF2-40B4-BE49-F238E27FC236}">
              <a16:creationId xmlns:a16="http://schemas.microsoft.com/office/drawing/2014/main" id="{1B4DC772-8827-4879-BA26-E353A1904FB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2" name="Text Box 23">
          <a:extLst>
            <a:ext uri="{FF2B5EF4-FFF2-40B4-BE49-F238E27FC236}">
              <a16:creationId xmlns:a16="http://schemas.microsoft.com/office/drawing/2014/main" id="{813AEAFA-E015-4C59-A741-9266B35C22D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3" name="Text Box 24">
          <a:extLst>
            <a:ext uri="{FF2B5EF4-FFF2-40B4-BE49-F238E27FC236}">
              <a16:creationId xmlns:a16="http://schemas.microsoft.com/office/drawing/2014/main" id="{CFC25D6F-385D-430A-8EE0-46E9ED7655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4" name="Text Box 33">
          <a:extLst>
            <a:ext uri="{FF2B5EF4-FFF2-40B4-BE49-F238E27FC236}">
              <a16:creationId xmlns:a16="http://schemas.microsoft.com/office/drawing/2014/main" id="{A0C1F5EE-23E4-459A-B28F-E2486F9A98E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5" name="Text Box 34">
          <a:extLst>
            <a:ext uri="{FF2B5EF4-FFF2-40B4-BE49-F238E27FC236}">
              <a16:creationId xmlns:a16="http://schemas.microsoft.com/office/drawing/2014/main" id="{728C5952-7986-4A2A-B5EF-7AFF016348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6" name="Text Box 35">
          <a:extLst>
            <a:ext uri="{FF2B5EF4-FFF2-40B4-BE49-F238E27FC236}">
              <a16:creationId xmlns:a16="http://schemas.microsoft.com/office/drawing/2014/main" id="{289783EB-90BD-48F5-A996-B18296DE1B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7" name="Text Box 36">
          <a:extLst>
            <a:ext uri="{FF2B5EF4-FFF2-40B4-BE49-F238E27FC236}">
              <a16:creationId xmlns:a16="http://schemas.microsoft.com/office/drawing/2014/main" id="{50AAA837-1DFA-41DA-B79E-6C24FA507D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8" name="Text Box 45">
          <a:extLst>
            <a:ext uri="{FF2B5EF4-FFF2-40B4-BE49-F238E27FC236}">
              <a16:creationId xmlns:a16="http://schemas.microsoft.com/office/drawing/2014/main" id="{8FB19C0B-FCEB-4681-8125-E112F9F72B5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19" name="Text Box 46">
          <a:extLst>
            <a:ext uri="{FF2B5EF4-FFF2-40B4-BE49-F238E27FC236}">
              <a16:creationId xmlns:a16="http://schemas.microsoft.com/office/drawing/2014/main" id="{40DD6A78-BB4F-468C-B786-CC18ED2C1D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0" name="Text Box 47">
          <a:extLst>
            <a:ext uri="{FF2B5EF4-FFF2-40B4-BE49-F238E27FC236}">
              <a16:creationId xmlns:a16="http://schemas.microsoft.com/office/drawing/2014/main" id="{BA99F2DF-E42E-4135-B636-88027B49F29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1" name="Text Box 48">
          <a:extLst>
            <a:ext uri="{FF2B5EF4-FFF2-40B4-BE49-F238E27FC236}">
              <a16:creationId xmlns:a16="http://schemas.microsoft.com/office/drawing/2014/main" id="{6A0CE6DC-C860-4994-8703-1B115CB1D4F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2" name="Text Box 57">
          <a:extLst>
            <a:ext uri="{FF2B5EF4-FFF2-40B4-BE49-F238E27FC236}">
              <a16:creationId xmlns:a16="http://schemas.microsoft.com/office/drawing/2014/main" id="{408CC81F-7843-43FD-9094-1ED28C5D3AF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3" name="Text Box 58">
          <a:extLst>
            <a:ext uri="{FF2B5EF4-FFF2-40B4-BE49-F238E27FC236}">
              <a16:creationId xmlns:a16="http://schemas.microsoft.com/office/drawing/2014/main" id="{09144E63-211A-496B-AB08-C34F4023123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4" name="Text Box 59">
          <a:extLst>
            <a:ext uri="{FF2B5EF4-FFF2-40B4-BE49-F238E27FC236}">
              <a16:creationId xmlns:a16="http://schemas.microsoft.com/office/drawing/2014/main" id="{CF23C882-F7EA-4B80-84F4-AE7C420B2E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5" name="Text Box 60">
          <a:extLst>
            <a:ext uri="{FF2B5EF4-FFF2-40B4-BE49-F238E27FC236}">
              <a16:creationId xmlns:a16="http://schemas.microsoft.com/office/drawing/2014/main" id="{24F2FD0C-2992-46DA-830D-1E80E815BF3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6" name="Text Box 69">
          <a:extLst>
            <a:ext uri="{FF2B5EF4-FFF2-40B4-BE49-F238E27FC236}">
              <a16:creationId xmlns:a16="http://schemas.microsoft.com/office/drawing/2014/main" id="{F6A2DDFD-BA0F-4D39-9486-AF14A6DA7B2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7" name="Text Box 70">
          <a:extLst>
            <a:ext uri="{FF2B5EF4-FFF2-40B4-BE49-F238E27FC236}">
              <a16:creationId xmlns:a16="http://schemas.microsoft.com/office/drawing/2014/main" id="{E1A1833A-7C58-47FA-A931-684A39A48A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8" name="Text Box 71">
          <a:extLst>
            <a:ext uri="{FF2B5EF4-FFF2-40B4-BE49-F238E27FC236}">
              <a16:creationId xmlns:a16="http://schemas.microsoft.com/office/drawing/2014/main" id="{B1A180E3-3EF3-4304-9B9D-4C21F9FE283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29" name="Text Box 72">
          <a:extLst>
            <a:ext uri="{FF2B5EF4-FFF2-40B4-BE49-F238E27FC236}">
              <a16:creationId xmlns:a16="http://schemas.microsoft.com/office/drawing/2014/main" id="{4425F55D-FE54-4198-8547-C28E3FF5729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0" name="Text Box 9">
          <a:extLst>
            <a:ext uri="{FF2B5EF4-FFF2-40B4-BE49-F238E27FC236}">
              <a16:creationId xmlns:a16="http://schemas.microsoft.com/office/drawing/2014/main" id="{2FF8041B-57B5-464D-A9E4-6258E02ED08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1" name="Text Box 10">
          <a:extLst>
            <a:ext uri="{FF2B5EF4-FFF2-40B4-BE49-F238E27FC236}">
              <a16:creationId xmlns:a16="http://schemas.microsoft.com/office/drawing/2014/main" id="{6C118C08-706D-403A-97FD-E7018713D5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2" name="Text Box 11">
          <a:extLst>
            <a:ext uri="{FF2B5EF4-FFF2-40B4-BE49-F238E27FC236}">
              <a16:creationId xmlns:a16="http://schemas.microsoft.com/office/drawing/2014/main" id="{725F3DAB-0C21-42B1-9EA4-BA146B0C93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3" name="Text Box 12">
          <a:extLst>
            <a:ext uri="{FF2B5EF4-FFF2-40B4-BE49-F238E27FC236}">
              <a16:creationId xmlns:a16="http://schemas.microsoft.com/office/drawing/2014/main" id="{636A21CB-2686-4908-8BBD-7C32429F78A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4" name="Text Box 21">
          <a:extLst>
            <a:ext uri="{FF2B5EF4-FFF2-40B4-BE49-F238E27FC236}">
              <a16:creationId xmlns:a16="http://schemas.microsoft.com/office/drawing/2014/main" id="{4A03159A-2C91-414A-BA3B-AECFF1127E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5" name="Text Box 22">
          <a:extLst>
            <a:ext uri="{FF2B5EF4-FFF2-40B4-BE49-F238E27FC236}">
              <a16:creationId xmlns:a16="http://schemas.microsoft.com/office/drawing/2014/main" id="{D6CC4CB6-310C-4BF4-B134-57074732786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6" name="Text Box 23">
          <a:extLst>
            <a:ext uri="{FF2B5EF4-FFF2-40B4-BE49-F238E27FC236}">
              <a16:creationId xmlns:a16="http://schemas.microsoft.com/office/drawing/2014/main" id="{4FED3A5F-AF58-4F7C-9A2C-EF0838A4986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7" name="Text Box 24">
          <a:extLst>
            <a:ext uri="{FF2B5EF4-FFF2-40B4-BE49-F238E27FC236}">
              <a16:creationId xmlns:a16="http://schemas.microsoft.com/office/drawing/2014/main" id="{B176D567-0E6E-4D3C-ABCA-13D5976A760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8" name="Text Box 33">
          <a:extLst>
            <a:ext uri="{FF2B5EF4-FFF2-40B4-BE49-F238E27FC236}">
              <a16:creationId xmlns:a16="http://schemas.microsoft.com/office/drawing/2014/main" id="{D1969464-75DC-483D-99B9-795187F49E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39" name="Text Box 34">
          <a:extLst>
            <a:ext uri="{FF2B5EF4-FFF2-40B4-BE49-F238E27FC236}">
              <a16:creationId xmlns:a16="http://schemas.microsoft.com/office/drawing/2014/main" id="{7EAFB13E-3FA1-4FCF-9566-E060E442F7B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0" name="Text Box 35">
          <a:extLst>
            <a:ext uri="{FF2B5EF4-FFF2-40B4-BE49-F238E27FC236}">
              <a16:creationId xmlns:a16="http://schemas.microsoft.com/office/drawing/2014/main" id="{45B06FF8-AE4C-4253-926F-648B359331E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1" name="Text Box 36">
          <a:extLst>
            <a:ext uri="{FF2B5EF4-FFF2-40B4-BE49-F238E27FC236}">
              <a16:creationId xmlns:a16="http://schemas.microsoft.com/office/drawing/2014/main" id="{5552DAFC-ECA5-4EFA-8913-55BAA1EC69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2" name="Text Box 45">
          <a:extLst>
            <a:ext uri="{FF2B5EF4-FFF2-40B4-BE49-F238E27FC236}">
              <a16:creationId xmlns:a16="http://schemas.microsoft.com/office/drawing/2014/main" id="{C4F91F36-0A98-4777-B96B-AEDAB581EF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3" name="Text Box 46">
          <a:extLst>
            <a:ext uri="{FF2B5EF4-FFF2-40B4-BE49-F238E27FC236}">
              <a16:creationId xmlns:a16="http://schemas.microsoft.com/office/drawing/2014/main" id="{71AA4A1F-C004-47F1-BFC3-A992BE5AEE5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4" name="Text Box 47">
          <a:extLst>
            <a:ext uri="{FF2B5EF4-FFF2-40B4-BE49-F238E27FC236}">
              <a16:creationId xmlns:a16="http://schemas.microsoft.com/office/drawing/2014/main" id="{EFD1B3F1-75EF-48B9-8B9C-6D563F84D9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5" name="Text Box 48">
          <a:extLst>
            <a:ext uri="{FF2B5EF4-FFF2-40B4-BE49-F238E27FC236}">
              <a16:creationId xmlns:a16="http://schemas.microsoft.com/office/drawing/2014/main" id="{21D3F0A2-67EA-4652-92A3-88FB7A92EEF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6" name="Text Box 57">
          <a:extLst>
            <a:ext uri="{FF2B5EF4-FFF2-40B4-BE49-F238E27FC236}">
              <a16:creationId xmlns:a16="http://schemas.microsoft.com/office/drawing/2014/main" id="{094AC978-53B2-4F16-BE52-95A003211F4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7" name="Text Box 58">
          <a:extLst>
            <a:ext uri="{FF2B5EF4-FFF2-40B4-BE49-F238E27FC236}">
              <a16:creationId xmlns:a16="http://schemas.microsoft.com/office/drawing/2014/main" id="{BB91E709-92D6-4D5C-A5CA-207E2CC85A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8" name="Text Box 59">
          <a:extLst>
            <a:ext uri="{FF2B5EF4-FFF2-40B4-BE49-F238E27FC236}">
              <a16:creationId xmlns:a16="http://schemas.microsoft.com/office/drawing/2014/main" id="{60BEDD94-5CF6-426E-BDB5-BB530F7728F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49" name="Text Box 60">
          <a:extLst>
            <a:ext uri="{FF2B5EF4-FFF2-40B4-BE49-F238E27FC236}">
              <a16:creationId xmlns:a16="http://schemas.microsoft.com/office/drawing/2014/main" id="{F02CDC16-7ABF-441A-B56E-4E48B74D57D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0" name="Text Box 69">
          <a:extLst>
            <a:ext uri="{FF2B5EF4-FFF2-40B4-BE49-F238E27FC236}">
              <a16:creationId xmlns:a16="http://schemas.microsoft.com/office/drawing/2014/main" id="{BABF97AF-BDC3-46C5-B7DF-0751FA681B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1" name="Text Box 70">
          <a:extLst>
            <a:ext uri="{FF2B5EF4-FFF2-40B4-BE49-F238E27FC236}">
              <a16:creationId xmlns:a16="http://schemas.microsoft.com/office/drawing/2014/main" id="{81A94A0C-5B37-4EAC-B4F8-1F0A0028280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2" name="Text Box 71">
          <a:extLst>
            <a:ext uri="{FF2B5EF4-FFF2-40B4-BE49-F238E27FC236}">
              <a16:creationId xmlns:a16="http://schemas.microsoft.com/office/drawing/2014/main" id="{236F14DF-27E6-4AD1-9ECD-F19033D8AD7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3" name="Text Box 72">
          <a:extLst>
            <a:ext uri="{FF2B5EF4-FFF2-40B4-BE49-F238E27FC236}">
              <a16:creationId xmlns:a16="http://schemas.microsoft.com/office/drawing/2014/main" id="{B66A69A2-D8D8-4C8F-ACD2-8324AC90C3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4" name="Text Box 9">
          <a:extLst>
            <a:ext uri="{FF2B5EF4-FFF2-40B4-BE49-F238E27FC236}">
              <a16:creationId xmlns:a16="http://schemas.microsoft.com/office/drawing/2014/main" id="{F2B26EF3-4276-4022-9412-6FA70C3B6F7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5" name="Text Box 10">
          <a:extLst>
            <a:ext uri="{FF2B5EF4-FFF2-40B4-BE49-F238E27FC236}">
              <a16:creationId xmlns:a16="http://schemas.microsoft.com/office/drawing/2014/main" id="{EF249DAF-6ACF-44A9-8D0E-270AF3DD7A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6" name="Text Box 11">
          <a:extLst>
            <a:ext uri="{FF2B5EF4-FFF2-40B4-BE49-F238E27FC236}">
              <a16:creationId xmlns:a16="http://schemas.microsoft.com/office/drawing/2014/main" id="{DFA44ED8-8295-4D8A-AB83-3B0BC6B421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7" name="Text Box 12">
          <a:extLst>
            <a:ext uri="{FF2B5EF4-FFF2-40B4-BE49-F238E27FC236}">
              <a16:creationId xmlns:a16="http://schemas.microsoft.com/office/drawing/2014/main" id="{6A2B6DBD-44BE-4897-96F0-0AE0F8B6697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8" name="Text Box 21">
          <a:extLst>
            <a:ext uri="{FF2B5EF4-FFF2-40B4-BE49-F238E27FC236}">
              <a16:creationId xmlns:a16="http://schemas.microsoft.com/office/drawing/2014/main" id="{1FF2DC8D-A87E-4C08-ADF0-C25D5C31BE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59" name="Text Box 22">
          <a:extLst>
            <a:ext uri="{FF2B5EF4-FFF2-40B4-BE49-F238E27FC236}">
              <a16:creationId xmlns:a16="http://schemas.microsoft.com/office/drawing/2014/main" id="{1ED7160B-5C20-458D-9705-1A1E4F77D99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0" name="Text Box 23">
          <a:extLst>
            <a:ext uri="{FF2B5EF4-FFF2-40B4-BE49-F238E27FC236}">
              <a16:creationId xmlns:a16="http://schemas.microsoft.com/office/drawing/2014/main" id="{FC17772D-25A2-4203-B4DE-04BFDC24E54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1" name="Text Box 24">
          <a:extLst>
            <a:ext uri="{FF2B5EF4-FFF2-40B4-BE49-F238E27FC236}">
              <a16:creationId xmlns:a16="http://schemas.microsoft.com/office/drawing/2014/main" id="{42648823-69B8-4DFD-BE2D-224C467619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2" name="Text Box 33">
          <a:extLst>
            <a:ext uri="{FF2B5EF4-FFF2-40B4-BE49-F238E27FC236}">
              <a16:creationId xmlns:a16="http://schemas.microsoft.com/office/drawing/2014/main" id="{CCE37BAE-EECC-4AF7-9A3C-300A4A7C643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3" name="Text Box 34">
          <a:extLst>
            <a:ext uri="{FF2B5EF4-FFF2-40B4-BE49-F238E27FC236}">
              <a16:creationId xmlns:a16="http://schemas.microsoft.com/office/drawing/2014/main" id="{E990FBA2-A454-4545-B475-243E4E1FF4A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4" name="Text Box 35">
          <a:extLst>
            <a:ext uri="{FF2B5EF4-FFF2-40B4-BE49-F238E27FC236}">
              <a16:creationId xmlns:a16="http://schemas.microsoft.com/office/drawing/2014/main" id="{CA3169F1-97BD-429D-BA5E-321BFEE5086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5" name="Text Box 36">
          <a:extLst>
            <a:ext uri="{FF2B5EF4-FFF2-40B4-BE49-F238E27FC236}">
              <a16:creationId xmlns:a16="http://schemas.microsoft.com/office/drawing/2014/main" id="{A3BA4421-E7F9-458C-BCD0-4FEBACC2DFF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6" name="Text Box 45">
          <a:extLst>
            <a:ext uri="{FF2B5EF4-FFF2-40B4-BE49-F238E27FC236}">
              <a16:creationId xmlns:a16="http://schemas.microsoft.com/office/drawing/2014/main" id="{486266B2-0778-4DED-ACCD-AF79AEEA8CF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7" name="Text Box 46">
          <a:extLst>
            <a:ext uri="{FF2B5EF4-FFF2-40B4-BE49-F238E27FC236}">
              <a16:creationId xmlns:a16="http://schemas.microsoft.com/office/drawing/2014/main" id="{E7EA1E11-2F10-49B3-90BF-E2FEDEE8EC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8" name="Text Box 47">
          <a:extLst>
            <a:ext uri="{FF2B5EF4-FFF2-40B4-BE49-F238E27FC236}">
              <a16:creationId xmlns:a16="http://schemas.microsoft.com/office/drawing/2014/main" id="{327F10F2-C37B-46F0-A000-CCEDEEB548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69" name="Text Box 48">
          <a:extLst>
            <a:ext uri="{FF2B5EF4-FFF2-40B4-BE49-F238E27FC236}">
              <a16:creationId xmlns:a16="http://schemas.microsoft.com/office/drawing/2014/main" id="{73F5D810-0C5A-4665-B4B8-EC59CE07CA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0" name="Text Box 57">
          <a:extLst>
            <a:ext uri="{FF2B5EF4-FFF2-40B4-BE49-F238E27FC236}">
              <a16:creationId xmlns:a16="http://schemas.microsoft.com/office/drawing/2014/main" id="{879E8FD0-6885-4C8C-9F66-0D38BB22012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1" name="Text Box 58">
          <a:extLst>
            <a:ext uri="{FF2B5EF4-FFF2-40B4-BE49-F238E27FC236}">
              <a16:creationId xmlns:a16="http://schemas.microsoft.com/office/drawing/2014/main" id="{56EF9BC5-4840-4CC4-9357-6E435ED5A1B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2" name="Text Box 59">
          <a:extLst>
            <a:ext uri="{FF2B5EF4-FFF2-40B4-BE49-F238E27FC236}">
              <a16:creationId xmlns:a16="http://schemas.microsoft.com/office/drawing/2014/main" id="{6E76B5AC-A1FE-4E57-B46B-0AB44D03A2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3" name="Text Box 60">
          <a:extLst>
            <a:ext uri="{FF2B5EF4-FFF2-40B4-BE49-F238E27FC236}">
              <a16:creationId xmlns:a16="http://schemas.microsoft.com/office/drawing/2014/main" id="{AA2213A9-22C0-4CD3-9954-9329FAADF8C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4" name="Text Box 69">
          <a:extLst>
            <a:ext uri="{FF2B5EF4-FFF2-40B4-BE49-F238E27FC236}">
              <a16:creationId xmlns:a16="http://schemas.microsoft.com/office/drawing/2014/main" id="{AF077D00-2454-4021-8015-907FF56612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5" name="Text Box 70">
          <a:extLst>
            <a:ext uri="{FF2B5EF4-FFF2-40B4-BE49-F238E27FC236}">
              <a16:creationId xmlns:a16="http://schemas.microsoft.com/office/drawing/2014/main" id="{D53D7511-0E84-46E0-BEF8-969FF6938B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6" name="Text Box 71">
          <a:extLst>
            <a:ext uri="{FF2B5EF4-FFF2-40B4-BE49-F238E27FC236}">
              <a16:creationId xmlns:a16="http://schemas.microsoft.com/office/drawing/2014/main" id="{7A0536DD-D374-4190-9043-E6671DBE71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7" name="Text Box 72">
          <a:extLst>
            <a:ext uri="{FF2B5EF4-FFF2-40B4-BE49-F238E27FC236}">
              <a16:creationId xmlns:a16="http://schemas.microsoft.com/office/drawing/2014/main" id="{6F3AC00F-38D0-4577-BE14-019E5E9650B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8" name="Text Box 9">
          <a:extLst>
            <a:ext uri="{FF2B5EF4-FFF2-40B4-BE49-F238E27FC236}">
              <a16:creationId xmlns:a16="http://schemas.microsoft.com/office/drawing/2014/main" id="{D206E648-175E-45A8-974A-8C6873D729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79" name="Text Box 10">
          <a:extLst>
            <a:ext uri="{FF2B5EF4-FFF2-40B4-BE49-F238E27FC236}">
              <a16:creationId xmlns:a16="http://schemas.microsoft.com/office/drawing/2014/main" id="{E1AF71D6-8F14-4D3E-AE3D-3974C42C3E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0" name="Text Box 11">
          <a:extLst>
            <a:ext uri="{FF2B5EF4-FFF2-40B4-BE49-F238E27FC236}">
              <a16:creationId xmlns:a16="http://schemas.microsoft.com/office/drawing/2014/main" id="{2F901BCB-BC0B-4031-8438-9F6EE964F2B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1" name="Text Box 12">
          <a:extLst>
            <a:ext uri="{FF2B5EF4-FFF2-40B4-BE49-F238E27FC236}">
              <a16:creationId xmlns:a16="http://schemas.microsoft.com/office/drawing/2014/main" id="{10DD9270-9365-4C5A-BCA2-C19FEF43F2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2" name="Text Box 21">
          <a:extLst>
            <a:ext uri="{FF2B5EF4-FFF2-40B4-BE49-F238E27FC236}">
              <a16:creationId xmlns:a16="http://schemas.microsoft.com/office/drawing/2014/main" id="{F055F7B7-CC44-4481-B07B-D070035A164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3" name="Text Box 22">
          <a:extLst>
            <a:ext uri="{FF2B5EF4-FFF2-40B4-BE49-F238E27FC236}">
              <a16:creationId xmlns:a16="http://schemas.microsoft.com/office/drawing/2014/main" id="{1602E883-D0E8-42C8-A3D8-BDBF5F5400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4" name="Text Box 23">
          <a:extLst>
            <a:ext uri="{FF2B5EF4-FFF2-40B4-BE49-F238E27FC236}">
              <a16:creationId xmlns:a16="http://schemas.microsoft.com/office/drawing/2014/main" id="{F158FB16-565C-4BD5-BE0D-BCB4126891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5" name="Text Box 24">
          <a:extLst>
            <a:ext uri="{FF2B5EF4-FFF2-40B4-BE49-F238E27FC236}">
              <a16:creationId xmlns:a16="http://schemas.microsoft.com/office/drawing/2014/main" id="{2D7342F1-6B79-44E7-8CED-77AB88D8669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6" name="Text Box 33">
          <a:extLst>
            <a:ext uri="{FF2B5EF4-FFF2-40B4-BE49-F238E27FC236}">
              <a16:creationId xmlns:a16="http://schemas.microsoft.com/office/drawing/2014/main" id="{7C327CC2-442A-4985-8FD7-3793789A5B1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7" name="Text Box 34">
          <a:extLst>
            <a:ext uri="{FF2B5EF4-FFF2-40B4-BE49-F238E27FC236}">
              <a16:creationId xmlns:a16="http://schemas.microsoft.com/office/drawing/2014/main" id="{E7641E61-8D24-461A-AFCD-CD18A60A2AA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8" name="Text Box 35">
          <a:extLst>
            <a:ext uri="{FF2B5EF4-FFF2-40B4-BE49-F238E27FC236}">
              <a16:creationId xmlns:a16="http://schemas.microsoft.com/office/drawing/2014/main" id="{F7AAE75C-F274-453F-BB9A-C29CA7D0ED4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89" name="Text Box 36">
          <a:extLst>
            <a:ext uri="{FF2B5EF4-FFF2-40B4-BE49-F238E27FC236}">
              <a16:creationId xmlns:a16="http://schemas.microsoft.com/office/drawing/2014/main" id="{A0215FC3-6168-49FE-BC09-D14FB48AF2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0" name="Text Box 45">
          <a:extLst>
            <a:ext uri="{FF2B5EF4-FFF2-40B4-BE49-F238E27FC236}">
              <a16:creationId xmlns:a16="http://schemas.microsoft.com/office/drawing/2014/main" id="{BCAB3E39-E57A-49AE-8C2A-BBD394B09D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1" name="Text Box 46">
          <a:extLst>
            <a:ext uri="{FF2B5EF4-FFF2-40B4-BE49-F238E27FC236}">
              <a16:creationId xmlns:a16="http://schemas.microsoft.com/office/drawing/2014/main" id="{3B7C93B2-3BF6-4E77-969A-2C53200F7BB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2" name="Text Box 47">
          <a:extLst>
            <a:ext uri="{FF2B5EF4-FFF2-40B4-BE49-F238E27FC236}">
              <a16:creationId xmlns:a16="http://schemas.microsoft.com/office/drawing/2014/main" id="{B1DD87AD-CA97-4BB3-9888-D4294136D3C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3" name="Text Box 48">
          <a:extLst>
            <a:ext uri="{FF2B5EF4-FFF2-40B4-BE49-F238E27FC236}">
              <a16:creationId xmlns:a16="http://schemas.microsoft.com/office/drawing/2014/main" id="{8440BEE2-CCEA-4DA0-90FC-B8F0636199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4" name="Text Box 57">
          <a:extLst>
            <a:ext uri="{FF2B5EF4-FFF2-40B4-BE49-F238E27FC236}">
              <a16:creationId xmlns:a16="http://schemas.microsoft.com/office/drawing/2014/main" id="{04209762-769D-4730-AF47-D28721BF3F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5" name="Text Box 58">
          <a:extLst>
            <a:ext uri="{FF2B5EF4-FFF2-40B4-BE49-F238E27FC236}">
              <a16:creationId xmlns:a16="http://schemas.microsoft.com/office/drawing/2014/main" id="{62E95E92-4563-4CBC-B7EE-9471F7B25AE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6" name="Text Box 59">
          <a:extLst>
            <a:ext uri="{FF2B5EF4-FFF2-40B4-BE49-F238E27FC236}">
              <a16:creationId xmlns:a16="http://schemas.microsoft.com/office/drawing/2014/main" id="{043A7566-49C6-4AA2-961D-2ADDD0F2CE2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7" name="Text Box 60">
          <a:extLst>
            <a:ext uri="{FF2B5EF4-FFF2-40B4-BE49-F238E27FC236}">
              <a16:creationId xmlns:a16="http://schemas.microsoft.com/office/drawing/2014/main" id="{226717D7-DF5C-400B-A66A-B9EB2ED3AAF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8" name="Text Box 69">
          <a:extLst>
            <a:ext uri="{FF2B5EF4-FFF2-40B4-BE49-F238E27FC236}">
              <a16:creationId xmlns:a16="http://schemas.microsoft.com/office/drawing/2014/main" id="{3853F556-8254-4A70-BA44-FB45989FAB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599" name="Text Box 70">
          <a:extLst>
            <a:ext uri="{FF2B5EF4-FFF2-40B4-BE49-F238E27FC236}">
              <a16:creationId xmlns:a16="http://schemas.microsoft.com/office/drawing/2014/main" id="{A887B96F-95D9-42E7-B161-6814253DC51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0" name="Text Box 71">
          <a:extLst>
            <a:ext uri="{FF2B5EF4-FFF2-40B4-BE49-F238E27FC236}">
              <a16:creationId xmlns:a16="http://schemas.microsoft.com/office/drawing/2014/main" id="{9A49AEB5-B402-4DAF-903A-B771B5E4DD0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1" name="Text Box 72">
          <a:extLst>
            <a:ext uri="{FF2B5EF4-FFF2-40B4-BE49-F238E27FC236}">
              <a16:creationId xmlns:a16="http://schemas.microsoft.com/office/drawing/2014/main" id="{8A4E982F-7CBA-4B90-9703-7E5D641F1C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2" name="Text Box 9">
          <a:extLst>
            <a:ext uri="{FF2B5EF4-FFF2-40B4-BE49-F238E27FC236}">
              <a16:creationId xmlns:a16="http://schemas.microsoft.com/office/drawing/2014/main" id="{2085ECD8-DE47-4B50-992F-B1CADDA5187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3" name="Text Box 10">
          <a:extLst>
            <a:ext uri="{FF2B5EF4-FFF2-40B4-BE49-F238E27FC236}">
              <a16:creationId xmlns:a16="http://schemas.microsoft.com/office/drawing/2014/main" id="{67D066EF-54E2-494A-8373-650724C686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4" name="Text Box 11">
          <a:extLst>
            <a:ext uri="{FF2B5EF4-FFF2-40B4-BE49-F238E27FC236}">
              <a16:creationId xmlns:a16="http://schemas.microsoft.com/office/drawing/2014/main" id="{55C16EB3-91F1-4B51-B6F0-18C6E410BC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5" name="Text Box 12">
          <a:extLst>
            <a:ext uri="{FF2B5EF4-FFF2-40B4-BE49-F238E27FC236}">
              <a16:creationId xmlns:a16="http://schemas.microsoft.com/office/drawing/2014/main" id="{96D3082E-B81B-4FBC-ABB8-D649545A6EE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6" name="Text Box 21">
          <a:extLst>
            <a:ext uri="{FF2B5EF4-FFF2-40B4-BE49-F238E27FC236}">
              <a16:creationId xmlns:a16="http://schemas.microsoft.com/office/drawing/2014/main" id="{DB8C2D9A-E190-424F-8F72-FCB85237EF2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7" name="Text Box 22">
          <a:extLst>
            <a:ext uri="{FF2B5EF4-FFF2-40B4-BE49-F238E27FC236}">
              <a16:creationId xmlns:a16="http://schemas.microsoft.com/office/drawing/2014/main" id="{AF86634A-973A-463F-AAA9-AE1C223705C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8" name="Text Box 23">
          <a:extLst>
            <a:ext uri="{FF2B5EF4-FFF2-40B4-BE49-F238E27FC236}">
              <a16:creationId xmlns:a16="http://schemas.microsoft.com/office/drawing/2014/main" id="{8CDCDE20-A159-46CD-B353-7A9AC53457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09" name="Text Box 24">
          <a:extLst>
            <a:ext uri="{FF2B5EF4-FFF2-40B4-BE49-F238E27FC236}">
              <a16:creationId xmlns:a16="http://schemas.microsoft.com/office/drawing/2014/main" id="{2BEF7F85-7654-4ADB-BEEE-E3B88A813E3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0" name="Text Box 33">
          <a:extLst>
            <a:ext uri="{FF2B5EF4-FFF2-40B4-BE49-F238E27FC236}">
              <a16:creationId xmlns:a16="http://schemas.microsoft.com/office/drawing/2014/main" id="{83608644-D60B-4DDB-83C3-25F1F206EA6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1" name="Text Box 34">
          <a:extLst>
            <a:ext uri="{FF2B5EF4-FFF2-40B4-BE49-F238E27FC236}">
              <a16:creationId xmlns:a16="http://schemas.microsoft.com/office/drawing/2014/main" id="{898D7015-7B27-41B9-8C8A-5A86F40339A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2" name="Text Box 35">
          <a:extLst>
            <a:ext uri="{FF2B5EF4-FFF2-40B4-BE49-F238E27FC236}">
              <a16:creationId xmlns:a16="http://schemas.microsoft.com/office/drawing/2014/main" id="{5E506053-5CA4-47BA-BD2A-1BA735CD75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3" name="Text Box 36">
          <a:extLst>
            <a:ext uri="{FF2B5EF4-FFF2-40B4-BE49-F238E27FC236}">
              <a16:creationId xmlns:a16="http://schemas.microsoft.com/office/drawing/2014/main" id="{985F8E43-15BB-4037-83EC-5399208F4E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4" name="Text Box 45">
          <a:extLst>
            <a:ext uri="{FF2B5EF4-FFF2-40B4-BE49-F238E27FC236}">
              <a16:creationId xmlns:a16="http://schemas.microsoft.com/office/drawing/2014/main" id="{69F3F288-B2E7-4DE3-8BCE-45722162EFD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5" name="Text Box 46">
          <a:extLst>
            <a:ext uri="{FF2B5EF4-FFF2-40B4-BE49-F238E27FC236}">
              <a16:creationId xmlns:a16="http://schemas.microsoft.com/office/drawing/2014/main" id="{FC96FBA3-3E18-4CC0-A5D9-0CD2B66ED1F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6" name="Text Box 47">
          <a:extLst>
            <a:ext uri="{FF2B5EF4-FFF2-40B4-BE49-F238E27FC236}">
              <a16:creationId xmlns:a16="http://schemas.microsoft.com/office/drawing/2014/main" id="{7D9AE3C0-E243-4BD2-9E9F-756AA2BD42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7" name="Text Box 48">
          <a:extLst>
            <a:ext uri="{FF2B5EF4-FFF2-40B4-BE49-F238E27FC236}">
              <a16:creationId xmlns:a16="http://schemas.microsoft.com/office/drawing/2014/main" id="{76FDFA11-70A1-4A43-9231-B5F708F30A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8" name="Text Box 57">
          <a:extLst>
            <a:ext uri="{FF2B5EF4-FFF2-40B4-BE49-F238E27FC236}">
              <a16:creationId xmlns:a16="http://schemas.microsoft.com/office/drawing/2014/main" id="{CA4A5441-81BF-404D-95D1-C6625CE90DA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19" name="Text Box 58">
          <a:extLst>
            <a:ext uri="{FF2B5EF4-FFF2-40B4-BE49-F238E27FC236}">
              <a16:creationId xmlns:a16="http://schemas.microsoft.com/office/drawing/2014/main" id="{B4791329-FE76-4A86-8FE3-028A6159C6C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0" name="Text Box 59">
          <a:extLst>
            <a:ext uri="{FF2B5EF4-FFF2-40B4-BE49-F238E27FC236}">
              <a16:creationId xmlns:a16="http://schemas.microsoft.com/office/drawing/2014/main" id="{C49DBAF5-1123-464A-A4DA-A3DC057C249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1" name="Text Box 60">
          <a:extLst>
            <a:ext uri="{FF2B5EF4-FFF2-40B4-BE49-F238E27FC236}">
              <a16:creationId xmlns:a16="http://schemas.microsoft.com/office/drawing/2014/main" id="{FD890D5F-D212-4DBD-B36F-6BA1EE367D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2" name="Text Box 69">
          <a:extLst>
            <a:ext uri="{FF2B5EF4-FFF2-40B4-BE49-F238E27FC236}">
              <a16:creationId xmlns:a16="http://schemas.microsoft.com/office/drawing/2014/main" id="{C3172667-91CD-4779-AE10-810EC536E8C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3" name="Text Box 70">
          <a:extLst>
            <a:ext uri="{FF2B5EF4-FFF2-40B4-BE49-F238E27FC236}">
              <a16:creationId xmlns:a16="http://schemas.microsoft.com/office/drawing/2014/main" id="{9D4E26FA-3F93-4ECF-9EC9-96A3F61C158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4" name="Text Box 71">
          <a:extLst>
            <a:ext uri="{FF2B5EF4-FFF2-40B4-BE49-F238E27FC236}">
              <a16:creationId xmlns:a16="http://schemas.microsoft.com/office/drawing/2014/main" id="{3DFE8A28-EC5C-4985-A458-53C12D7ECB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5" name="Text Box 72">
          <a:extLst>
            <a:ext uri="{FF2B5EF4-FFF2-40B4-BE49-F238E27FC236}">
              <a16:creationId xmlns:a16="http://schemas.microsoft.com/office/drawing/2014/main" id="{7D92855C-4BF9-475C-BD63-088FBA64B8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6" name="Text Box 9">
          <a:extLst>
            <a:ext uri="{FF2B5EF4-FFF2-40B4-BE49-F238E27FC236}">
              <a16:creationId xmlns:a16="http://schemas.microsoft.com/office/drawing/2014/main" id="{58AEAC14-6242-4108-B6D7-886EF932A23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7" name="Text Box 10">
          <a:extLst>
            <a:ext uri="{FF2B5EF4-FFF2-40B4-BE49-F238E27FC236}">
              <a16:creationId xmlns:a16="http://schemas.microsoft.com/office/drawing/2014/main" id="{700ACDE6-C85A-454E-8484-87771F9EB1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8" name="Text Box 11">
          <a:extLst>
            <a:ext uri="{FF2B5EF4-FFF2-40B4-BE49-F238E27FC236}">
              <a16:creationId xmlns:a16="http://schemas.microsoft.com/office/drawing/2014/main" id="{D030B396-952C-4FAE-9C35-F3F5C65FBA6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29" name="Text Box 12">
          <a:extLst>
            <a:ext uri="{FF2B5EF4-FFF2-40B4-BE49-F238E27FC236}">
              <a16:creationId xmlns:a16="http://schemas.microsoft.com/office/drawing/2014/main" id="{A69E1601-F79E-460E-9DCD-716F673DA7E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0" name="Text Box 21">
          <a:extLst>
            <a:ext uri="{FF2B5EF4-FFF2-40B4-BE49-F238E27FC236}">
              <a16:creationId xmlns:a16="http://schemas.microsoft.com/office/drawing/2014/main" id="{B637532A-CB8B-466C-B1A2-49BF59A47A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1" name="Text Box 22">
          <a:extLst>
            <a:ext uri="{FF2B5EF4-FFF2-40B4-BE49-F238E27FC236}">
              <a16:creationId xmlns:a16="http://schemas.microsoft.com/office/drawing/2014/main" id="{6A24026D-E341-40BB-9F50-425DDBE142A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2" name="Text Box 23">
          <a:extLst>
            <a:ext uri="{FF2B5EF4-FFF2-40B4-BE49-F238E27FC236}">
              <a16:creationId xmlns:a16="http://schemas.microsoft.com/office/drawing/2014/main" id="{65509015-CB79-474D-A534-AEA65EB5FDB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3" name="Text Box 24">
          <a:extLst>
            <a:ext uri="{FF2B5EF4-FFF2-40B4-BE49-F238E27FC236}">
              <a16:creationId xmlns:a16="http://schemas.microsoft.com/office/drawing/2014/main" id="{F607D608-9127-422D-A61D-E23CFA4E192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4" name="Text Box 33">
          <a:extLst>
            <a:ext uri="{FF2B5EF4-FFF2-40B4-BE49-F238E27FC236}">
              <a16:creationId xmlns:a16="http://schemas.microsoft.com/office/drawing/2014/main" id="{CDF0C22D-7720-456D-8905-D7FCE837FE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5" name="Text Box 34">
          <a:extLst>
            <a:ext uri="{FF2B5EF4-FFF2-40B4-BE49-F238E27FC236}">
              <a16:creationId xmlns:a16="http://schemas.microsoft.com/office/drawing/2014/main" id="{ACE3C152-FE00-4837-8427-5AAAF15FCB9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6" name="Text Box 35">
          <a:extLst>
            <a:ext uri="{FF2B5EF4-FFF2-40B4-BE49-F238E27FC236}">
              <a16:creationId xmlns:a16="http://schemas.microsoft.com/office/drawing/2014/main" id="{289CB4A9-08C7-4871-8416-790F8B2CC7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7" name="Text Box 36">
          <a:extLst>
            <a:ext uri="{FF2B5EF4-FFF2-40B4-BE49-F238E27FC236}">
              <a16:creationId xmlns:a16="http://schemas.microsoft.com/office/drawing/2014/main" id="{1024A0C9-BB0B-4F04-8581-63B1C3ADAB5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8" name="Text Box 45">
          <a:extLst>
            <a:ext uri="{FF2B5EF4-FFF2-40B4-BE49-F238E27FC236}">
              <a16:creationId xmlns:a16="http://schemas.microsoft.com/office/drawing/2014/main" id="{7755675F-940F-4820-93A5-DA8C165149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39" name="Text Box 46">
          <a:extLst>
            <a:ext uri="{FF2B5EF4-FFF2-40B4-BE49-F238E27FC236}">
              <a16:creationId xmlns:a16="http://schemas.microsoft.com/office/drawing/2014/main" id="{7E1EBEA4-A85F-44C6-BCCC-10F60522EA7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0" name="Text Box 47">
          <a:extLst>
            <a:ext uri="{FF2B5EF4-FFF2-40B4-BE49-F238E27FC236}">
              <a16:creationId xmlns:a16="http://schemas.microsoft.com/office/drawing/2014/main" id="{9B7208C2-7513-4BEA-B1B7-718D2480723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1" name="Text Box 48">
          <a:extLst>
            <a:ext uri="{FF2B5EF4-FFF2-40B4-BE49-F238E27FC236}">
              <a16:creationId xmlns:a16="http://schemas.microsoft.com/office/drawing/2014/main" id="{59FBA30F-2F56-418B-B7B5-0EC072092E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2" name="Text Box 57">
          <a:extLst>
            <a:ext uri="{FF2B5EF4-FFF2-40B4-BE49-F238E27FC236}">
              <a16:creationId xmlns:a16="http://schemas.microsoft.com/office/drawing/2014/main" id="{02EAA2AB-6AA4-4B01-AF89-5BA6B1E71D1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3" name="Text Box 58">
          <a:extLst>
            <a:ext uri="{FF2B5EF4-FFF2-40B4-BE49-F238E27FC236}">
              <a16:creationId xmlns:a16="http://schemas.microsoft.com/office/drawing/2014/main" id="{353DEC65-896A-418E-A6E0-545BF5E0072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4" name="Text Box 59">
          <a:extLst>
            <a:ext uri="{FF2B5EF4-FFF2-40B4-BE49-F238E27FC236}">
              <a16:creationId xmlns:a16="http://schemas.microsoft.com/office/drawing/2014/main" id="{D3B0218D-BEB4-4014-84AC-D90C886B79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5" name="Text Box 60">
          <a:extLst>
            <a:ext uri="{FF2B5EF4-FFF2-40B4-BE49-F238E27FC236}">
              <a16:creationId xmlns:a16="http://schemas.microsoft.com/office/drawing/2014/main" id="{B211B18E-EDFE-4544-AD59-6BCEAF49A92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6" name="Text Box 69">
          <a:extLst>
            <a:ext uri="{FF2B5EF4-FFF2-40B4-BE49-F238E27FC236}">
              <a16:creationId xmlns:a16="http://schemas.microsoft.com/office/drawing/2014/main" id="{388DADE8-C4F8-4777-8469-E9E065633B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7" name="Text Box 70">
          <a:extLst>
            <a:ext uri="{FF2B5EF4-FFF2-40B4-BE49-F238E27FC236}">
              <a16:creationId xmlns:a16="http://schemas.microsoft.com/office/drawing/2014/main" id="{952420C9-2298-41DB-9A48-E352CACE30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8" name="Text Box 71">
          <a:extLst>
            <a:ext uri="{FF2B5EF4-FFF2-40B4-BE49-F238E27FC236}">
              <a16:creationId xmlns:a16="http://schemas.microsoft.com/office/drawing/2014/main" id="{DF165E91-1EC5-4290-A756-2B8B88762AD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49" name="Text Box 72">
          <a:extLst>
            <a:ext uri="{FF2B5EF4-FFF2-40B4-BE49-F238E27FC236}">
              <a16:creationId xmlns:a16="http://schemas.microsoft.com/office/drawing/2014/main" id="{809473B4-14BA-4B48-8B91-68A605FD1AA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0" name="Text Box 9">
          <a:extLst>
            <a:ext uri="{FF2B5EF4-FFF2-40B4-BE49-F238E27FC236}">
              <a16:creationId xmlns:a16="http://schemas.microsoft.com/office/drawing/2014/main" id="{EAFEC145-97EC-4505-8C84-1F1B4AC378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1" name="Text Box 10">
          <a:extLst>
            <a:ext uri="{FF2B5EF4-FFF2-40B4-BE49-F238E27FC236}">
              <a16:creationId xmlns:a16="http://schemas.microsoft.com/office/drawing/2014/main" id="{373615C3-B209-4A7E-A80C-C6D6E6C3A25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2" name="Text Box 11">
          <a:extLst>
            <a:ext uri="{FF2B5EF4-FFF2-40B4-BE49-F238E27FC236}">
              <a16:creationId xmlns:a16="http://schemas.microsoft.com/office/drawing/2014/main" id="{8C11C8F8-BE37-49F4-A2A1-2EDAC5A6108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3" name="Text Box 12">
          <a:extLst>
            <a:ext uri="{FF2B5EF4-FFF2-40B4-BE49-F238E27FC236}">
              <a16:creationId xmlns:a16="http://schemas.microsoft.com/office/drawing/2014/main" id="{25CE1C25-FA4B-4F3D-99B4-E581D073EA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4" name="Text Box 21">
          <a:extLst>
            <a:ext uri="{FF2B5EF4-FFF2-40B4-BE49-F238E27FC236}">
              <a16:creationId xmlns:a16="http://schemas.microsoft.com/office/drawing/2014/main" id="{B62C8A46-23AF-4067-8B30-F3BDF91A242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5" name="Text Box 22">
          <a:extLst>
            <a:ext uri="{FF2B5EF4-FFF2-40B4-BE49-F238E27FC236}">
              <a16:creationId xmlns:a16="http://schemas.microsoft.com/office/drawing/2014/main" id="{B92019E0-3FF3-4001-A07B-9DDDCD4072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6" name="Text Box 23">
          <a:extLst>
            <a:ext uri="{FF2B5EF4-FFF2-40B4-BE49-F238E27FC236}">
              <a16:creationId xmlns:a16="http://schemas.microsoft.com/office/drawing/2014/main" id="{615C9910-D158-4DC1-9E3A-483C4B43E81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7" name="Text Box 24">
          <a:extLst>
            <a:ext uri="{FF2B5EF4-FFF2-40B4-BE49-F238E27FC236}">
              <a16:creationId xmlns:a16="http://schemas.microsoft.com/office/drawing/2014/main" id="{5B3AECCF-6929-437A-B80C-124AC570679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8" name="Text Box 33">
          <a:extLst>
            <a:ext uri="{FF2B5EF4-FFF2-40B4-BE49-F238E27FC236}">
              <a16:creationId xmlns:a16="http://schemas.microsoft.com/office/drawing/2014/main" id="{F7D44022-BDB9-4FE5-8029-CAB2799D42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59" name="Text Box 34">
          <a:extLst>
            <a:ext uri="{FF2B5EF4-FFF2-40B4-BE49-F238E27FC236}">
              <a16:creationId xmlns:a16="http://schemas.microsoft.com/office/drawing/2014/main" id="{5B3ABD93-81A7-423F-B10B-72EB06B59E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0" name="Text Box 35">
          <a:extLst>
            <a:ext uri="{FF2B5EF4-FFF2-40B4-BE49-F238E27FC236}">
              <a16:creationId xmlns:a16="http://schemas.microsoft.com/office/drawing/2014/main" id="{8EC0373C-0DC7-4E0A-9B6A-D175381B819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1" name="Text Box 36">
          <a:extLst>
            <a:ext uri="{FF2B5EF4-FFF2-40B4-BE49-F238E27FC236}">
              <a16:creationId xmlns:a16="http://schemas.microsoft.com/office/drawing/2014/main" id="{42EE1F86-FB86-4D4A-A027-8CF15C72DC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2" name="Text Box 45">
          <a:extLst>
            <a:ext uri="{FF2B5EF4-FFF2-40B4-BE49-F238E27FC236}">
              <a16:creationId xmlns:a16="http://schemas.microsoft.com/office/drawing/2014/main" id="{F33D30F3-FAE9-47AF-87A5-810C2B5720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3" name="Text Box 46">
          <a:extLst>
            <a:ext uri="{FF2B5EF4-FFF2-40B4-BE49-F238E27FC236}">
              <a16:creationId xmlns:a16="http://schemas.microsoft.com/office/drawing/2014/main" id="{B694138F-75AF-4685-9C23-D314163EBF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4" name="Text Box 47">
          <a:extLst>
            <a:ext uri="{FF2B5EF4-FFF2-40B4-BE49-F238E27FC236}">
              <a16:creationId xmlns:a16="http://schemas.microsoft.com/office/drawing/2014/main" id="{4BFA8B43-700E-4A43-8AC2-7668D9EFAD3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5" name="Text Box 48">
          <a:extLst>
            <a:ext uri="{FF2B5EF4-FFF2-40B4-BE49-F238E27FC236}">
              <a16:creationId xmlns:a16="http://schemas.microsoft.com/office/drawing/2014/main" id="{71AAB8BA-C731-4F10-8BB1-1EBB8369BFB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6" name="Text Box 57">
          <a:extLst>
            <a:ext uri="{FF2B5EF4-FFF2-40B4-BE49-F238E27FC236}">
              <a16:creationId xmlns:a16="http://schemas.microsoft.com/office/drawing/2014/main" id="{B6B8D091-2ECF-4CF1-8BAF-52831F632C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7" name="Text Box 58">
          <a:extLst>
            <a:ext uri="{FF2B5EF4-FFF2-40B4-BE49-F238E27FC236}">
              <a16:creationId xmlns:a16="http://schemas.microsoft.com/office/drawing/2014/main" id="{F2DA0D5F-55B1-4FBC-9077-379AC13C4C7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8" name="Text Box 59">
          <a:extLst>
            <a:ext uri="{FF2B5EF4-FFF2-40B4-BE49-F238E27FC236}">
              <a16:creationId xmlns:a16="http://schemas.microsoft.com/office/drawing/2014/main" id="{9DE26B30-1E4C-4D02-BA39-EBEAF5D81FE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69" name="Text Box 60">
          <a:extLst>
            <a:ext uri="{FF2B5EF4-FFF2-40B4-BE49-F238E27FC236}">
              <a16:creationId xmlns:a16="http://schemas.microsoft.com/office/drawing/2014/main" id="{53FD390F-5C74-4522-940F-F250A33DE3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0" name="Text Box 69">
          <a:extLst>
            <a:ext uri="{FF2B5EF4-FFF2-40B4-BE49-F238E27FC236}">
              <a16:creationId xmlns:a16="http://schemas.microsoft.com/office/drawing/2014/main" id="{E994ACBC-702D-4B86-B3B9-0081B62B4A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1" name="Text Box 70">
          <a:extLst>
            <a:ext uri="{FF2B5EF4-FFF2-40B4-BE49-F238E27FC236}">
              <a16:creationId xmlns:a16="http://schemas.microsoft.com/office/drawing/2014/main" id="{B8AA4071-A589-4EE3-B89B-D608E214A7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2" name="Text Box 71">
          <a:extLst>
            <a:ext uri="{FF2B5EF4-FFF2-40B4-BE49-F238E27FC236}">
              <a16:creationId xmlns:a16="http://schemas.microsoft.com/office/drawing/2014/main" id="{75D8E456-B24E-4615-A0D6-2F4D24AF132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3" name="Text Box 72">
          <a:extLst>
            <a:ext uri="{FF2B5EF4-FFF2-40B4-BE49-F238E27FC236}">
              <a16:creationId xmlns:a16="http://schemas.microsoft.com/office/drawing/2014/main" id="{BFEE9B7E-6393-4103-AC0E-A6D51C3DE3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4" name="Text Box 9">
          <a:extLst>
            <a:ext uri="{FF2B5EF4-FFF2-40B4-BE49-F238E27FC236}">
              <a16:creationId xmlns:a16="http://schemas.microsoft.com/office/drawing/2014/main" id="{B6FE2F40-B47C-4AD7-8D9D-7D7E66C7774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5" name="Text Box 10">
          <a:extLst>
            <a:ext uri="{FF2B5EF4-FFF2-40B4-BE49-F238E27FC236}">
              <a16:creationId xmlns:a16="http://schemas.microsoft.com/office/drawing/2014/main" id="{DD99B580-D1C6-47B2-822B-FAB529D688A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6" name="Text Box 11">
          <a:extLst>
            <a:ext uri="{FF2B5EF4-FFF2-40B4-BE49-F238E27FC236}">
              <a16:creationId xmlns:a16="http://schemas.microsoft.com/office/drawing/2014/main" id="{CEBE26BE-D0A1-449E-8B16-D734C8F905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7" name="Text Box 12">
          <a:extLst>
            <a:ext uri="{FF2B5EF4-FFF2-40B4-BE49-F238E27FC236}">
              <a16:creationId xmlns:a16="http://schemas.microsoft.com/office/drawing/2014/main" id="{F7E7E47E-2BA8-40D3-84F3-0214E23A25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8" name="Text Box 21">
          <a:extLst>
            <a:ext uri="{FF2B5EF4-FFF2-40B4-BE49-F238E27FC236}">
              <a16:creationId xmlns:a16="http://schemas.microsoft.com/office/drawing/2014/main" id="{EAFEE774-F921-46BF-A283-28FE54D792D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79" name="Text Box 22">
          <a:extLst>
            <a:ext uri="{FF2B5EF4-FFF2-40B4-BE49-F238E27FC236}">
              <a16:creationId xmlns:a16="http://schemas.microsoft.com/office/drawing/2014/main" id="{B0A59F31-0295-42B2-8CBC-1DBCE670E3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0" name="Text Box 23">
          <a:extLst>
            <a:ext uri="{FF2B5EF4-FFF2-40B4-BE49-F238E27FC236}">
              <a16:creationId xmlns:a16="http://schemas.microsoft.com/office/drawing/2014/main" id="{B2740025-7376-49FD-93ED-2020FC5A89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1" name="Text Box 24">
          <a:extLst>
            <a:ext uri="{FF2B5EF4-FFF2-40B4-BE49-F238E27FC236}">
              <a16:creationId xmlns:a16="http://schemas.microsoft.com/office/drawing/2014/main" id="{589FDBC0-8CC8-4B5F-90E9-2CBB1BB738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2" name="Text Box 33">
          <a:extLst>
            <a:ext uri="{FF2B5EF4-FFF2-40B4-BE49-F238E27FC236}">
              <a16:creationId xmlns:a16="http://schemas.microsoft.com/office/drawing/2014/main" id="{7C608148-CB00-4E99-97CA-8E1B2268C6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3" name="Text Box 34">
          <a:extLst>
            <a:ext uri="{FF2B5EF4-FFF2-40B4-BE49-F238E27FC236}">
              <a16:creationId xmlns:a16="http://schemas.microsoft.com/office/drawing/2014/main" id="{E79B3F0B-C4C7-4FE6-9570-C3BA7CD969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4" name="Text Box 35">
          <a:extLst>
            <a:ext uri="{FF2B5EF4-FFF2-40B4-BE49-F238E27FC236}">
              <a16:creationId xmlns:a16="http://schemas.microsoft.com/office/drawing/2014/main" id="{444184F4-98CA-426A-B08E-F3F7CA149CF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5" name="Text Box 36">
          <a:extLst>
            <a:ext uri="{FF2B5EF4-FFF2-40B4-BE49-F238E27FC236}">
              <a16:creationId xmlns:a16="http://schemas.microsoft.com/office/drawing/2014/main" id="{9037FD6F-B6B5-4443-AB15-1D631BE5BF1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6" name="Text Box 45">
          <a:extLst>
            <a:ext uri="{FF2B5EF4-FFF2-40B4-BE49-F238E27FC236}">
              <a16:creationId xmlns:a16="http://schemas.microsoft.com/office/drawing/2014/main" id="{E69EFC93-614D-4607-A7C9-6C550CB529C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7" name="Text Box 46">
          <a:extLst>
            <a:ext uri="{FF2B5EF4-FFF2-40B4-BE49-F238E27FC236}">
              <a16:creationId xmlns:a16="http://schemas.microsoft.com/office/drawing/2014/main" id="{0CF70B40-06F7-439B-BA2A-3FC40789A66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8" name="Text Box 47">
          <a:extLst>
            <a:ext uri="{FF2B5EF4-FFF2-40B4-BE49-F238E27FC236}">
              <a16:creationId xmlns:a16="http://schemas.microsoft.com/office/drawing/2014/main" id="{E47FE045-6542-4E85-A309-07825C29C62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89" name="Text Box 48">
          <a:extLst>
            <a:ext uri="{FF2B5EF4-FFF2-40B4-BE49-F238E27FC236}">
              <a16:creationId xmlns:a16="http://schemas.microsoft.com/office/drawing/2014/main" id="{683D99E1-F6D1-49C1-90FC-5E413F84D4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0" name="Text Box 57">
          <a:extLst>
            <a:ext uri="{FF2B5EF4-FFF2-40B4-BE49-F238E27FC236}">
              <a16:creationId xmlns:a16="http://schemas.microsoft.com/office/drawing/2014/main" id="{3A5C70A8-03B2-4E3A-9BAB-6319581D010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1" name="Text Box 58">
          <a:extLst>
            <a:ext uri="{FF2B5EF4-FFF2-40B4-BE49-F238E27FC236}">
              <a16:creationId xmlns:a16="http://schemas.microsoft.com/office/drawing/2014/main" id="{F7D1211F-4E62-4E04-AE19-5D9291C0C0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2" name="Text Box 59">
          <a:extLst>
            <a:ext uri="{FF2B5EF4-FFF2-40B4-BE49-F238E27FC236}">
              <a16:creationId xmlns:a16="http://schemas.microsoft.com/office/drawing/2014/main" id="{6D61472D-D7C2-480A-B23C-F0C89B1D4C1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3" name="Text Box 60">
          <a:extLst>
            <a:ext uri="{FF2B5EF4-FFF2-40B4-BE49-F238E27FC236}">
              <a16:creationId xmlns:a16="http://schemas.microsoft.com/office/drawing/2014/main" id="{E62BF360-CCA7-452D-8D84-6CD09CA0E62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4" name="Text Box 69">
          <a:extLst>
            <a:ext uri="{FF2B5EF4-FFF2-40B4-BE49-F238E27FC236}">
              <a16:creationId xmlns:a16="http://schemas.microsoft.com/office/drawing/2014/main" id="{2576141A-CDC4-41F4-90D3-C9627E71B6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5" name="Text Box 70">
          <a:extLst>
            <a:ext uri="{FF2B5EF4-FFF2-40B4-BE49-F238E27FC236}">
              <a16:creationId xmlns:a16="http://schemas.microsoft.com/office/drawing/2014/main" id="{7271D554-B7A4-4FF0-B8E3-30126055DF9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6" name="Text Box 71">
          <a:extLst>
            <a:ext uri="{FF2B5EF4-FFF2-40B4-BE49-F238E27FC236}">
              <a16:creationId xmlns:a16="http://schemas.microsoft.com/office/drawing/2014/main" id="{339F99ED-6CCA-4900-8C35-62C4719FD39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7" name="Text Box 72">
          <a:extLst>
            <a:ext uri="{FF2B5EF4-FFF2-40B4-BE49-F238E27FC236}">
              <a16:creationId xmlns:a16="http://schemas.microsoft.com/office/drawing/2014/main" id="{15751B33-D21F-49D4-9E2B-D5D7971E6B5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8" name="Text Box 9">
          <a:extLst>
            <a:ext uri="{FF2B5EF4-FFF2-40B4-BE49-F238E27FC236}">
              <a16:creationId xmlns:a16="http://schemas.microsoft.com/office/drawing/2014/main" id="{7974993B-B5C3-4039-A217-5C1DB6241DC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699" name="Text Box 10">
          <a:extLst>
            <a:ext uri="{FF2B5EF4-FFF2-40B4-BE49-F238E27FC236}">
              <a16:creationId xmlns:a16="http://schemas.microsoft.com/office/drawing/2014/main" id="{A33A6284-8F6F-41EE-AD22-E43E9EEA4BB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0" name="Text Box 11">
          <a:extLst>
            <a:ext uri="{FF2B5EF4-FFF2-40B4-BE49-F238E27FC236}">
              <a16:creationId xmlns:a16="http://schemas.microsoft.com/office/drawing/2014/main" id="{8EB3EED7-EA95-4EA9-9FC3-FE4835384E2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1" name="Text Box 12">
          <a:extLst>
            <a:ext uri="{FF2B5EF4-FFF2-40B4-BE49-F238E27FC236}">
              <a16:creationId xmlns:a16="http://schemas.microsoft.com/office/drawing/2014/main" id="{613B9513-5BC9-4098-91A3-8735E724B8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2" name="Text Box 21">
          <a:extLst>
            <a:ext uri="{FF2B5EF4-FFF2-40B4-BE49-F238E27FC236}">
              <a16:creationId xmlns:a16="http://schemas.microsoft.com/office/drawing/2014/main" id="{626A6ED9-6BC5-4D3D-B6E2-449DAC6D666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3" name="Text Box 22">
          <a:extLst>
            <a:ext uri="{FF2B5EF4-FFF2-40B4-BE49-F238E27FC236}">
              <a16:creationId xmlns:a16="http://schemas.microsoft.com/office/drawing/2014/main" id="{589061B7-6F81-47C9-AEE4-B7264F63A1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4" name="Text Box 23">
          <a:extLst>
            <a:ext uri="{FF2B5EF4-FFF2-40B4-BE49-F238E27FC236}">
              <a16:creationId xmlns:a16="http://schemas.microsoft.com/office/drawing/2014/main" id="{F69595E3-B2B6-4F5B-9526-4574150E1A8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5" name="Text Box 24">
          <a:extLst>
            <a:ext uri="{FF2B5EF4-FFF2-40B4-BE49-F238E27FC236}">
              <a16:creationId xmlns:a16="http://schemas.microsoft.com/office/drawing/2014/main" id="{07C2F2A2-123A-4929-9CC8-71992B1BFD8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6" name="Text Box 33">
          <a:extLst>
            <a:ext uri="{FF2B5EF4-FFF2-40B4-BE49-F238E27FC236}">
              <a16:creationId xmlns:a16="http://schemas.microsoft.com/office/drawing/2014/main" id="{CF69C924-3F45-4663-942A-D81175219D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7" name="Text Box 34">
          <a:extLst>
            <a:ext uri="{FF2B5EF4-FFF2-40B4-BE49-F238E27FC236}">
              <a16:creationId xmlns:a16="http://schemas.microsoft.com/office/drawing/2014/main" id="{49E8E2E6-2E27-41F2-97DD-504D48409A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8" name="Text Box 35">
          <a:extLst>
            <a:ext uri="{FF2B5EF4-FFF2-40B4-BE49-F238E27FC236}">
              <a16:creationId xmlns:a16="http://schemas.microsoft.com/office/drawing/2014/main" id="{C7175C3A-37AC-42E8-9A24-A316081DB0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09" name="Text Box 36">
          <a:extLst>
            <a:ext uri="{FF2B5EF4-FFF2-40B4-BE49-F238E27FC236}">
              <a16:creationId xmlns:a16="http://schemas.microsoft.com/office/drawing/2014/main" id="{B80D4F93-408F-4871-A4DC-54E64C06C27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0" name="Text Box 45">
          <a:extLst>
            <a:ext uri="{FF2B5EF4-FFF2-40B4-BE49-F238E27FC236}">
              <a16:creationId xmlns:a16="http://schemas.microsoft.com/office/drawing/2014/main" id="{800FF1F6-25C3-4388-A6C8-13AC0BE80FC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1" name="Text Box 46">
          <a:extLst>
            <a:ext uri="{FF2B5EF4-FFF2-40B4-BE49-F238E27FC236}">
              <a16:creationId xmlns:a16="http://schemas.microsoft.com/office/drawing/2014/main" id="{804FD93D-091A-41BC-9967-B1E66A787D3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2" name="Text Box 47">
          <a:extLst>
            <a:ext uri="{FF2B5EF4-FFF2-40B4-BE49-F238E27FC236}">
              <a16:creationId xmlns:a16="http://schemas.microsoft.com/office/drawing/2014/main" id="{A6F8DCE9-C228-46B7-841E-88F3148A72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3" name="Text Box 48">
          <a:extLst>
            <a:ext uri="{FF2B5EF4-FFF2-40B4-BE49-F238E27FC236}">
              <a16:creationId xmlns:a16="http://schemas.microsoft.com/office/drawing/2014/main" id="{DE068E6E-3A85-4862-B129-BF24CAF58B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4" name="Text Box 57">
          <a:extLst>
            <a:ext uri="{FF2B5EF4-FFF2-40B4-BE49-F238E27FC236}">
              <a16:creationId xmlns:a16="http://schemas.microsoft.com/office/drawing/2014/main" id="{9DE84EDA-EC8B-462D-99A1-8A2D698712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5" name="Text Box 58">
          <a:extLst>
            <a:ext uri="{FF2B5EF4-FFF2-40B4-BE49-F238E27FC236}">
              <a16:creationId xmlns:a16="http://schemas.microsoft.com/office/drawing/2014/main" id="{528EFE3E-62A3-4BAA-BE38-F15ECAE37D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6" name="Text Box 59">
          <a:extLst>
            <a:ext uri="{FF2B5EF4-FFF2-40B4-BE49-F238E27FC236}">
              <a16:creationId xmlns:a16="http://schemas.microsoft.com/office/drawing/2014/main" id="{C38ABEA5-E457-47E4-BEF2-B1A5B4DDA81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7" name="Text Box 60">
          <a:extLst>
            <a:ext uri="{FF2B5EF4-FFF2-40B4-BE49-F238E27FC236}">
              <a16:creationId xmlns:a16="http://schemas.microsoft.com/office/drawing/2014/main" id="{2C9486CE-5609-4F0D-99C3-1326E9DFECA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8" name="Text Box 69">
          <a:extLst>
            <a:ext uri="{FF2B5EF4-FFF2-40B4-BE49-F238E27FC236}">
              <a16:creationId xmlns:a16="http://schemas.microsoft.com/office/drawing/2014/main" id="{DD326B4F-EEE8-4C8C-93A8-50E31CEF28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19" name="Text Box 70">
          <a:extLst>
            <a:ext uri="{FF2B5EF4-FFF2-40B4-BE49-F238E27FC236}">
              <a16:creationId xmlns:a16="http://schemas.microsoft.com/office/drawing/2014/main" id="{3E27BC79-C62D-4683-9D4F-FEBBD91B12A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0" name="Text Box 71">
          <a:extLst>
            <a:ext uri="{FF2B5EF4-FFF2-40B4-BE49-F238E27FC236}">
              <a16:creationId xmlns:a16="http://schemas.microsoft.com/office/drawing/2014/main" id="{56118F22-1DC8-4D08-8497-8A9AA35E31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1" name="Text Box 72">
          <a:extLst>
            <a:ext uri="{FF2B5EF4-FFF2-40B4-BE49-F238E27FC236}">
              <a16:creationId xmlns:a16="http://schemas.microsoft.com/office/drawing/2014/main" id="{7F58E817-5F06-462E-821C-7D31B646A0B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2" name="Text Box 9">
          <a:extLst>
            <a:ext uri="{FF2B5EF4-FFF2-40B4-BE49-F238E27FC236}">
              <a16:creationId xmlns:a16="http://schemas.microsoft.com/office/drawing/2014/main" id="{CEC64E80-5845-4190-9A5E-F0F5EA8DCB3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3" name="Text Box 10">
          <a:extLst>
            <a:ext uri="{FF2B5EF4-FFF2-40B4-BE49-F238E27FC236}">
              <a16:creationId xmlns:a16="http://schemas.microsoft.com/office/drawing/2014/main" id="{42F41190-E8F3-4558-BBA7-B6660DAFAA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4" name="Text Box 11">
          <a:extLst>
            <a:ext uri="{FF2B5EF4-FFF2-40B4-BE49-F238E27FC236}">
              <a16:creationId xmlns:a16="http://schemas.microsoft.com/office/drawing/2014/main" id="{49CB4163-B741-4BA8-BF1E-7D6AE9B5ABE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5" name="Text Box 12">
          <a:extLst>
            <a:ext uri="{FF2B5EF4-FFF2-40B4-BE49-F238E27FC236}">
              <a16:creationId xmlns:a16="http://schemas.microsoft.com/office/drawing/2014/main" id="{87CBCFDD-6B46-4189-BB92-0EAD2DCE553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6" name="Text Box 21">
          <a:extLst>
            <a:ext uri="{FF2B5EF4-FFF2-40B4-BE49-F238E27FC236}">
              <a16:creationId xmlns:a16="http://schemas.microsoft.com/office/drawing/2014/main" id="{B245EA5D-4D8F-4B1F-88B3-8D7BFE77A2F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7" name="Text Box 22">
          <a:extLst>
            <a:ext uri="{FF2B5EF4-FFF2-40B4-BE49-F238E27FC236}">
              <a16:creationId xmlns:a16="http://schemas.microsoft.com/office/drawing/2014/main" id="{EC28D429-FAD2-4096-A2E5-B06BA65822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8" name="Text Box 23">
          <a:extLst>
            <a:ext uri="{FF2B5EF4-FFF2-40B4-BE49-F238E27FC236}">
              <a16:creationId xmlns:a16="http://schemas.microsoft.com/office/drawing/2014/main" id="{49C22544-570F-4BF4-9905-0078F4684A9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29" name="Text Box 24">
          <a:extLst>
            <a:ext uri="{FF2B5EF4-FFF2-40B4-BE49-F238E27FC236}">
              <a16:creationId xmlns:a16="http://schemas.microsoft.com/office/drawing/2014/main" id="{5D964C97-F1AC-4F4D-8667-495A641E34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0" name="Text Box 33">
          <a:extLst>
            <a:ext uri="{FF2B5EF4-FFF2-40B4-BE49-F238E27FC236}">
              <a16:creationId xmlns:a16="http://schemas.microsoft.com/office/drawing/2014/main" id="{F73B3E2F-4533-414D-90D8-5016D92521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1" name="Text Box 34">
          <a:extLst>
            <a:ext uri="{FF2B5EF4-FFF2-40B4-BE49-F238E27FC236}">
              <a16:creationId xmlns:a16="http://schemas.microsoft.com/office/drawing/2014/main" id="{1EC5C959-4344-4674-8BA4-A05C0147806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2" name="Text Box 35">
          <a:extLst>
            <a:ext uri="{FF2B5EF4-FFF2-40B4-BE49-F238E27FC236}">
              <a16:creationId xmlns:a16="http://schemas.microsoft.com/office/drawing/2014/main" id="{9D71B43B-4B52-473B-8322-D2CB9DA5061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3" name="Text Box 36">
          <a:extLst>
            <a:ext uri="{FF2B5EF4-FFF2-40B4-BE49-F238E27FC236}">
              <a16:creationId xmlns:a16="http://schemas.microsoft.com/office/drawing/2014/main" id="{470D1EFD-295D-4352-BDD5-71E2344098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4" name="Text Box 45">
          <a:extLst>
            <a:ext uri="{FF2B5EF4-FFF2-40B4-BE49-F238E27FC236}">
              <a16:creationId xmlns:a16="http://schemas.microsoft.com/office/drawing/2014/main" id="{0C723A9C-533E-419B-B6A8-A7FF5467E4E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5" name="Text Box 46">
          <a:extLst>
            <a:ext uri="{FF2B5EF4-FFF2-40B4-BE49-F238E27FC236}">
              <a16:creationId xmlns:a16="http://schemas.microsoft.com/office/drawing/2014/main" id="{FC78E692-110A-45E8-B8ED-D563BA8D7CB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6" name="Text Box 47">
          <a:extLst>
            <a:ext uri="{FF2B5EF4-FFF2-40B4-BE49-F238E27FC236}">
              <a16:creationId xmlns:a16="http://schemas.microsoft.com/office/drawing/2014/main" id="{C9FC01E1-EC27-47EC-B94D-C9F2850F0C2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7" name="Text Box 48">
          <a:extLst>
            <a:ext uri="{FF2B5EF4-FFF2-40B4-BE49-F238E27FC236}">
              <a16:creationId xmlns:a16="http://schemas.microsoft.com/office/drawing/2014/main" id="{6228C3AE-DA64-4707-9AA6-9AA9AEE3BFD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8" name="Text Box 57">
          <a:extLst>
            <a:ext uri="{FF2B5EF4-FFF2-40B4-BE49-F238E27FC236}">
              <a16:creationId xmlns:a16="http://schemas.microsoft.com/office/drawing/2014/main" id="{5E03C8DD-3F33-4273-83C6-9D45879A729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39" name="Text Box 58">
          <a:extLst>
            <a:ext uri="{FF2B5EF4-FFF2-40B4-BE49-F238E27FC236}">
              <a16:creationId xmlns:a16="http://schemas.microsoft.com/office/drawing/2014/main" id="{BC10C799-B4DE-487C-9AE0-0CB0CD2A7D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0" name="Text Box 59">
          <a:extLst>
            <a:ext uri="{FF2B5EF4-FFF2-40B4-BE49-F238E27FC236}">
              <a16:creationId xmlns:a16="http://schemas.microsoft.com/office/drawing/2014/main" id="{17BDD0F3-A1CD-4C0B-9AFE-3F2553F814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1" name="Text Box 60">
          <a:extLst>
            <a:ext uri="{FF2B5EF4-FFF2-40B4-BE49-F238E27FC236}">
              <a16:creationId xmlns:a16="http://schemas.microsoft.com/office/drawing/2014/main" id="{97D30DDE-320A-4BF0-AE2E-8A65B8E3E7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2" name="Text Box 69">
          <a:extLst>
            <a:ext uri="{FF2B5EF4-FFF2-40B4-BE49-F238E27FC236}">
              <a16:creationId xmlns:a16="http://schemas.microsoft.com/office/drawing/2014/main" id="{E2FEFA0C-BB9D-4C61-9A28-C6A8E919DB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3" name="Text Box 70">
          <a:extLst>
            <a:ext uri="{FF2B5EF4-FFF2-40B4-BE49-F238E27FC236}">
              <a16:creationId xmlns:a16="http://schemas.microsoft.com/office/drawing/2014/main" id="{82B2B443-495E-4311-87F6-B96387F8A39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4" name="Text Box 71">
          <a:extLst>
            <a:ext uri="{FF2B5EF4-FFF2-40B4-BE49-F238E27FC236}">
              <a16:creationId xmlns:a16="http://schemas.microsoft.com/office/drawing/2014/main" id="{9A26054F-F525-4FE4-A0E0-7FEC591739A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5" name="Text Box 72">
          <a:extLst>
            <a:ext uri="{FF2B5EF4-FFF2-40B4-BE49-F238E27FC236}">
              <a16:creationId xmlns:a16="http://schemas.microsoft.com/office/drawing/2014/main" id="{D8D414A4-A65E-4353-934F-4D25E75EF1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6" name="Text Box 9">
          <a:extLst>
            <a:ext uri="{FF2B5EF4-FFF2-40B4-BE49-F238E27FC236}">
              <a16:creationId xmlns:a16="http://schemas.microsoft.com/office/drawing/2014/main" id="{40AEB358-1DE8-41E7-819C-B61AC02218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7" name="Text Box 10">
          <a:extLst>
            <a:ext uri="{FF2B5EF4-FFF2-40B4-BE49-F238E27FC236}">
              <a16:creationId xmlns:a16="http://schemas.microsoft.com/office/drawing/2014/main" id="{0003B246-003C-417C-9EF4-BA811743E25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8" name="Text Box 11">
          <a:extLst>
            <a:ext uri="{FF2B5EF4-FFF2-40B4-BE49-F238E27FC236}">
              <a16:creationId xmlns:a16="http://schemas.microsoft.com/office/drawing/2014/main" id="{F4FE8DF1-72A5-4DF8-A9EE-3D08ADD85F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49" name="Text Box 12">
          <a:extLst>
            <a:ext uri="{FF2B5EF4-FFF2-40B4-BE49-F238E27FC236}">
              <a16:creationId xmlns:a16="http://schemas.microsoft.com/office/drawing/2014/main" id="{EA1AB447-0794-4EC8-9C3F-74071DAC61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0" name="Text Box 21">
          <a:extLst>
            <a:ext uri="{FF2B5EF4-FFF2-40B4-BE49-F238E27FC236}">
              <a16:creationId xmlns:a16="http://schemas.microsoft.com/office/drawing/2014/main" id="{90926B27-71AF-4C18-9E95-361F6395C5A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1" name="Text Box 22">
          <a:extLst>
            <a:ext uri="{FF2B5EF4-FFF2-40B4-BE49-F238E27FC236}">
              <a16:creationId xmlns:a16="http://schemas.microsoft.com/office/drawing/2014/main" id="{1CE0C236-A261-4025-8C59-D3C916E7658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2" name="Text Box 23">
          <a:extLst>
            <a:ext uri="{FF2B5EF4-FFF2-40B4-BE49-F238E27FC236}">
              <a16:creationId xmlns:a16="http://schemas.microsoft.com/office/drawing/2014/main" id="{2AB6A634-42C8-4B76-8FB4-1E3D62E63C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3" name="Text Box 24">
          <a:extLst>
            <a:ext uri="{FF2B5EF4-FFF2-40B4-BE49-F238E27FC236}">
              <a16:creationId xmlns:a16="http://schemas.microsoft.com/office/drawing/2014/main" id="{D6C69FEA-96A2-4D23-B654-B316CCB7F68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4" name="Text Box 33">
          <a:extLst>
            <a:ext uri="{FF2B5EF4-FFF2-40B4-BE49-F238E27FC236}">
              <a16:creationId xmlns:a16="http://schemas.microsoft.com/office/drawing/2014/main" id="{0BDD45F4-F606-42AB-8B01-1B6DE13066D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5" name="Text Box 34">
          <a:extLst>
            <a:ext uri="{FF2B5EF4-FFF2-40B4-BE49-F238E27FC236}">
              <a16:creationId xmlns:a16="http://schemas.microsoft.com/office/drawing/2014/main" id="{C208DA3B-1F97-4BE5-B2F8-85815889776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6" name="Text Box 35">
          <a:extLst>
            <a:ext uri="{FF2B5EF4-FFF2-40B4-BE49-F238E27FC236}">
              <a16:creationId xmlns:a16="http://schemas.microsoft.com/office/drawing/2014/main" id="{84E8F4F4-F173-420D-8B1A-79C7EE91E40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7" name="Text Box 36">
          <a:extLst>
            <a:ext uri="{FF2B5EF4-FFF2-40B4-BE49-F238E27FC236}">
              <a16:creationId xmlns:a16="http://schemas.microsoft.com/office/drawing/2014/main" id="{B0A20DAA-D694-4EC3-B943-6ED31907C3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8" name="Text Box 45">
          <a:extLst>
            <a:ext uri="{FF2B5EF4-FFF2-40B4-BE49-F238E27FC236}">
              <a16:creationId xmlns:a16="http://schemas.microsoft.com/office/drawing/2014/main" id="{10B45F26-E696-41FE-B6EF-9E586AD50E4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59" name="Text Box 46">
          <a:extLst>
            <a:ext uri="{FF2B5EF4-FFF2-40B4-BE49-F238E27FC236}">
              <a16:creationId xmlns:a16="http://schemas.microsoft.com/office/drawing/2014/main" id="{A93DE9A0-8324-47B4-BD51-68D601657D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0" name="Text Box 47">
          <a:extLst>
            <a:ext uri="{FF2B5EF4-FFF2-40B4-BE49-F238E27FC236}">
              <a16:creationId xmlns:a16="http://schemas.microsoft.com/office/drawing/2014/main" id="{BD841ABA-8644-4769-AE3F-CD62F6C335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1" name="Text Box 48">
          <a:extLst>
            <a:ext uri="{FF2B5EF4-FFF2-40B4-BE49-F238E27FC236}">
              <a16:creationId xmlns:a16="http://schemas.microsoft.com/office/drawing/2014/main" id="{0E428EDC-29F1-4B6B-9B7C-165B30D2A1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2" name="Text Box 57">
          <a:extLst>
            <a:ext uri="{FF2B5EF4-FFF2-40B4-BE49-F238E27FC236}">
              <a16:creationId xmlns:a16="http://schemas.microsoft.com/office/drawing/2014/main" id="{5CD2BE53-04E5-43C2-A918-83C2ACED769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3" name="Text Box 58">
          <a:extLst>
            <a:ext uri="{FF2B5EF4-FFF2-40B4-BE49-F238E27FC236}">
              <a16:creationId xmlns:a16="http://schemas.microsoft.com/office/drawing/2014/main" id="{8125CFDE-5156-4525-BA8D-EC63421CD8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4" name="Text Box 59">
          <a:extLst>
            <a:ext uri="{FF2B5EF4-FFF2-40B4-BE49-F238E27FC236}">
              <a16:creationId xmlns:a16="http://schemas.microsoft.com/office/drawing/2014/main" id="{954EDBBF-DD05-40A6-8777-B218467E8F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5" name="Text Box 60">
          <a:extLst>
            <a:ext uri="{FF2B5EF4-FFF2-40B4-BE49-F238E27FC236}">
              <a16:creationId xmlns:a16="http://schemas.microsoft.com/office/drawing/2014/main" id="{4AF3AF1E-48CC-4C57-9BC7-5F1EDE0B1E6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6" name="Text Box 69">
          <a:extLst>
            <a:ext uri="{FF2B5EF4-FFF2-40B4-BE49-F238E27FC236}">
              <a16:creationId xmlns:a16="http://schemas.microsoft.com/office/drawing/2014/main" id="{45E568A0-F927-4818-8BCE-10C7BE6377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7" name="Text Box 70">
          <a:extLst>
            <a:ext uri="{FF2B5EF4-FFF2-40B4-BE49-F238E27FC236}">
              <a16:creationId xmlns:a16="http://schemas.microsoft.com/office/drawing/2014/main" id="{E4798C3C-060B-4BB5-BB4F-AA98A8F26FA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8" name="Text Box 71">
          <a:extLst>
            <a:ext uri="{FF2B5EF4-FFF2-40B4-BE49-F238E27FC236}">
              <a16:creationId xmlns:a16="http://schemas.microsoft.com/office/drawing/2014/main" id="{FFCD24A3-27C4-4027-AFD2-B58FA75072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69" name="Text Box 72">
          <a:extLst>
            <a:ext uri="{FF2B5EF4-FFF2-40B4-BE49-F238E27FC236}">
              <a16:creationId xmlns:a16="http://schemas.microsoft.com/office/drawing/2014/main" id="{309014C4-7301-4CE6-992A-E85A7175938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0" name="Text Box 9">
          <a:extLst>
            <a:ext uri="{FF2B5EF4-FFF2-40B4-BE49-F238E27FC236}">
              <a16:creationId xmlns:a16="http://schemas.microsoft.com/office/drawing/2014/main" id="{7FAD0930-4F26-4C59-9897-4817D738FFB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1" name="Text Box 10">
          <a:extLst>
            <a:ext uri="{FF2B5EF4-FFF2-40B4-BE49-F238E27FC236}">
              <a16:creationId xmlns:a16="http://schemas.microsoft.com/office/drawing/2014/main" id="{B9773359-D72F-49E3-A0CA-A4465C2CF6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2" name="Text Box 11">
          <a:extLst>
            <a:ext uri="{FF2B5EF4-FFF2-40B4-BE49-F238E27FC236}">
              <a16:creationId xmlns:a16="http://schemas.microsoft.com/office/drawing/2014/main" id="{FEC043F1-78CA-448E-A6A0-5C92A39266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3" name="Text Box 12">
          <a:extLst>
            <a:ext uri="{FF2B5EF4-FFF2-40B4-BE49-F238E27FC236}">
              <a16:creationId xmlns:a16="http://schemas.microsoft.com/office/drawing/2014/main" id="{E107DF59-A70E-4F81-BE56-5CBA495B3C1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4" name="Text Box 21">
          <a:extLst>
            <a:ext uri="{FF2B5EF4-FFF2-40B4-BE49-F238E27FC236}">
              <a16:creationId xmlns:a16="http://schemas.microsoft.com/office/drawing/2014/main" id="{32CAE446-8323-4202-97B6-D0286026E15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5" name="Text Box 22">
          <a:extLst>
            <a:ext uri="{FF2B5EF4-FFF2-40B4-BE49-F238E27FC236}">
              <a16:creationId xmlns:a16="http://schemas.microsoft.com/office/drawing/2014/main" id="{FF6BC744-08C0-4ADD-9270-90469CA240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6" name="Text Box 23">
          <a:extLst>
            <a:ext uri="{FF2B5EF4-FFF2-40B4-BE49-F238E27FC236}">
              <a16:creationId xmlns:a16="http://schemas.microsoft.com/office/drawing/2014/main" id="{9F81FD0D-CB55-4154-A329-C1DA4F8197E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7" name="Text Box 24">
          <a:extLst>
            <a:ext uri="{FF2B5EF4-FFF2-40B4-BE49-F238E27FC236}">
              <a16:creationId xmlns:a16="http://schemas.microsoft.com/office/drawing/2014/main" id="{0D9D409B-200D-48DE-9ADC-F6C50D4979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8" name="Text Box 33">
          <a:extLst>
            <a:ext uri="{FF2B5EF4-FFF2-40B4-BE49-F238E27FC236}">
              <a16:creationId xmlns:a16="http://schemas.microsoft.com/office/drawing/2014/main" id="{4961247F-99B8-410A-8D77-1AB42DCBF2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79" name="Text Box 34">
          <a:extLst>
            <a:ext uri="{FF2B5EF4-FFF2-40B4-BE49-F238E27FC236}">
              <a16:creationId xmlns:a16="http://schemas.microsoft.com/office/drawing/2014/main" id="{40F8D18F-809F-4C93-B8BF-CAAA2215C01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0" name="Text Box 35">
          <a:extLst>
            <a:ext uri="{FF2B5EF4-FFF2-40B4-BE49-F238E27FC236}">
              <a16:creationId xmlns:a16="http://schemas.microsoft.com/office/drawing/2014/main" id="{72F4A347-489F-438D-960B-4284D08F8AB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1" name="Text Box 36">
          <a:extLst>
            <a:ext uri="{FF2B5EF4-FFF2-40B4-BE49-F238E27FC236}">
              <a16:creationId xmlns:a16="http://schemas.microsoft.com/office/drawing/2014/main" id="{FC5977FF-68ED-4046-8530-347AFA54924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2" name="Text Box 45">
          <a:extLst>
            <a:ext uri="{FF2B5EF4-FFF2-40B4-BE49-F238E27FC236}">
              <a16:creationId xmlns:a16="http://schemas.microsoft.com/office/drawing/2014/main" id="{C9CBDF8F-7E7D-4719-8528-6CD6B7D8B4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3" name="Text Box 46">
          <a:extLst>
            <a:ext uri="{FF2B5EF4-FFF2-40B4-BE49-F238E27FC236}">
              <a16:creationId xmlns:a16="http://schemas.microsoft.com/office/drawing/2014/main" id="{8AF7D9F2-FC71-43F4-8B91-C60102CE4A8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4" name="Text Box 47">
          <a:extLst>
            <a:ext uri="{FF2B5EF4-FFF2-40B4-BE49-F238E27FC236}">
              <a16:creationId xmlns:a16="http://schemas.microsoft.com/office/drawing/2014/main" id="{54634E27-EB84-4EB3-A315-52978F5812D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5" name="Text Box 48">
          <a:extLst>
            <a:ext uri="{FF2B5EF4-FFF2-40B4-BE49-F238E27FC236}">
              <a16:creationId xmlns:a16="http://schemas.microsoft.com/office/drawing/2014/main" id="{CE869492-0C9E-4756-8DA1-3B04B475A25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6" name="Text Box 57">
          <a:extLst>
            <a:ext uri="{FF2B5EF4-FFF2-40B4-BE49-F238E27FC236}">
              <a16:creationId xmlns:a16="http://schemas.microsoft.com/office/drawing/2014/main" id="{E8208972-E868-46BB-A4B7-B4620ECE460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7" name="Text Box 58">
          <a:extLst>
            <a:ext uri="{FF2B5EF4-FFF2-40B4-BE49-F238E27FC236}">
              <a16:creationId xmlns:a16="http://schemas.microsoft.com/office/drawing/2014/main" id="{E4BFB38B-36FB-41CC-BA01-981FF3C9F20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8" name="Text Box 59">
          <a:extLst>
            <a:ext uri="{FF2B5EF4-FFF2-40B4-BE49-F238E27FC236}">
              <a16:creationId xmlns:a16="http://schemas.microsoft.com/office/drawing/2014/main" id="{BA9D979A-FC10-4744-9400-162E61CB26B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89" name="Text Box 60">
          <a:extLst>
            <a:ext uri="{FF2B5EF4-FFF2-40B4-BE49-F238E27FC236}">
              <a16:creationId xmlns:a16="http://schemas.microsoft.com/office/drawing/2014/main" id="{E266A00D-AED2-4BF2-A4CE-964EF39E561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0" name="Text Box 69">
          <a:extLst>
            <a:ext uri="{FF2B5EF4-FFF2-40B4-BE49-F238E27FC236}">
              <a16:creationId xmlns:a16="http://schemas.microsoft.com/office/drawing/2014/main" id="{2B32384C-7C5E-468A-802E-32CACBB2B3D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1" name="Text Box 70">
          <a:extLst>
            <a:ext uri="{FF2B5EF4-FFF2-40B4-BE49-F238E27FC236}">
              <a16:creationId xmlns:a16="http://schemas.microsoft.com/office/drawing/2014/main" id="{97A8F8BB-2137-4CC9-9435-7AC5887CC0F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2" name="Text Box 71">
          <a:extLst>
            <a:ext uri="{FF2B5EF4-FFF2-40B4-BE49-F238E27FC236}">
              <a16:creationId xmlns:a16="http://schemas.microsoft.com/office/drawing/2014/main" id="{53AD5DBE-F621-4BEA-92F1-9D46C7DED5F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3" name="Text Box 72">
          <a:extLst>
            <a:ext uri="{FF2B5EF4-FFF2-40B4-BE49-F238E27FC236}">
              <a16:creationId xmlns:a16="http://schemas.microsoft.com/office/drawing/2014/main" id="{4A1A5F27-FB1F-408B-8B01-75D028F0EE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4" name="Text Box 9">
          <a:extLst>
            <a:ext uri="{FF2B5EF4-FFF2-40B4-BE49-F238E27FC236}">
              <a16:creationId xmlns:a16="http://schemas.microsoft.com/office/drawing/2014/main" id="{A746CB9E-36E8-4718-ACB6-2D3DCA9256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5" name="Text Box 10">
          <a:extLst>
            <a:ext uri="{FF2B5EF4-FFF2-40B4-BE49-F238E27FC236}">
              <a16:creationId xmlns:a16="http://schemas.microsoft.com/office/drawing/2014/main" id="{568CA38D-4FB7-46EB-9887-D5E76EDCF4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6" name="Text Box 11">
          <a:extLst>
            <a:ext uri="{FF2B5EF4-FFF2-40B4-BE49-F238E27FC236}">
              <a16:creationId xmlns:a16="http://schemas.microsoft.com/office/drawing/2014/main" id="{AE1E4530-9EA9-4C07-80B4-E293CE27E2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7" name="Text Box 12">
          <a:extLst>
            <a:ext uri="{FF2B5EF4-FFF2-40B4-BE49-F238E27FC236}">
              <a16:creationId xmlns:a16="http://schemas.microsoft.com/office/drawing/2014/main" id="{D165C21E-76E3-4FF4-83BA-9325BF654F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8" name="Text Box 21">
          <a:extLst>
            <a:ext uri="{FF2B5EF4-FFF2-40B4-BE49-F238E27FC236}">
              <a16:creationId xmlns:a16="http://schemas.microsoft.com/office/drawing/2014/main" id="{C9FDE235-1A41-4E8D-A3D3-10D47145009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799" name="Text Box 22">
          <a:extLst>
            <a:ext uri="{FF2B5EF4-FFF2-40B4-BE49-F238E27FC236}">
              <a16:creationId xmlns:a16="http://schemas.microsoft.com/office/drawing/2014/main" id="{221FD110-7973-4472-87EC-A9C11A0F1A5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0" name="Text Box 23">
          <a:extLst>
            <a:ext uri="{FF2B5EF4-FFF2-40B4-BE49-F238E27FC236}">
              <a16:creationId xmlns:a16="http://schemas.microsoft.com/office/drawing/2014/main" id="{6FCB1D4F-A267-454F-B07B-71B2013E7D9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1" name="Text Box 24">
          <a:extLst>
            <a:ext uri="{FF2B5EF4-FFF2-40B4-BE49-F238E27FC236}">
              <a16:creationId xmlns:a16="http://schemas.microsoft.com/office/drawing/2014/main" id="{2BDF046B-FE87-4588-9850-D362734AE6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2" name="Text Box 33">
          <a:extLst>
            <a:ext uri="{FF2B5EF4-FFF2-40B4-BE49-F238E27FC236}">
              <a16:creationId xmlns:a16="http://schemas.microsoft.com/office/drawing/2014/main" id="{F58FCF78-D2F9-4FAF-824C-7A9A190DB3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3" name="Text Box 34">
          <a:extLst>
            <a:ext uri="{FF2B5EF4-FFF2-40B4-BE49-F238E27FC236}">
              <a16:creationId xmlns:a16="http://schemas.microsoft.com/office/drawing/2014/main" id="{9F3571A6-591D-47F1-8388-7A42420C108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4" name="Text Box 35">
          <a:extLst>
            <a:ext uri="{FF2B5EF4-FFF2-40B4-BE49-F238E27FC236}">
              <a16:creationId xmlns:a16="http://schemas.microsoft.com/office/drawing/2014/main" id="{84A11BA8-85BE-4383-8E6A-A910F554D3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5" name="Text Box 36">
          <a:extLst>
            <a:ext uri="{FF2B5EF4-FFF2-40B4-BE49-F238E27FC236}">
              <a16:creationId xmlns:a16="http://schemas.microsoft.com/office/drawing/2014/main" id="{0D2444B1-34F4-44B7-A5AF-18FEB8D1A3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6" name="Text Box 45">
          <a:extLst>
            <a:ext uri="{FF2B5EF4-FFF2-40B4-BE49-F238E27FC236}">
              <a16:creationId xmlns:a16="http://schemas.microsoft.com/office/drawing/2014/main" id="{8B286236-2CB3-41F9-9113-11136014ECE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7" name="Text Box 46">
          <a:extLst>
            <a:ext uri="{FF2B5EF4-FFF2-40B4-BE49-F238E27FC236}">
              <a16:creationId xmlns:a16="http://schemas.microsoft.com/office/drawing/2014/main" id="{DEEB3E9B-D65E-44F6-91B0-3F8793F385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8" name="Text Box 47">
          <a:extLst>
            <a:ext uri="{FF2B5EF4-FFF2-40B4-BE49-F238E27FC236}">
              <a16:creationId xmlns:a16="http://schemas.microsoft.com/office/drawing/2014/main" id="{7FF69844-0CF5-46BF-A9FC-D1E41B52692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09" name="Text Box 48">
          <a:extLst>
            <a:ext uri="{FF2B5EF4-FFF2-40B4-BE49-F238E27FC236}">
              <a16:creationId xmlns:a16="http://schemas.microsoft.com/office/drawing/2014/main" id="{513569CA-B766-4561-90DF-903F26D34D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0" name="Text Box 57">
          <a:extLst>
            <a:ext uri="{FF2B5EF4-FFF2-40B4-BE49-F238E27FC236}">
              <a16:creationId xmlns:a16="http://schemas.microsoft.com/office/drawing/2014/main" id="{42BE7A27-E338-41DD-82D2-127BF16574F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1" name="Text Box 58">
          <a:extLst>
            <a:ext uri="{FF2B5EF4-FFF2-40B4-BE49-F238E27FC236}">
              <a16:creationId xmlns:a16="http://schemas.microsoft.com/office/drawing/2014/main" id="{CD2311EF-0089-4975-9C5B-6806D9F6E2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2" name="Text Box 59">
          <a:extLst>
            <a:ext uri="{FF2B5EF4-FFF2-40B4-BE49-F238E27FC236}">
              <a16:creationId xmlns:a16="http://schemas.microsoft.com/office/drawing/2014/main" id="{2870E11B-C196-4A2A-B957-288A4F0816E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3" name="Text Box 60">
          <a:extLst>
            <a:ext uri="{FF2B5EF4-FFF2-40B4-BE49-F238E27FC236}">
              <a16:creationId xmlns:a16="http://schemas.microsoft.com/office/drawing/2014/main" id="{F6CB999D-A45F-41EE-A289-CF1192C158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4" name="Text Box 69">
          <a:extLst>
            <a:ext uri="{FF2B5EF4-FFF2-40B4-BE49-F238E27FC236}">
              <a16:creationId xmlns:a16="http://schemas.microsoft.com/office/drawing/2014/main" id="{A786619C-E365-44F0-BDC3-FF9784850B1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5" name="Text Box 70">
          <a:extLst>
            <a:ext uri="{FF2B5EF4-FFF2-40B4-BE49-F238E27FC236}">
              <a16:creationId xmlns:a16="http://schemas.microsoft.com/office/drawing/2014/main" id="{3CA463CE-6F40-4CFD-9F7B-781446284A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6" name="Text Box 71">
          <a:extLst>
            <a:ext uri="{FF2B5EF4-FFF2-40B4-BE49-F238E27FC236}">
              <a16:creationId xmlns:a16="http://schemas.microsoft.com/office/drawing/2014/main" id="{0A6338CD-E81F-44AE-845B-00982A5EB84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7" name="Text Box 72">
          <a:extLst>
            <a:ext uri="{FF2B5EF4-FFF2-40B4-BE49-F238E27FC236}">
              <a16:creationId xmlns:a16="http://schemas.microsoft.com/office/drawing/2014/main" id="{86E4B7B3-098D-4E0F-9C84-A5F445854D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8" name="Text Box 9">
          <a:extLst>
            <a:ext uri="{FF2B5EF4-FFF2-40B4-BE49-F238E27FC236}">
              <a16:creationId xmlns:a16="http://schemas.microsoft.com/office/drawing/2014/main" id="{BA6BD7A9-E27E-4E4B-A68C-97C279C6A3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19" name="Text Box 10">
          <a:extLst>
            <a:ext uri="{FF2B5EF4-FFF2-40B4-BE49-F238E27FC236}">
              <a16:creationId xmlns:a16="http://schemas.microsoft.com/office/drawing/2014/main" id="{1C153742-09D6-460F-89E0-9D26B3500ED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0" name="Text Box 11">
          <a:extLst>
            <a:ext uri="{FF2B5EF4-FFF2-40B4-BE49-F238E27FC236}">
              <a16:creationId xmlns:a16="http://schemas.microsoft.com/office/drawing/2014/main" id="{9D68D0C4-1174-4E05-99B5-6089C2031A3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1" name="Text Box 12">
          <a:extLst>
            <a:ext uri="{FF2B5EF4-FFF2-40B4-BE49-F238E27FC236}">
              <a16:creationId xmlns:a16="http://schemas.microsoft.com/office/drawing/2014/main" id="{18EE2A56-6B3E-4C6A-9CE9-2A50E2FCD5A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2" name="Text Box 21">
          <a:extLst>
            <a:ext uri="{FF2B5EF4-FFF2-40B4-BE49-F238E27FC236}">
              <a16:creationId xmlns:a16="http://schemas.microsoft.com/office/drawing/2014/main" id="{C052CD96-1AD8-47C6-B8B0-1476AA6F0C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3" name="Text Box 22">
          <a:extLst>
            <a:ext uri="{FF2B5EF4-FFF2-40B4-BE49-F238E27FC236}">
              <a16:creationId xmlns:a16="http://schemas.microsoft.com/office/drawing/2014/main" id="{EF6BC029-9535-48E5-A8FE-8A392FAF0DA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4" name="Text Box 23">
          <a:extLst>
            <a:ext uri="{FF2B5EF4-FFF2-40B4-BE49-F238E27FC236}">
              <a16:creationId xmlns:a16="http://schemas.microsoft.com/office/drawing/2014/main" id="{9A5097C3-6D8E-40D5-9C0E-34BDCF99262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5" name="Text Box 24">
          <a:extLst>
            <a:ext uri="{FF2B5EF4-FFF2-40B4-BE49-F238E27FC236}">
              <a16:creationId xmlns:a16="http://schemas.microsoft.com/office/drawing/2014/main" id="{6720FC9F-590A-4651-8724-C2419A98033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6" name="Text Box 33">
          <a:extLst>
            <a:ext uri="{FF2B5EF4-FFF2-40B4-BE49-F238E27FC236}">
              <a16:creationId xmlns:a16="http://schemas.microsoft.com/office/drawing/2014/main" id="{AEBB6B23-17DD-4D8E-B00B-738A4FD1AE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7" name="Text Box 34">
          <a:extLst>
            <a:ext uri="{FF2B5EF4-FFF2-40B4-BE49-F238E27FC236}">
              <a16:creationId xmlns:a16="http://schemas.microsoft.com/office/drawing/2014/main" id="{81B4977F-6226-4678-AA08-AF622E4CB85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8" name="Text Box 35">
          <a:extLst>
            <a:ext uri="{FF2B5EF4-FFF2-40B4-BE49-F238E27FC236}">
              <a16:creationId xmlns:a16="http://schemas.microsoft.com/office/drawing/2014/main" id="{2B048C16-5D6D-479D-8802-CF1E968A9B1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29" name="Text Box 36">
          <a:extLst>
            <a:ext uri="{FF2B5EF4-FFF2-40B4-BE49-F238E27FC236}">
              <a16:creationId xmlns:a16="http://schemas.microsoft.com/office/drawing/2014/main" id="{F82633FE-2ECD-421D-AB28-6928E794690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0" name="Text Box 45">
          <a:extLst>
            <a:ext uri="{FF2B5EF4-FFF2-40B4-BE49-F238E27FC236}">
              <a16:creationId xmlns:a16="http://schemas.microsoft.com/office/drawing/2014/main" id="{29B0B6D2-BA11-4B1D-A516-6DD93FEA9ED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1" name="Text Box 46">
          <a:extLst>
            <a:ext uri="{FF2B5EF4-FFF2-40B4-BE49-F238E27FC236}">
              <a16:creationId xmlns:a16="http://schemas.microsoft.com/office/drawing/2014/main" id="{99874180-5F0E-4FAC-8722-DE89F8BF88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2" name="Text Box 47">
          <a:extLst>
            <a:ext uri="{FF2B5EF4-FFF2-40B4-BE49-F238E27FC236}">
              <a16:creationId xmlns:a16="http://schemas.microsoft.com/office/drawing/2014/main" id="{1E975BD3-ED15-425E-804F-A0DB22B621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3" name="Text Box 48">
          <a:extLst>
            <a:ext uri="{FF2B5EF4-FFF2-40B4-BE49-F238E27FC236}">
              <a16:creationId xmlns:a16="http://schemas.microsoft.com/office/drawing/2014/main" id="{38716A55-10F7-4A46-860C-8C59C57559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4" name="Text Box 57">
          <a:extLst>
            <a:ext uri="{FF2B5EF4-FFF2-40B4-BE49-F238E27FC236}">
              <a16:creationId xmlns:a16="http://schemas.microsoft.com/office/drawing/2014/main" id="{76C0FEF8-5BFF-4AB5-8A45-B9F92F4061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5" name="Text Box 58">
          <a:extLst>
            <a:ext uri="{FF2B5EF4-FFF2-40B4-BE49-F238E27FC236}">
              <a16:creationId xmlns:a16="http://schemas.microsoft.com/office/drawing/2014/main" id="{09C19F78-FC16-4D0B-8211-8032C76CE7C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6" name="Text Box 59">
          <a:extLst>
            <a:ext uri="{FF2B5EF4-FFF2-40B4-BE49-F238E27FC236}">
              <a16:creationId xmlns:a16="http://schemas.microsoft.com/office/drawing/2014/main" id="{68F20342-698A-4D7D-AE47-434A532BB9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7" name="Text Box 60">
          <a:extLst>
            <a:ext uri="{FF2B5EF4-FFF2-40B4-BE49-F238E27FC236}">
              <a16:creationId xmlns:a16="http://schemas.microsoft.com/office/drawing/2014/main" id="{4FCB95A8-8917-4AFC-817F-4507EE4406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8" name="Text Box 69">
          <a:extLst>
            <a:ext uri="{FF2B5EF4-FFF2-40B4-BE49-F238E27FC236}">
              <a16:creationId xmlns:a16="http://schemas.microsoft.com/office/drawing/2014/main" id="{1EA64EAC-F33B-4D8F-8479-EFD4D08B29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39" name="Text Box 70">
          <a:extLst>
            <a:ext uri="{FF2B5EF4-FFF2-40B4-BE49-F238E27FC236}">
              <a16:creationId xmlns:a16="http://schemas.microsoft.com/office/drawing/2014/main" id="{EBE41049-753D-4594-B24F-B39B379539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0" name="Text Box 71">
          <a:extLst>
            <a:ext uri="{FF2B5EF4-FFF2-40B4-BE49-F238E27FC236}">
              <a16:creationId xmlns:a16="http://schemas.microsoft.com/office/drawing/2014/main" id="{42254F31-DD05-467E-8290-4DA4DC592B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1" name="Text Box 72">
          <a:extLst>
            <a:ext uri="{FF2B5EF4-FFF2-40B4-BE49-F238E27FC236}">
              <a16:creationId xmlns:a16="http://schemas.microsoft.com/office/drawing/2014/main" id="{FB13CA65-16BE-4F8E-A0EF-E01DE9128F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2" name="Text Box 9">
          <a:extLst>
            <a:ext uri="{FF2B5EF4-FFF2-40B4-BE49-F238E27FC236}">
              <a16:creationId xmlns:a16="http://schemas.microsoft.com/office/drawing/2014/main" id="{9AA5C5B1-E9AE-4DDB-A137-478B190800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3" name="Text Box 10">
          <a:extLst>
            <a:ext uri="{FF2B5EF4-FFF2-40B4-BE49-F238E27FC236}">
              <a16:creationId xmlns:a16="http://schemas.microsoft.com/office/drawing/2014/main" id="{4DB06C68-BC9A-4668-BC3F-9437DBEC3A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4" name="Text Box 11">
          <a:extLst>
            <a:ext uri="{FF2B5EF4-FFF2-40B4-BE49-F238E27FC236}">
              <a16:creationId xmlns:a16="http://schemas.microsoft.com/office/drawing/2014/main" id="{20810EE2-532D-4FE7-AC21-279F71DD23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5" name="Text Box 12">
          <a:extLst>
            <a:ext uri="{FF2B5EF4-FFF2-40B4-BE49-F238E27FC236}">
              <a16:creationId xmlns:a16="http://schemas.microsoft.com/office/drawing/2014/main" id="{26179FF5-90ED-4147-A86B-89F907E1A6C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6" name="Text Box 21">
          <a:extLst>
            <a:ext uri="{FF2B5EF4-FFF2-40B4-BE49-F238E27FC236}">
              <a16:creationId xmlns:a16="http://schemas.microsoft.com/office/drawing/2014/main" id="{39C3875D-E464-4254-8A58-4D08C68701A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7" name="Text Box 22">
          <a:extLst>
            <a:ext uri="{FF2B5EF4-FFF2-40B4-BE49-F238E27FC236}">
              <a16:creationId xmlns:a16="http://schemas.microsoft.com/office/drawing/2014/main" id="{3D211F89-CFC4-4BDE-AEFE-ED9D20C7DC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8" name="Text Box 23">
          <a:extLst>
            <a:ext uri="{FF2B5EF4-FFF2-40B4-BE49-F238E27FC236}">
              <a16:creationId xmlns:a16="http://schemas.microsoft.com/office/drawing/2014/main" id="{CCD999AA-2BF8-45D0-B49D-5279A85B686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49" name="Text Box 24">
          <a:extLst>
            <a:ext uri="{FF2B5EF4-FFF2-40B4-BE49-F238E27FC236}">
              <a16:creationId xmlns:a16="http://schemas.microsoft.com/office/drawing/2014/main" id="{128142A3-0D7B-4F6A-9BD5-C4686D4FA33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0" name="Text Box 33">
          <a:extLst>
            <a:ext uri="{FF2B5EF4-FFF2-40B4-BE49-F238E27FC236}">
              <a16:creationId xmlns:a16="http://schemas.microsoft.com/office/drawing/2014/main" id="{4A6DE1BB-BD88-4A50-810E-A0B5F9026C5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1" name="Text Box 34">
          <a:extLst>
            <a:ext uri="{FF2B5EF4-FFF2-40B4-BE49-F238E27FC236}">
              <a16:creationId xmlns:a16="http://schemas.microsoft.com/office/drawing/2014/main" id="{7FEAB406-AC57-4C96-9CFD-7EBD51E50B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2" name="Text Box 35">
          <a:extLst>
            <a:ext uri="{FF2B5EF4-FFF2-40B4-BE49-F238E27FC236}">
              <a16:creationId xmlns:a16="http://schemas.microsoft.com/office/drawing/2014/main" id="{F1FB02EC-D51F-49B2-9E28-8AFA8EF926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3" name="Text Box 36">
          <a:extLst>
            <a:ext uri="{FF2B5EF4-FFF2-40B4-BE49-F238E27FC236}">
              <a16:creationId xmlns:a16="http://schemas.microsoft.com/office/drawing/2014/main" id="{BFBD555D-71B0-48AB-91F3-4D39D2A79C8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4" name="Text Box 45">
          <a:extLst>
            <a:ext uri="{FF2B5EF4-FFF2-40B4-BE49-F238E27FC236}">
              <a16:creationId xmlns:a16="http://schemas.microsoft.com/office/drawing/2014/main" id="{47C17228-E7AD-4A21-A031-508134C3D8E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5" name="Text Box 46">
          <a:extLst>
            <a:ext uri="{FF2B5EF4-FFF2-40B4-BE49-F238E27FC236}">
              <a16:creationId xmlns:a16="http://schemas.microsoft.com/office/drawing/2014/main" id="{E57BC64B-586D-4333-97C3-2D5802B1FEE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6" name="Text Box 47">
          <a:extLst>
            <a:ext uri="{FF2B5EF4-FFF2-40B4-BE49-F238E27FC236}">
              <a16:creationId xmlns:a16="http://schemas.microsoft.com/office/drawing/2014/main" id="{A8942030-72BD-4BCD-8936-A43875EC86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7" name="Text Box 48">
          <a:extLst>
            <a:ext uri="{FF2B5EF4-FFF2-40B4-BE49-F238E27FC236}">
              <a16:creationId xmlns:a16="http://schemas.microsoft.com/office/drawing/2014/main" id="{C1BD16D0-3C64-431F-AF5A-33C0F12A32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8" name="Text Box 57">
          <a:extLst>
            <a:ext uri="{FF2B5EF4-FFF2-40B4-BE49-F238E27FC236}">
              <a16:creationId xmlns:a16="http://schemas.microsoft.com/office/drawing/2014/main" id="{C003DDD7-382E-4BF9-920D-B85ED562B5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59" name="Text Box 58">
          <a:extLst>
            <a:ext uri="{FF2B5EF4-FFF2-40B4-BE49-F238E27FC236}">
              <a16:creationId xmlns:a16="http://schemas.microsoft.com/office/drawing/2014/main" id="{0191F1A7-C349-4508-BB38-FC3D3A15C0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0" name="Text Box 59">
          <a:extLst>
            <a:ext uri="{FF2B5EF4-FFF2-40B4-BE49-F238E27FC236}">
              <a16:creationId xmlns:a16="http://schemas.microsoft.com/office/drawing/2014/main" id="{39E73C0C-597F-4622-B4C5-2FDB7946BCA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1" name="Text Box 60">
          <a:extLst>
            <a:ext uri="{FF2B5EF4-FFF2-40B4-BE49-F238E27FC236}">
              <a16:creationId xmlns:a16="http://schemas.microsoft.com/office/drawing/2014/main" id="{41F30C4D-FFA7-46C4-8736-51F7AE0A44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2" name="Text Box 69">
          <a:extLst>
            <a:ext uri="{FF2B5EF4-FFF2-40B4-BE49-F238E27FC236}">
              <a16:creationId xmlns:a16="http://schemas.microsoft.com/office/drawing/2014/main" id="{200E4958-7AC3-4F13-BBEE-951F748CA3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3" name="Text Box 70">
          <a:extLst>
            <a:ext uri="{FF2B5EF4-FFF2-40B4-BE49-F238E27FC236}">
              <a16:creationId xmlns:a16="http://schemas.microsoft.com/office/drawing/2014/main" id="{10BDD350-125D-4B41-9AB8-02E828AB342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4" name="Text Box 71">
          <a:extLst>
            <a:ext uri="{FF2B5EF4-FFF2-40B4-BE49-F238E27FC236}">
              <a16:creationId xmlns:a16="http://schemas.microsoft.com/office/drawing/2014/main" id="{841B1E67-B640-4979-8C38-4C049FE3F0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5" name="Text Box 72">
          <a:extLst>
            <a:ext uri="{FF2B5EF4-FFF2-40B4-BE49-F238E27FC236}">
              <a16:creationId xmlns:a16="http://schemas.microsoft.com/office/drawing/2014/main" id="{AC182AA0-DB78-4843-A2FD-BF97D4A5766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6" name="Text Box 9">
          <a:extLst>
            <a:ext uri="{FF2B5EF4-FFF2-40B4-BE49-F238E27FC236}">
              <a16:creationId xmlns:a16="http://schemas.microsoft.com/office/drawing/2014/main" id="{FADFADE1-BEBB-4B76-A831-155A56A82B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7" name="Text Box 10">
          <a:extLst>
            <a:ext uri="{FF2B5EF4-FFF2-40B4-BE49-F238E27FC236}">
              <a16:creationId xmlns:a16="http://schemas.microsoft.com/office/drawing/2014/main" id="{F2814478-CD05-43C4-BB27-C0CC3BBB784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8" name="Text Box 11">
          <a:extLst>
            <a:ext uri="{FF2B5EF4-FFF2-40B4-BE49-F238E27FC236}">
              <a16:creationId xmlns:a16="http://schemas.microsoft.com/office/drawing/2014/main" id="{1D564BFD-9157-46FD-B337-E2F3B86148D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69" name="Text Box 12">
          <a:extLst>
            <a:ext uri="{FF2B5EF4-FFF2-40B4-BE49-F238E27FC236}">
              <a16:creationId xmlns:a16="http://schemas.microsoft.com/office/drawing/2014/main" id="{8FCA5525-7AB3-467E-ADFA-D87AE38CC71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0" name="Text Box 21">
          <a:extLst>
            <a:ext uri="{FF2B5EF4-FFF2-40B4-BE49-F238E27FC236}">
              <a16:creationId xmlns:a16="http://schemas.microsoft.com/office/drawing/2014/main" id="{65C4A830-F5CF-46E1-84BB-68EF7B80A59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1" name="Text Box 22">
          <a:extLst>
            <a:ext uri="{FF2B5EF4-FFF2-40B4-BE49-F238E27FC236}">
              <a16:creationId xmlns:a16="http://schemas.microsoft.com/office/drawing/2014/main" id="{3ADA4941-4858-4125-84A6-12BAC5B495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2" name="Text Box 23">
          <a:extLst>
            <a:ext uri="{FF2B5EF4-FFF2-40B4-BE49-F238E27FC236}">
              <a16:creationId xmlns:a16="http://schemas.microsoft.com/office/drawing/2014/main" id="{E803E081-AEB7-42EF-8FD7-C00A4D7C193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3" name="Text Box 24">
          <a:extLst>
            <a:ext uri="{FF2B5EF4-FFF2-40B4-BE49-F238E27FC236}">
              <a16:creationId xmlns:a16="http://schemas.microsoft.com/office/drawing/2014/main" id="{B69145E9-E605-4433-B778-19C1948DA13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4" name="Text Box 33">
          <a:extLst>
            <a:ext uri="{FF2B5EF4-FFF2-40B4-BE49-F238E27FC236}">
              <a16:creationId xmlns:a16="http://schemas.microsoft.com/office/drawing/2014/main" id="{8437816F-AD79-4EF9-99B9-B517C0DDC24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5" name="Text Box 34">
          <a:extLst>
            <a:ext uri="{FF2B5EF4-FFF2-40B4-BE49-F238E27FC236}">
              <a16:creationId xmlns:a16="http://schemas.microsoft.com/office/drawing/2014/main" id="{39449B92-6643-497E-AF11-816B49FB8D7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6" name="Text Box 35">
          <a:extLst>
            <a:ext uri="{FF2B5EF4-FFF2-40B4-BE49-F238E27FC236}">
              <a16:creationId xmlns:a16="http://schemas.microsoft.com/office/drawing/2014/main" id="{0352F541-1991-4E13-A69C-4E1271DA1F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7" name="Text Box 36">
          <a:extLst>
            <a:ext uri="{FF2B5EF4-FFF2-40B4-BE49-F238E27FC236}">
              <a16:creationId xmlns:a16="http://schemas.microsoft.com/office/drawing/2014/main" id="{FB10C694-919F-46FD-A885-F81BFE77D46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8" name="Text Box 45">
          <a:extLst>
            <a:ext uri="{FF2B5EF4-FFF2-40B4-BE49-F238E27FC236}">
              <a16:creationId xmlns:a16="http://schemas.microsoft.com/office/drawing/2014/main" id="{A9D24EB2-34CD-45E4-9053-98B2F8DEBC7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79" name="Text Box 46">
          <a:extLst>
            <a:ext uri="{FF2B5EF4-FFF2-40B4-BE49-F238E27FC236}">
              <a16:creationId xmlns:a16="http://schemas.microsoft.com/office/drawing/2014/main" id="{7F030378-A700-4E51-AD76-6714FF0FA7F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0" name="Text Box 47">
          <a:extLst>
            <a:ext uri="{FF2B5EF4-FFF2-40B4-BE49-F238E27FC236}">
              <a16:creationId xmlns:a16="http://schemas.microsoft.com/office/drawing/2014/main" id="{B917A47B-6514-4B15-A07F-634AD26FEBA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1" name="Text Box 48">
          <a:extLst>
            <a:ext uri="{FF2B5EF4-FFF2-40B4-BE49-F238E27FC236}">
              <a16:creationId xmlns:a16="http://schemas.microsoft.com/office/drawing/2014/main" id="{38B6AB6A-CD86-43BE-B404-3925484377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2" name="Text Box 57">
          <a:extLst>
            <a:ext uri="{FF2B5EF4-FFF2-40B4-BE49-F238E27FC236}">
              <a16:creationId xmlns:a16="http://schemas.microsoft.com/office/drawing/2014/main" id="{BBC0EB88-E038-468F-9AFF-D98AE9B6B4C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3" name="Text Box 58">
          <a:extLst>
            <a:ext uri="{FF2B5EF4-FFF2-40B4-BE49-F238E27FC236}">
              <a16:creationId xmlns:a16="http://schemas.microsoft.com/office/drawing/2014/main" id="{B290C106-A477-4FCE-B062-BB1732DB401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4" name="Text Box 59">
          <a:extLst>
            <a:ext uri="{FF2B5EF4-FFF2-40B4-BE49-F238E27FC236}">
              <a16:creationId xmlns:a16="http://schemas.microsoft.com/office/drawing/2014/main" id="{273964F2-C24C-47A0-965B-8ECA0BF5A23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5" name="Text Box 60">
          <a:extLst>
            <a:ext uri="{FF2B5EF4-FFF2-40B4-BE49-F238E27FC236}">
              <a16:creationId xmlns:a16="http://schemas.microsoft.com/office/drawing/2014/main" id="{8C6ADAEE-4ECA-4A66-B006-75998DA08B8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6" name="Text Box 69">
          <a:extLst>
            <a:ext uri="{FF2B5EF4-FFF2-40B4-BE49-F238E27FC236}">
              <a16:creationId xmlns:a16="http://schemas.microsoft.com/office/drawing/2014/main" id="{F1A5E099-8E5F-466B-89D0-129CDDA82E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7" name="Text Box 70">
          <a:extLst>
            <a:ext uri="{FF2B5EF4-FFF2-40B4-BE49-F238E27FC236}">
              <a16:creationId xmlns:a16="http://schemas.microsoft.com/office/drawing/2014/main" id="{18D33BF1-6B0A-4E78-9CC4-9F02924C86A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8" name="Text Box 71">
          <a:extLst>
            <a:ext uri="{FF2B5EF4-FFF2-40B4-BE49-F238E27FC236}">
              <a16:creationId xmlns:a16="http://schemas.microsoft.com/office/drawing/2014/main" id="{B24D3CD0-46D8-4AA8-B62A-167C136F7D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89" name="Text Box 72">
          <a:extLst>
            <a:ext uri="{FF2B5EF4-FFF2-40B4-BE49-F238E27FC236}">
              <a16:creationId xmlns:a16="http://schemas.microsoft.com/office/drawing/2014/main" id="{CFA0ACD0-E058-4806-8596-7DCBC2C01E2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0" name="Text Box 9">
          <a:extLst>
            <a:ext uri="{FF2B5EF4-FFF2-40B4-BE49-F238E27FC236}">
              <a16:creationId xmlns:a16="http://schemas.microsoft.com/office/drawing/2014/main" id="{D35E96D0-2C96-4986-B89D-08EC221CE7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1" name="Text Box 10">
          <a:extLst>
            <a:ext uri="{FF2B5EF4-FFF2-40B4-BE49-F238E27FC236}">
              <a16:creationId xmlns:a16="http://schemas.microsoft.com/office/drawing/2014/main" id="{6BE5A19E-D135-449D-A2AC-9624FD2A4FB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2" name="Text Box 11">
          <a:extLst>
            <a:ext uri="{FF2B5EF4-FFF2-40B4-BE49-F238E27FC236}">
              <a16:creationId xmlns:a16="http://schemas.microsoft.com/office/drawing/2014/main" id="{B76B42CA-BDAD-4A1F-95A3-109EFF38E0B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3" name="Text Box 12">
          <a:extLst>
            <a:ext uri="{FF2B5EF4-FFF2-40B4-BE49-F238E27FC236}">
              <a16:creationId xmlns:a16="http://schemas.microsoft.com/office/drawing/2014/main" id="{43A48C81-8C23-4307-8EB2-693C16BF3CC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4" name="Text Box 21">
          <a:extLst>
            <a:ext uri="{FF2B5EF4-FFF2-40B4-BE49-F238E27FC236}">
              <a16:creationId xmlns:a16="http://schemas.microsoft.com/office/drawing/2014/main" id="{D567218C-1F31-4DC8-B219-DA8C8D6AF6A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5" name="Text Box 22">
          <a:extLst>
            <a:ext uri="{FF2B5EF4-FFF2-40B4-BE49-F238E27FC236}">
              <a16:creationId xmlns:a16="http://schemas.microsoft.com/office/drawing/2014/main" id="{C16E8272-C0E1-420F-8D7B-324BE48036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6" name="Text Box 23">
          <a:extLst>
            <a:ext uri="{FF2B5EF4-FFF2-40B4-BE49-F238E27FC236}">
              <a16:creationId xmlns:a16="http://schemas.microsoft.com/office/drawing/2014/main" id="{B18D3755-D705-4209-A4C3-6C7DA28E1E8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7" name="Text Box 24">
          <a:extLst>
            <a:ext uri="{FF2B5EF4-FFF2-40B4-BE49-F238E27FC236}">
              <a16:creationId xmlns:a16="http://schemas.microsoft.com/office/drawing/2014/main" id="{88F4A4B8-3857-498A-A70D-198F0018D89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8" name="Text Box 33">
          <a:extLst>
            <a:ext uri="{FF2B5EF4-FFF2-40B4-BE49-F238E27FC236}">
              <a16:creationId xmlns:a16="http://schemas.microsoft.com/office/drawing/2014/main" id="{5917DEC3-FD45-457D-A089-FBE3583997B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899" name="Text Box 34">
          <a:extLst>
            <a:ext uri="{FF2B5EF4-FFF2-40B4-BE49-F238E27FC236}">
              <a16:creationId xmlns:a16="http://schemas.microsoft.com/office/drawing/2014/main" id="{60F4FA38-7D75-4285-9CFB-801CE4D1C37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0" name="Text Box 35">
          <a:extLst>
            <a:ext uri="{FF2B5EF4-FFF2-40B4-BE49-F238E27FC236}">
              <a16:creationId xmlns:a16="http://schemas.microsoft.com/office/drawing/2014/main" id="{C2021600-B875-4D88-A8C0-5B964A919A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1" name="Text Box 36">
          <a:extLst>
            <a:ext uri="{FF2B5EF4-FFF2-40B4-BE49-F238E27FC236}">
              <a16:creationId xmlns:a16="http://schemas.microsoft.com/office/drawing/2014/main" id="{00A9AE7C-CC32-4031-A1FA-CA5A4231829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2" name="Text Box 45">
          <a:extLst>
            <a:ext uri="{FF2B5EF4-FFF2-40B4-BE49-F238E27FC236}">
              <a16:creationId xmlns:a16="http://schemas.microsoft.com/office/drawing/2014/main" id="{7FC979A2-DE81-4A4A-9D49-F726A0E8CD8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3" name="Text Box 46">
          <a:extLst>
            <a:ext uri="{FF2B5EF4-FFF2-40B4-BE49-F238E27FC236}">
              <a16:creationId xmlns:a16="http://schemas.microsoft.com/office/drawing/2014/main" id="{1B215562-BF0C-424A-B748-9F3E6CE4608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4" name="Text Box 47">
          <a:extLst>
            <a:ext uri="{FF2B5EF4-FFF2-40B4-BE49-F238E27FC236}">
              <a16:creationId xmlns:a16="http://schemas.microsoft.com/office/drawing/2014/main" id="{D6898A83-57FD-45C5-8C90-CD6714B5C6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5" name="Text Box 48">
          <a:extLst>
            <a:ext uri="{FF2B5EF4-FFF2-40B4-BE49-F238E27FC236}">
              <a16:creationId xmlns:a16="http://schemas.microsoft.com/office/drawing/2014/main" id="{3E0E1221-99DE-4C04-BAE3-ED781DEE84C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6" name="Text Box 57">
          <a:extLst>
            <a:ext uri="{FF2B5EF4-FFF2-40B4-BE49-F238E27FC236}">
              <a16:creationId xmlns:a16="http://schemas.microsoft.com/office/drawing/2014/main" id="{CC228284-C9F6-42BB-8977-845E88A167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7" name="Text Box 58">
          <a:extLst>
            <a:ext uri="{FF2B5EF4-FFF2-40B4-BE49-F238E27FC236}">
              <a16:creationId xmlns:a16="http://schemas.microsoft.com/office/drawing/2014/main" id="{40FE6514-0E65-4038-A480-2356DE5363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8" name="Text Box 59">
          <a:extLst>
            <a:ext uri="{FF2B5EF4-FFF2-40B4-BE49-F238E27FC236}">
              <a16:creationId xmlns:a16="http://schemas.microsoft.com/office/drawing/2014/main" id="{2CCEBB78-C47F-4FCB-A76F-F19C8501588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09" name="Text Box 60">
          <a:extLst>
            <a:ext uri="{FF2B5EF4-FFF2-40B4-BE49-F238E27FC236}">
              <a16:creationId xmlns:a16="http://schemas.microsoft.com/office/drawing/2014/main" id="{F87AED71-E9B5-4E49-AB33-B631B8CBDE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0" name="Text Box 69">
          <a:extLst>
            <a:ext uri="{FF2B5EF4-FFF2-40B4-BE49-F238E27FC236}">
              <a16:creationId xmlns:a16="http://schemas.microsoft.com/office/drawing/2014/main" id="{3A0A98A3-AE7C-4BB7-936E-E39693628D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1" name="Text Box 70">
          <a:extLst>
            <a:ext uri="{FF2B5EF4-FFF2-40B4-BE49-F238E27FC236}">
              <a16:creationId xmlns:a16="http://schemas.microsoft.com/office/drawing/2014/main" id="{D7435B10-EA7F-4990-9F66-6D4D81D623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2" name="Text Box 71">
          <a:extLst>
            <a:ext uri="{FF2B5EF4-FFF2-40B4-BE49-F238E27FC236}">
              <a16:creationId xmlns:a16="http://schemas.microsoft.com/office/drawing/2014/main" id="{B138C6C5-08B5-4CBA-9E81-125318DB0C1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3" name="Text Box 72">
          <a:extLst>
            <a:ext uri="{FF2B5EF4-FFF2-40B4-BE49-F238E27FC236}">
              <a16:creationId xmlns:a16="http://schemas.microsoft.com/office/drawing/2014/main" id="{D43BA6CD-4074-4CAE-9F12-665D1E78D07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4" name="Text Box 9">
          <a:extLst>
            <a:ext uri="{FF2B5EF4-FFF2-40B4-BE49-F238E27FC236}">
              <a16:creationId xmlns:a16="http://schemas.microsoft.com/office/drawing/2014/main" id="{39FC2830-0EF9-4EDF-AAAF-0C54E1F0508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5" name="Text Box 10">
          <a:extLst>
            <a:ext uri="{FF2B5EF4-FFF2-40B4-BE49-F238E27FC236}">
              <a16:creationId xmlns:a16="http://schemas.microsoft.com/office/drawing/2014/main" id="{37101E4C-7360-4B1E-817F-502D79F65B2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6" name="Text Box 11">
          <a:extLst>
            <a:ext uri="{FF2B5EF4-FFF2-40B4-BE49-F238E27FC236}">
              <a16:creationId xmlns:a16="http://schemas.microsoft.com/office/drawing/2014/main" id="{D030A454-10E9-46B6-ACB1-348BC1C70A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7" name="Text Box 12">
          <a:extLst>
            <a:ext uri="{FF2B5EF4-FFF2-40B4-BE49-F238E27FC236}">
              <a16:creationId xmlns:a16="http://schemas.microsoft.com/office/drawing/2014/main" id="{20A40AF9-16F2-422B-9EF5-95D3C1F8F43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8" name="Text Box 21">
          <a:extLst>
            <a:ext uri="{FF2B5EF4-FFF2-40B4-BE49-F238E27FC236}">
              <a16:creationId xmlns:a16="http://schemas.microsoft.com/office/drawing/2014/main" id="{1B3AFB10-27E9-444E-822C-44696A6022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19" name="Text Box 22">
          <a:extLst>
            <a:ext uri="{FF2B5EF4-FFF2-40B4-BE49-F238E27FC236}">
              <a16:creationId xmlns:a16="http://schemas.microsoft.com/office/drawing/2014/main" id="{BF9A2230-E2E8-4E81-835C-4EE24182363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0" name="Text Box 23">
          <a:extLst>
            <a:ext uri="{FF2B5EF4-FFF2-40B4-BE49-F238E27FC236}">
              <a16:creationId xmlns:a16="http://schemas.microsoft.com/office/drawing/2014/main" id="{4E65D651-741F-4AB1-BF90-D42B29F2CC7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1" name="Text Box 24">
          <a:extLst>
            <a:ext uri="{FF2B5EF4-FFF2-40B4-BE49-F238E27FC236}">
              <a16:creationId xmlns:a16="http://schemas.microsoft.com/office/drawing/2014/main" id="{D33AFDF0-57F6-4DA6-AF55-349D8B073F8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2" name="Text Box 33">
          <a:extLst>
            <a:ext uri="{FF2B5EF4-FFF2-40B4-BE49-F238E27FC236}">
              <a16:creationId xmlns:a16="http://schemas.microsoft.com/office/drawing/2014/main" id="{28DC6BF5-CC03-41B3-9110-509966BBC0F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3" name="Text Box 34">
          <a:extLst>
            <a:ext uri="{FF2B5EF4-FFF2-40B4-BE49-F238E27FC236}">
              <a16:creationId xmlns:a16="http://schemas.microsoft.com/office/drawing/2014/main" id="{40660C95-A7C8-488F-BAC0-22177DA785E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4" name="Text Box 35">
          <a:extLst>
            <a:ext uri="{FF2B5EF4-FFF2-40B4-BE49-F238E27FC236}">
              <a16:creationId xmlns:a16="http://schemas.microsoft.com/office/drawing/2014/main" id="{203A8123-CFAE-406E-B585-2D4A3AB065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5" name="Text Box 36">
          <a:extLst>
            <a:ext uri="{FF2B5EF4-FFF2-40B4-BE49-F238E27FC236}">
              <a16:creationId xmlns:a16="http://schemas.microsoft.com/office/drawing/2014/main" id="{E8DC273E-15F1-426C-A642-4F0E6176679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6" name="Text Box 45">
          <a:extLst>
            <a:ext uri="{FF2B5EF4-FFF2-40B4-BE49-F238E27FC236}">
              <a16:creationId xmlns:a16="http://schemas.microsoft.com/office/drawing/2014/main" id="{6B163594-CF34-4FB3-AA34-1594CECCD9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7" name="Text Box 46">
          <a:extLst>
            <a:ext uri="{FF2B5EF4-FFF2-40B4-BE49-F238E27FC236}">
              <a16:creationId xmlns:a16="http://schemas.microsoft.com/office/drawing/2014/main" id="{9F8E7575-9DEE-4897-95CF-45FD074687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8" name="Text Box 47">
          <a:extLst>
            <a:ext uri="{FF2B5EF4-FFF2-40B4-BE49-F238E27FC236}">
              <a16:creationId xmlns:a16="http://schemas.microsoft.com/office/drawing/2014/main" id="{3A154A0C-59A1-47D8-B757-1EA26FA6A0B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29" name="Text Box 48">
          <a:extLst>
            <a:ext uri="{FF2B5EF4-FFF2-40B4-BE49-F238E27FC236}">
              <a16:creationId xmlns:a16="http://schemas.microsoft.com/office/drawing/2014/main" id="{F380823C-28FE-4319-A468-FA500EBBA5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0" name="Text Box 57">
          <a:extLst>
            <a:ext uri="{FF2B5EF4-FFF2-40B4-BE49-F238E27FC236}">
              <a16:creationId xmlns:a16="http://schemas.microsoft.com/office/drawing/2014/main" id="{3EB70249-1D03-4597-8874-5696390783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1" name="Text Box 58">
          <a:extLst>
            <a:ext uri="{FF2B5EF4-FFF2-40B4-BE49-F238E27FC236}">
              <a16:creationId xmlns:a16="http://schemas.microsoft.com/office/drawing/2014/main" id="{97D36BE6-FFA2-4459-82BF-4226C55289C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2" name="Text Box 59">
          <a:extLst>
            <a:ext uri="{FF2B5EF4-FFF2-40B4-BE49-F238E27FC236}">
              <a16:creationId xmlns:a16="http://schemas.microsoft.com/office/drawing/2014/main" id="{BDC4B70C-423E-4808-8E90-CE37BBE113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3" name="Text Box 60">
          <a:extLst>
            <a:ext uri="{FF2B5EF4-FFF2-40B4-BE49-F238E27FC236}">
              <a16:creationId xmlns:a16="http://schemas.microsoft.com/office/drawing/2014/main" id="{3D12C26E-222C-42B9-A63A-CA404B851F3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4" name="Text Box 69">
          <a:extLst>
            <a:ext uri="{FF2B5EF4-FFF2-40B4-BE49-F238E27FC236}">
              <a16:creationId xmlns:a16="http://schemas.microsoft.com/office/drawing/2014/main" id="{BF9AC175-3705-420D-B375-969D6E5CC66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5" name="Text Box 70">
          <a:extLst>
            <a:ext uri="{FF2B5EF4-FFF2-40B4-BE49-F238E27FC236}">
              <a16:creationId xmlns:a16="http://schemas.microsoft.com/office/drawing/2014/main" id="{38A9B81F-4122-4752-A371-2B3813D0DF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6" name="Text Box 71">
          <a:extLst>
            <a:ext uri="{FF2B5EF4-FFF2-40B4-BE49-F238E27FC236}">
              <a16:creationId xmlns:a16="http://schemas.microsoft.com/office/drawing/2014/main" id="{0B081746-DD57-458C-BAEC-7D904852F2E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7" name="Text Box 72">
          <a:extLst>
            <a:ext uri="{FF2B5EF4-FFF2-40B4-BE49-F238E27FC236}">
              <a16:creationId xmlns:a16="http://schemas.microsoft.com/office/drawing/2014/main" id="{B0A2C999-BD8F-4AD1-B566-1341EF6D69F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8" name="Text Box 9">
          <a:extLst>
            <a:ext uri="{FF2B5EF4-FFF2-40B4-BE49-F238E27FC236}">
              <a16:creationId xmlns:a16="http://schemas.microsoft.com/office/drawing/2014/main" id="{4448DC63-A72E-401D-A5CC-16EB58810C7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39" name="Text Box 10">
          <a:extLst>
            <a:ext uri="{FF2B5EF4-FFF2-40B4-BE49-F238E27FC236}">
              <a16:creationId xmlns:a16="http://schemas.microsoft.com/office/drawing/2014/main" id="{F2073FDB-D2D2-408E-8AF7-7DAC816FCB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0" name="Text Box 11">
          <a:extLst>
            <a:ext uri="{FF2B5EF4-FFF2-40B4-BE49-F238E27FC236}">
              <a16:creationId xmlns:a16="http://schemas.microsoft.com/office/drawing/2014/main" id="{2B0F6A05-1679-4F93-879E-7C03F2C1DA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1" name="Text Box 12">
          <a:extLst>
            <a:ext uri="{FF2B5EF4-FFF2-40B4-BE49-F238E27FC236}">
              <a16:creationId xmlns:a16="http://schemas.microsoft.com/office/drawing/2014/main" id="{FD19476B-D735-4AB1-9424-3B0EA8FF341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2" name="Text Box 21">
          <a:extLst>
            <a:ext uri="{FF2B5EF4-FFF2-40B4-BE49-F238E27FC236}">
              <a16:creationId xmlns:a16="http://schemas.microsoft.com/office/drawing/2014/main" id="{B45D61F2-3726-430C-8FF8-179B5C307C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3" name="Text Box 22">
          <a:extLst>
            <a:ext uri="{FF2B5EF4-FFF2-40B4-BE49-F238E27FC236}">
              <a16:creationId xmlns:a16="http://schemas.microsoft.com/office/drawing/2014/main" id="{1AD3C21F-FC7A-4B4F-9323-A80E237169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4" name="Text Box 23">
          <a:extLst>
            <a:ext uri="{FF2B5EF4-FFF2-40B4-BE49-F238E27FC236}">
              <a16:creationId xmlns:a16="http://schemas.microsoft.com/office/drawing/2014/main" id="{9DD0EB6E-7D7E-443F-B44F-9472FE74B7B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5" name="Text Box 24">
          <a:extLst>
            <a:ext uri="{FF2B5EF4-FFF2-40B4-BE49-F238E27FC236}">
              <a16:creationId xmlns:a16="http://schemas.microsoft.com/office/drawing/2014/main" id="{E1A1376F-1458-4CEE-9AD0-222DD2D37DC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6" name="Text Box 33">
          <a:extLst>
            <a:ext uri="{FF2B5EF4-FFF2-40B4-BE49-F238E27FC236}">
              <a16:creationId xmlns:a16="http://schemas.microsoft.com/office/drawing/2014/main" id="{2D0A51C4-3BC2-4A54-8AC3-F83F5C27CEC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7" name="Text Box 34">
          <a:extLst>
            <a:ext uri="{FF2B5EF4-FFF2-40B4-BE49-F238E27FC236}">
              <a16:creationId xmlns:a16="http://schemas.microsoft.com/office/drawing/2014/main" id="{DA508A04-EC1D-47D9-B3A4-B59E08FD238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8" name="Text Box 35">
          <a:extLst>
            <a:ext uri="{FF2B5EF4-FFF2-40B4-BE49-F238E27FC236}">
              <a16:creationId xmlns:a16="http://schemas.microsoft.com/office/drawing/2014/main" id="{BA5EE764-BFF9-4C8D-920E-6F6C4FA5EAE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49" name="Text Box 36">
          <a:extLst>
            <a:ext uri="{FF2B5EF4-FFF2-40B4-BE49-F238E27FC236}">
              <a16:creationId xmlns:a16="http://schemas.microsoft.com/office/drawing/2014/main" id="{D7999B8F-267C-4A72-A0F0-E7B3ABFE83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0" name="Text Box 45">
          <a:extLst>
            <a:ext uri="{FF2B5EF4-FFF2-40B4-BE49-F238E27FC236}">
              <a16:creationId xmlns:a16="http://schemas.microsoft.com/office/drawing/2014/main" id="{3A5D81D6-D13B-4832-96C6-5B1C2DBF8D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1" name="Text Box 46">
          <a:extLst>
            <a:ext uri="{FF2B5EF4-FFF2-40B4-BE49-F238E27FC236}">
              <a16:creationId xmlns:a16="http://schemas.microsoft.com/office/drawing/2014/main" id="{73742F25-D55A-4996-B745-38E21C9ED23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2" name="Text Box 47">
          <a:extLst>
            <a:ext uri="{FF2B5EF4-FFF2-40B4-BE49-F238E27FC236}">
              <a16:creationId xmlns:a16="http://schemas.microsoft.com/office/drawing/2014/main" id="{57A481DF-CFE9-4EEF-A21D-A7F936582B9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3" name="Text Box 48">
          <a:extLst>
            <a:ext uri="{FF2B5EF4-FFF2-40B4-BE49-F238E27FC236}">
              <a16:creationId xmlns:a16="http://schemas.microsoft.com/office/drawing/2014/main" id="{B5027FDD-BAA8-406D-9F64-10874B0C3B9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4" name="Text Box 57">
          <a:extLst>
            <a:ext uri="{FF2B5EF4-FFF2-40B4-BE49-F238E27FC236}">
              <a16:creationId xmlns:a16="http://schemas.microsoft.com/office/drawing/2014/main" id="{A843A38D-7CBA-4003-8B0C-BAC5769E8E9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5" name="Text Box 58">
          <a:extLst>
            <a:ext uri="{FF2B5EF4-FFF2-40B4-BE49-F238E27FC236}">
              <a16:creationId xmlns:a16="http://schemas.microsoft.com/office/drawing/2014/main" id="{B0211F49-C5E9-45B8-9AA6-83170185B2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6" name="Text Box 59">
          <a:extLst>
            <a:ext uri="{FF2B5EF4-FFF2-40B4-BE49-F238E27FC236}">
              <a16:creationId xmlns:a16="http://schemas.microsoft.com/office/drawing/2014/main" id="{18592F3F-1A1D-4863-9722-D23B95C0B50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7" name="Text Box 60">
          <a:extLst>
            <a:ext uri="{FF2B5EF4-FFF2-40B4-BE49-F238E27FC236}">
              <a16:creationId xmlns:a16="http://schemas.microsoft.com/office/drawing/2014/main" id="{9D587FF2-CFFB-45C8-BF52-FA9AB213BCC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8" name="Text Box 69">
          <a:extLst>
            <a:ext uri="{FF2B5EF4-FFF2-40B4-BE49-F238E27FC236}">
              <a16:creationId xmlns:a16="http://schemas.microsoft.com/office/drawing/2014/main" id="{6938528A-7B5B-4131-A59C-4D2AD1CC51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59" name="Text Box 70">
          <a:extLst>
            <a:ext uri="{FF2B5EF4-FFF2-40B4-BE49-F238E27FC236}">
              <a16:creationId xmlns:a16="http://schemas.microsoft.com/office/drawing/2014/main" id="{7D78A57A-391A-4DD2-9A32-DE09FF9F009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0" name="Text Box 71">
          <a:extLst>
            <a:ext uri="{FF2B5EF4-FFF2-40B4-BE49-F238E27FC236}">
              <a16:creationId xmlns:a16="http://schemas.microsoft.com/office/drawing/2014/main" id="{9345FFD0-0545-416A-B2DF-1C9BAE55C92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1" name="Text Box 72">
          <a:extLst>
            <a:ext uri="{FF2B5EF4-FFF2-40B4-BE49-F238E27FC236}">
              <a16:creationId xmlns:a16="http://schemas.microsoft.com/office/drawing/2014/main" id="{07DBB920-E6D8-4DBF-8CFE-7442114318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2" name="Text Box 9">
          <a:extLst>
            <a:ext uri="{FF2B5EF4-FFF2-40B4-BE49-F238E27FC236}">
              <a16:creationId xmlns:a16="http://schemas.microsoft.com/office/drawing/2014/main" id="{DF947974-64A7-452E-8F4E-33B62ECE2AA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3" name="Text Box 10">
          <a:extLst>
            <a:ext uri="{FF2B5EF4-FFF2-40B4-BE49-F238E27FC236}">
              <a16:creationId xmlns:a16="http://schemas.microsoft.com/office/drawing/2014/main" id="{77027F93-78D4-415E-BB92-AFBA420B5B4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4" name="Text Box 11">
          <a:extLst>
            <a:ext uri="{FF2B5EF4-FFF2-40B4-BE49-F238E27FC236}">
              <a16:creationId xmlns:a16="http://schemas.microsoft.com/office/drawing/2014/main" id="{944597C3-7DCE-45A5-B398-AD4FC7D69B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5" name="Text Box 12">
          <a:extLst>
            <a:ext uri="{FF2B5EF4-FFF2-40B4-BE49-F238E27FC236}">
              <a16:creationId xmlns:a16="http://schemas.microsoft.com/office/drawing/2014/main" id="{62D6643D-C945-4A8A-B2C6-77B3D6BE8DF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6" name="Text Box 21">
          <a:extLst>
            <a:ext uri="{FF2B5EF4-FFF2-40B4-BE49-F238E27FC236}">
              <a16:creationId xmlns:a16="http://schemas.microsoft.com/office/drawing/2014/main" id="{E82908E8-686C-4A01-8F10-37CF23719CF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7" name="Text Box 22">
          <a:extLst>
            <a:ext uri="{FF2B5EF4-FFF2-40B4-BE49-F238E27FC236}">
              <a16:creationId xmlns:a16="http://schemas.microsoft.com/office/drawing/2014/main" id="{52C43C50-C408-4624-BA3A-D2846FEDDB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8" name="Text Box 23">
          <a:extLst>
            <a:ext uri="{FF2B5EF4-FFF2-40B4-BE49-F238E27FC236}">
              <a16:creationId xmlns:a16="http://schemas.microsoft.com/office/drawing/2014/main" id="{49BD68F4-E808-4591-9FD9-0D79F2CA21A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69" name="Text Box 24">
          <a:extLst>
            <a:ext uri="{FF2B5EF4-FFF2-40B4-BE49-F238E27FC236}">
              <a16:creationId xmlns:a16="http://schemas.microsoft.com/office/drawing/2014/main" id="{5DFBD234-B5C6-45CB-B68E-A68E8D5989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0" name="Text Box 33">
          <a:extLst>
            <a:ext uri="{FF2B5EF4-FFF2-40B4-BE49-F238E27FC236}">
              <a16:creationId xmlns:a16="http://schemas.microsoft.com/office/drawing/2014/main" id="{5574C844-5B32-4953-8757-D86239D49E3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1" name="Text Box 34">
          <a:extLst>
            <a:ext uri="{FF2B5EF4-FFF2-40B4-BE49-F238E27FC236}">
              <a16:creationId xmlns:a16="http://schemas.microsoft.com/office/drawing/2014/main" id="{9A1F48EE-92B6-4779-B5B0-D471CE635D2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2" name="Text Box 35">
          <a:extLst>
            <a:ext uri="{FF2B5EF4-FFF2-40B4-BE49-F238E27FC236}">
              <a16:creationId xmlns:a16="http://schemas.microsoft.com/office/drawing/2014/main" id="{55C949BE-5018-4175-9028-ABAC004745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3" name="Text Box 36">
          <a:extLst>
            <a:ext uri="{FF2B5EF4-FFF2-40B4-BE49-F238E27FC236}">
              <a16:creationId xmlns:a16="http://schemas.microsoft.com/office/drawing/2014/main" id="{AE49373A-D1DA-4D21-846D-D9173C4A93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4" name="Text Box 45">
          <a:extLst>
            <a:ext uri="{FF2B5EF4-FFF2-40B4-BE49-F238E27FC236}">
              <a16:creationId xmlns:a16="http://schemas.microsoft.com/office/drawing/2014/main" id="{D1C7AD8A-8C64-4CF3-926D-8531E4C0ED0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5" name="Text Box 46">
          <a:extLst>
            <a:ext uri="{FF2B5EF4-FFF2-40B4-BE49-F238E27FC236}">
              <a16:creationId xmlns:a16="http://schemas.microsoft.com/office/drawing/2014/main" id="{BB8D1843-2AE6-4CFB-AC42-F3A746C770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6" name="Text Box 47">
          <a:extLst>
            <a:ext uri="{FF2B5EF4-FFF2-40B4-BE49-F238E27FC236}">
              <a16:creationId xmlns:a16="http://schemas.microsoft.com/office/drawing/2014/main" id="{B4B67F9D-0DE0-4EF8-B856-E911A128637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7" name="Text Box 48">
          <a:extLst>
            <a:ext uri="{FF2B5EF4-FFF2-40B4-BE49-F238E27FC236}">
              <a16:creationId xmlns:a16="http://schemas.microsoft.com/office/drawing/2014/main" id="{E326E29E-B309-48DF-A448-BD6AE609F64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8" name="Text Box 57">
          <a:extLst>
            <a:ext uri="{FF2B5EF4-FFF2-40B4-BE49-F238E27FC236}">
              <a16:creationId xmlns:a16="http://schemas.microsoft.com/office/drawing/2014/main" id="{6E3F750C-9874-402A-8FEE-E38C1F0D3BC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79" name="Text Box 58">
          <a:extLst>
            <a:ext uri="{FF2B5EF4-FFF2-40B4-BE49-F238E27FC236}">
              <a16:creationId xmlns:a16="http://schemas.microsoft.com/office/drawing/2014/main" id="{42867181-896A-4238-8883-202AFF29365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0" name="Text Box 59">
          <a:extLst>
            <a:ext uri="{FF2B5EF4-FFF2-40B4-BE49-F238E27FC236}">
              <a16:creationId xmlns:a16="http://schemas.microsoft.com/office/drawing/2014/main" id="{3069B91D-6728-4648-A7C3-B2E87459854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1" name="Text Box 60">
          <a:extLst>
            <a:ext uri="{FF2B5EF4-FFF2-40B4-BE49-F238E27FC236}">
              <a16:creationId xmlns:a16="http://schemas.microsoft.com/office/drawing/2014/main" id="{87021AA8-09D4-4434-AA8C-D8AC8169B2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2" name="Text Box 69">
          <a:extLst>
            <a:ext uri="{FF2B5EF4-FFF2-40B4-BE49-F238E27FC236}">
              <a16:creationId xmlns:a16="http://schemas.microsoft.com/office/drawing/2014/main" id="{91C91F99-42AB-4FDE-AE48-CBC2202F968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3" name="Text Box 70">
          <a:extLst>
            <a:ext uri="{FF2B5EF4-FFF2-40B4-BE49-F238E27FC236}">
              <a16:creationId xmlns:a16="http://schemas.microsoft.com/office/drawing/2014/main" id="{43F42618-AC19-4AD7-80E3-04DD4DA5EE6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4" name="Text Box 71">
          <a:extLst>
            <a:ext uri="{FF2B5EF4-FFF2-40B4-BE49-F238E27FC236}">
              <a16:creationId xmlns:a16="http://schemas.microsoft.com/office/drawing/2014/main" id="{B62D34AA-633C-4A6E-8F64-C3C8852A5B7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5" name="Text Box 72">
          <a:extLst>
            <a:ext uri="{FF2B5EF4-FFF2-40B4-BE49-F238E27FC236}">
              <a16:creationId xmlns:a16="http://schemas.microsoft.com/office/drawing/2014/main" id="{93DB7C10-9A29-4998-8280-1196439599A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6" name="Text Box 9">
          <a:extLst>
            <a:ext uri="{FF2B5EF4-FFF2-40B4-BE49-F238E27FC236}">
              <a16:creationId xmlns:a16="http://schemas.microsoft.com/office/drawing/2014/main" id="{A5770256-8228-4891-B1FA-A1C61A711E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7" name="Text Box 10">
          <a:extLst>
            <a:ext uri="{FF2B5EF4-FFF2-40B4-BE49-F238E27FC236}">
              <a16:creationId xmlns:a16="http://schemas.microsoft.com/office/drawing/2014/main" id="{079E1D44-B73F-40F2-9671-70151CB6E49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8" name="Text Box 11">
          <a:extLst>
            <a:ext uri="{FF2B5EF4-FFF2-40B4-BE49-F238E27FC236}">
              <a16:creationId xmlns:a16="http://schemas.microsoft.com/office/drawing/2014/main" id="{571C7169-F487-49C1-9DBC-61F237B67B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89" name="Text Box 12">
          <a:extLst>
            <a:ext uri="{FF2B5EF4-FFF2-40B4-BE49-F238E27FC236}">
              <a16:creationId xmlns:a16="http://schemas.microsoft.com/office/drawing/2014/main" id="{40B615B1-7638-4B31-A7D5-B350062A174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0" name="Text Box 21">
          <a:extLst>
            <a:ext uri="{FF2B5EF4-FFF2-40B4-BE49-F238E27FC236}">
              <a16:creationId xmlns:a16="http://schemas.microsoft.com/office/drawing/2014/main" id="{84749889-FBB7-4771-9414-8A919EE7EA2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1" name="Text Box 22">
          <a:extLst>
            <a:ext uri="{FF2B5EF4-FFF2-40B4-BE49-F238E27FC236}">
              <a16:creationId xmlns:a16="http://schemas.microsoft.com/office/drawing/2014/main" id="{BC77F44F-DE6C-4B15-B9DB-45D3BE15718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2" name="Text Box 23">
          <a:extLst>
            <a:ext uri="{FF2B5EF4-FFF2-40B4-BE49-F238E27FC236}">
              <a16:creationId xmlns:a16="http://schemas.microsoft.com/office/drawing/2014/main" id="{08CABED3-2E6B-47EE-B557-6643AE27A7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3" name="Text Box 24">
          <a:extLst>
            <a:ext uri="{FF2B5EF4-FFF2-40B4-BE49-F238E27FC236}">
              <a16:creationId xmlns:a16="http://schemas.microsoft.com/office/drawing/2014/main" id="{A02C7BBF-29EC-4A15-AE9D-86A347C5BA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4" name="Text Box 33">
          <a:extLst>
            <a:ext uri="{FF2B5EF4-FFF2-40B4-BE49-F238E27FC236}">
              <a16:creationId xmlns:a16="http://schemas.microsoft.com/office/drawing/2014/main" id="{A73E79E5-AA4F-469C-A031-400D24E120D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5" name="Text Box 34">
          <a:extLst>
            <a:ext uri="{FF2B5EF4-FFF2-40B4-BE49-F238E27FC236}">
              <a16:creationId xmlns:a16="http://schemas.microsoft.com/office/drawing/2014/main" id="{826495DC-3EB5-407B-A167-A610BA253EC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6" name="Text Box 35">
          <a:extLst>
            <a:ext uri="{FF2B5EF4-FFF2-40B4-BE49-F238E27FC236}">
              <a16:creationId xmlns:a16="http://schemas.microsoft.com/office/drawing/2014/main" id="{7AF4FD89-160F-4753-A6AC-2401B572E65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7" name="Text Box 36">
          <a:extLst>
            <a:ext uri="{FF2B5EF4-FFF2-40B4-BE49-F238E27FC236}">
              <a16:creationId xmlns:a16="http://schemas.microsoft.com/office/drawing/2014/main" id="{FC49E9A7-029C-4FEA-8FB9-36CBB02188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8" name="Text Box 45">
          <a:extLst>
            <a:ext uri="{FF2B5EF4-FFF2-40B4-BE49-F238E27FC236}">
              <a16:creationId xmlns:a16="http://schemas.microsoft.com/office/drawing/2014/main" id="{5964D85D-BF87-4014-9170-7805CDD4D3E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999" name="Text Box 46">
          <a:extLst>
            <a:ext uri="{FF2B5EF4-FFF2-40B4-BE49-F238E27FC236}">
              <a16:creationId xmlns:a16="http://schemas.microsoft.com/office/drawing/2014/main" id="{92083E44-812D-40A8-88D4-055E94816BE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0" name="Text Box 47">
          <a:extLst>
            <a:ext uri="{FF2B5EF4-FFF2-40B4-BE49-F238E27FC236}">
              <a16:creationId xmlns:a16="http://schemas.microsoft.com/office/drawing/2014/main" id="{B3E95BE7-FC02-4254-AC25-DFA1E2B3A8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1" name="Text Box 48">
          <a:extLst>
            <a:ext uri="{FF2B5EF4-FFF2-40B4-BE49-F238E27FC236}">
              <a16:creationId xmlns:a16="http://schemas.microsoft.com/office/drawing/2014/main" id="{4AF30D0A-026B-4DB0-8B4B-BEAEF5937C1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2" name="Text Box 57">
          <a:extLst>
            <a:ext uri="{FF2B5EF4-FFF2-40B4-BE49-F238E27FC236}">
              <a16:creationId xmlns:a16="http://schemas.microsoft.com/office/drawing/2014/main" id="{34DA1BBF-C206-44EF-B31F-95D3949640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3" name="Text Box 58">
          <a:extLst>
            <a:ext uri="{FF2B5EF4-FFF2-40B4-BE49-F238E27FC236}">
              <a16:creationId xmlns:a16="http://schemas.microsoft.com/office/drawing/2014/main" id="{25E80D79-88C4-4E4A-B733-D67772DBB0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4" name="Text Box 59">
          <a:extLst>
            <a:ext uri="{FF2B5EF4-FFF2-40B4-BE49-F238E27FC236}">
              <a16:creationId xmlns:a16="http://schemas.microsoft.com/office/drawing/2014/main" id="{21E77D3D-0D2E-4051-A978-84E95C0EB52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5" name="Text Box 60">
          <a:extLst>
            <a:ext uri="{FF2B5EF4-FFF2-40B4-BE49-F238E27FC236}">
              <a16:creationId xmlns:a16="http://schemas.microsoft.com/office/drawing/2014/main" id="{4186CC0C-FA91-49BF-AF39-0AF44F08BF7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6" name="Text Box 69">
          <a:extLst>
            <a:ext uri="{FF2B5EF4-FFF2-40B4-BE49-F238E27FC236}">
              <a16:creationId xmlns:a16="http://schemas.microsoft.com/office/drawing/2014/main" id="{3E6A44CD-3227-4E5E-A5A6-6FD2325B279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7" name="Text Box 70">
          <a:extLst>
            <a:ext uri="{FF2B5EF4-FFF2-40B4-BE49-F238E27FC236}">
              <a16:creationId xmlns:a16="http://schemas.microsoft.com/office/drawing/2014/main" id="{AF7AE1F0-ECB9-458B-AC3B-C6CDF19ECA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8" name="Text Box 71">
          <a:extLst>
            <a:ext uri="{FF2B5EF4-FFF2-40B4-BE49-F238E27FC236}">
              <a16:creationId xmlns:a16="http://schemas.microsoft.com/office/drawing/2014/main" id="{117A1495-4B60-4BFF-93B1-248BED02BC5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09" name="Text Box 72">
          <a:extLst>
            <a:ext uri="{FF2B5EF4-FFF2-40B4-BE49-F238E27FC236}">
              <a16:creationId xmlns:a16="http://schemas.microsoft.com/office/drawing/2014/main" id="{E3D9F091-84A5-442A-8651-4609396AE60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0" name="Text Box 9">
          <a:extLst>
            <a:ext uri="{FF2B5EF4-FFF2-40B4-BE49-F238E27FC236}">
              <a16:creationId xmlns:a16="http://schemas.microsoft.com/office/drawing/2014/main" id="{6F6B4783-6699-4F99-8E53-FAFCD759B40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1" name="Text Box 10">
          <a:extLst>
            <a:ext uri="{FF2B5EF4-FFF2-40B4-BE49-F238E27FC236}">
              <a16:creationId xmlns:a16="http://schemas.microsoft.com/office/drawing/2014/main" id="{D067EA12-3AFB-41B6-9C8C-7BB8EC30B2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2" name="Text Box 11">
          <a:extLst>
            <a:ext uri="{FF2B5EF4-FFF2-40B4-BE49-F238E27FC236}">
              <a16:creationId xmlns:a16="http://schemas.microsoft.com/office/drawing/2014/main" id="{B986B60D-6CC6-4E02-B1DF-E5C3BFE2CA3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3" name="Text Box 12">
          <a:extLst>
            <a:ext uri="{FF2B5EF4-FFF2-40B4-BE49-F238E27FC236}">
              <a16:creationId xmlns:a16="http://schemas.microsoft.com/office/drawing/2014/main" id="{240F6F37-7DDB-422A-91DF-1E0D74A3C6B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4" name="Text Box 21">
          <a:extLst>
            <a:ext uri="{FF2B5EF4-FFF2-40B4-BE49-F238E27FC236}">
              <a16:creationId xmlns:a16="http://schemas.microsoft.com/office/drawing/2014/main" id="{4FCBA2EA-53D0-4B50-984E-1D1098D3E9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5" name="Text Box 22">
          <a:extLst>
            <a:ext uri="{FF2B5EF4-FFF2-40B4-BE49-F238E27FC236}">
              <a16:creationId xmlns:a16="http://schemas.microsoft.com/office/drawing/2014/main" id="{4DE9FF9A-F8B5-4AB1-A201-C2A58421D5B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6" name="Text Box 23">
          <a:extLst>
            <a:ext uri="{FF2B5EF4-FFF2-40B4-BE49-F238E27FC236}">
              <a16:creationId xmlns:a16="http://schemas.microsoft.com/office/drawing/2014/main" id="{BA872712-83A4-46CF-88C7-93A1A7C557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7" name="Text Box 24">
          <a:extLst>
            <a:ext uri="{FF2B5EF4-FFF2-40B4-BE49-F238E27FC236}">
              <a16:creationId xmlns:a16="http://schemas.microsoft.com/office/drawing/2014/main" id="{4E687B32-7CCF-430C-8D34-E5AEA15693C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8" name="Text Box 33">
          <a:extLst>
            <a:ext uri="{FF2B5EF4-FFF2-40B4-BE49-F238E27FC236}">
              <a16:creationId xmlns:a16="http://schemas.microsoft.com/office/drawing/2014/main" id="{489C8349-99DD-404A-B6DB-5FA3FF3C11D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19" name="Text Box 34">
          <a:extLst>
            <a:ext uri="{FF2B5EF4-FFF2-40B4-BE49-F238E27FC236}">
              <a16:creationId xmlns:a16="http://schemas.microsoft.com/office/drawing/2014/main" id="{EB70449B-9ABC-4EE5-8F90-7AACB119666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0" name="Text Box 35">
          <a:extLst>
            <a:ext uri="{FF2B5EF4-FFF2-40B4-BE49-F238E27FC236}">
              <a16:creationId xmlns:a16="http://schemas.microsoft.com/office/drawing/2014/main" id="{B6907D53-95DE-4B71-87A2-5EC5A9070EC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1" name="Text Box 36">
          <a:extLst>
            <a:ext uri="{FF2B5EF4-FFF2-40B4-BE49-F238E27FC236}">
              <a16:creationId xmlns:a16="http://schemas.microsoft.com/office/drawing/2014/main" id="{A4A5E9B5-BB48-43A3-B645-D8B25ABCB33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2" name="Text Box 45">
          <a:extLst>
            <a:ext uri="{FF2B5EF4-FFF2-40B4-BE49-F238E27FC236}">
              <a16:creationId xmlns:a16="http://schemas.microsoft.com/office/drawing/2014/main" id="{D50E5BB7-371A-46F8-A30B-59CC8F7CEC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3" name="Text Box 46">
          <a:extLst>
            <a:ext uri="{FF2B5EF4-FFF2-40B4-BE49-F238E27FC236}">
              <a16:creationId xmlns:a16="http://schemas.microsoft.com/office/drawing/2014/main" id="{305BCCB7-B290-4517-9FD7-73C1A2AACA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4" name="Text Box 47">
          <a:extLst>
            <a:ext uri="{FF2B5EF4-FFF2-40B4-BE49-F238E27FC236}">
              <a16:creationId xmlns:a16="http://schemas.microsoft.com/office/drawing/2014/main" id="{F0D5B485-DED3-4DCF-AD44-EB2398F764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5" name="Text Box 48">
          <a:extLst>
            <a:ext uri="{FF2B5EF4-FFF2-40B4-BE49-F238E27FC236}">
              <a16:creationId xmlns:a16="http://schemas.microsoft.com/office/drawing/2014/main" id="{7E46B109-A219-460E-BF67-1834F982A8C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6" name="Text Box 57">
          <a:extLst>
            <a:ext uri="{FF2B5EF4-FFF2-40B4-BE49-F238E27FC236}">
              <a16:creationId xmlns:a16="http://schemas.microsoft.com/office/drawing/2014/main" id="{E1BB0887-DCB7-4330-AE1E-4664A8A1EC9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7" name="Text Box 58">
          <a:extLst>
            <a:ext uri="{FF2B5EF4-FFF2-40B4-BE49-F238E27FC236}">
              <a16:creationId xmlns:a16="http://schemas.microsoft.com/office/drawing/2014/main" id="{70123011-DB52-4EF3-9DFB-8504CF9377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8" name="Text Box 59">
          <a:extLst>
            <a:ext uri="{FF2B5EF4-FFF2-40B4-BE49-F238E27FC236}">
              <a16:creationId xmlns:a16="http://schemas.microsoft.com/office/drawing/2014/main" id="{EACC92BB-7B62-4E8E-824D-CBA4B289A4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29" name="Text Box 60">
          <a:extLst>
            <a:ext uri="{FF2B5EF4-FFF2-40B4-BE49-F238E27FC236}">
              <a16:creationId xmlns:a16="http://schemas.microsoft.com/office/drawing/2014/main" id="{201E6B4A-88D3-4AA9-8F23-A648944CD8D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0" name="Text Box 69">
          <a:extLst>
            <a:ext uri="{FF2B5EF4-FFF2-40B4-BE49-F238E27FC236}">
              <a16:creationId xmlns:a16="http://schemas.microsoft.com/office/drawing/2014/main" id="{E2501177-E447-4456-9E07-3B398163792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1" name="Text Box 70">
          <a:extLst>
            <a:ext uri="{FF2B5EF4-FFF2-40B4-BE49-F238E27FC236}">
              <a16:creationId xmlns:a16="http://schemas.microsoft.com/office/drawing/2014/main" id="{178BD8A5-666A-448C-BE3B-DBF682D1F02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2" name="Text Box 71">
          <a:extLst>
            <a:ext uri="{FF2B5EF4-FFF2-40B4-BE49-F238E27FC236}">
              <a16:creationId xmlns:a16="http://schemas.microsoft.com/office/drawing/2014/main" id="{FFDD1396-8D60-4704-B8D5-2837BF9409E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3" name="Text Box 72">
          <a:extLst>
            <a:ext uri="{FF2B5EF4-FFF2-40B4-BE49-F238E27FC236}">
              <a16:creationId xmlns:a16="http://schemas.microsoft.com/office/drawing/2014/main" id="{1ED4F0C7-8756-434C-93B7-896457A3A2A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4" name="Text Box 9">
          <a:extLst>
            <a:ext uri="{FF2B5EF4-FFF2-40B4-BE49-F238E27FC236}">
              <a16:creationId xmlns:a16="http://schemas.microsoft.com/office/drawing/2014/main" id="{F3E50F9D-64DA-4936-B3EA-6CA9E148C6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5" name="Text Box 10">
          <a:extLst>
            <a:ext uri="{FF2B5EF4-FFF2-40B4-BE49-F238E27FC236}">
              <a16:creationId xmlns:a16="http://schemas.microsoft.com/office/drawing/2014/main" id="{0E4EFFC9-D0ED-4005-97EA-C2596697B27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6" name="Text Box 11">
          <a:extLst>
            <a:ext uri="{FF2B5EF4-FFF2-40B4-BE49-F238E27FC236}">
              <a16:creationId xmlns:a16="http://schemas.microsoft.com/office/drawing/2014/main" id="{464F959D-3931-4B77-9524-ECB712E982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7" name="Text Box 12">
          <a:extLst>
            <a:ext uri="{FF2B5EF4-FFF2-40B4-BE49-F238E27FC236}">
              <a16:creationId xmlns:a16="http://schemas.microsoft.com/office/drawing/2014/main" id="{A2C5728F-7483-458D-BA64-039E08ED099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8" name="Text Box 21">
          <a:extLst>
            <a:ext uri="{FF2B5EF4-FFF2-40B4-BE49-F238E27FC236}">
              <a16:creationId xmlns:a16="http://schemas.microsoft.com/office/drawing/2014/main" id="{7E9592EA-97D8-4FBB-AB1C-7C702616C82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39" name="Text Box 22">
          <a:extLst>
            <a:ext uri="{FF2B5EF4-FFF2-40B4-BE49-F238E27FC236}">
              <a16:creationId xmlns:a16="http://schemas.microsoft.com/office/drawing/2014/main" id="{51EE7BC7-2B04-4742-8343-76B1FE29CD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0" name="Text Box 23">
          <a:extLst>
            <a:ext uri="{FF2B5EF4-FFF2-40B4-BE49-F238E27FC236}">
              <a16:creationId xmlns:a16="http://schemas.microsoft.com/office/drawing/2014/main" id="{C239C728-4075-4D9C-BA54-FFE94307B8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1" name="Text Box 24">
          <a:extLst>
            <a:ext uri="{FF2B5EF4-FFF2-40B4-BE49-F238E27FC236}">
              <a16:creationId xmlns:a16="http://schemas.microsoft.com/office/drawing/2014/main" id="{32F93970-8016-44B1-82D0-6A64075AC1B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2" name="Text Box 33">
          <a:extLst>
            <a:ext uri="{FF2B5EF4-FFF2-40B4-BE49-F238E27FC236}">
              <a16:creationId xmlns:a16="http://schemas.microsoft.com/office/drawing/2014/main" id="{686255D1-DF6D-4C58-8450-012363DCF4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3" name="Text Box 34">
          <a:extLst>
            <a:ext uri="{FF2B5EF4-FFF2-40B4-BE49-F238E27FC236}">
              <a16:creationId xmlns:a16="http://schemas.microsoft.com/office/drawing/2014/main" id="{68D381E3-5A2C-459A-8B6E-1DC6366A3BB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4" name="Text Box 35">
          <a:extLst>
            <a:ext uri="{FF2B5EF4-FFF2-40B4-BE49-F238E27FC236}">
              <a16:creationId xmlns:a16="http://schemas.microsoft.com/office/drawing/2014/main" id="{647694F0-524B-4A9A-A521-C87F4778943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5" name="Text Box 36">
          <a:extLst>
            <a:ext uri="{FF2B5EF4-FFF2-40B4-BE49-F238E27FC236}">
              <a16:creationId xmlns:a16="http://schemas.microsoft.com/office/drawing/2014/main" id="{67030DCA-F206-4B55-9CF1-7488C990178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6" name="Text Box 45">
          <a:extLst>
            <a:ext uri="{FF2B5EF4-FFF2-40B4-BE49-F238E27FC236}">
              <a16:creationId xmlns:a16="http://schemas.microsoft.com/office/drawing/2014/main" id="{1F7C5E59-E4F1-4997-85E7-5DA5DCFE7D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7" name="Text Box 46">
          <a:extLst>
            <a:ext uri="{FF2B5EF4-FFF2-40B4-BE49-F238E27FC236}">
              <a16:creationId xmlns:a16="http://schemas.microsoft.com/office/drawing/2014/main" id="{FAAAB50C-37DB-45C8-AF67-70822B65AE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8" name="Text Box 47">
          <a:extLst>
            <a:ext uri="{FF2B5EF4-FFF2-40B4-BE49-F238E27FC236}">
              <a16:creationId xmlns:a16="http://schemas.microsoft.com/office/drawing/2014/main" id="{1A0AFECA-0499-4A08-8D0A-FD979ABDC58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49" name="Text Box 48">
          <a:extLst>
            <a:ext uri="{FF2B5EF4-FFF2-40B4-BE49-F238E27FC236}">
              <a16:creationId xmlns:a16="http://schemas.microsoft.com/office/drawing/2014/main" id="{6C42362A-25DF-4D4E-B200-E984C5826D1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0" name="Text Box 57">
          <a:extLst>
            <a:ext uri="{FF2B5EF4-FFF2-40B4-BE49-F238E27FC236}">
              <a16:creationId xmlns:a16="http://schemas.microsoft.com/office/drawing/2014/main" id="{DB42E67B-2DAF-4929-971C-97F35E40EB6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1" name="Text Box 58">
          <a:extLst>
            <a:ext uri="{FF2B5EF4-FFF2-40B4-BE49-F238E27FC236}">
              <a16:creationId xmlns:a16="http://schemas.microsoft.com/office/drawing/2014/main" id="{F050A58A-CEEF-4896-B379-A05FD26CD69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2" name="Text Box 59">
          <a:extLst>
            <a:ext uri="{FF2B5EF4-FFF2-40B4-BE49-F238E27FC236}">
              <a16:creationId xmlns:a16="http://schemas.microsoft.com/office/drawing/2014/main" id="{F9983942-CBFE-41F5-8CAC-FD9056BF91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3" name="Text Box 60">
          <a:extLst>
            <a:ext uri="{FF2B5EF4-FFF2-40B4-BE49-F238E27FC236}">
              <a16:creationId xmlns:a16="http://schemas.microsoft.com/office/drawing/2014/main" id="{95C48CCE-8605-458D-AD09-CE4FDB7358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4" name="Text Box 69">
          <a:extLst>
            <a:ext uri="{FF2B5EF4-FFF2-40B4-BE49-F238E27FC236}">
              <a16:creationId xmlns:a16="http://schemas.microsoft.com/office/drawing/2014/main" id="{DD6AEF05-5B1C-431C-AD1D-7821E2B5AE4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5" name="Text Box 70">
          <a:extLst>
            <a:ext uri="{FF2B5EF4-FFF2-40B4-BE49-F238E27FC236}">
              <a16:creationId xmlns:a16="http://schemas.microsoft.com/office/drawing/2014/main" id="{C47A487F-D260-4855-BB19-453CEBE8F12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6" name="Text Box 71">
          <a:extLst>
            <a:ext uri="{FF2B5EF4-FFF2-40B4-BE49-F238E27FC236}">
              <a16:creationId xmlns:a16="http://schemas.microsoft.com/office/drawing/2014/main" id="{290ABF01-993D-4D03-AB8E-C33CAC8A011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7" name="Text Box 72">
          <a:extLst>
            <a:ext uri="{FF2B5EF4-FFF2-40B4-BE49-F238E27FC236}">
              <a16:creationId xmlns:a16="http://schemas.microsoft.com/office/drawing/2014/main" id="{31480038-BD8B-4A42-A923-4E23007BB26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8" name="Text Box 9">
          <a:extLst>
            <a:ext uri="{FF2B5EF4-FFF2-40B4-BE49-F238E27FC236}">
              <a16:creationId xmlns:a16="http://schemas.microsoft.com/office/drawing/2014/main" id="{B78256F1-8A7B-4DC3-A04C-E9F654DC328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59" name="Text Box 10">
          <a:extLst>
            <a:ext uri="{FF2B5EF4-FFF2-40B4-BE49-F238E27FC236}">
              <a16:creationId xmlns:a16="http://schemas.microsoft.com/office/drawing/2014/main" id="{6B99D9DD-C076-4E56-AF6B-01259BF27C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0" name="Text Box 11">
          <a:extLst>
            <a:ext uri="{FF2B5EF4-FFF2-40B4-BE49-F238E27FC236}">
              <a16:creationId xmlns:a16="http://schemas.microsoft.com/office/drawing/2014/main" id="{41336892-B1BD-425E-8441-A02D7A216FC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1" name="Text Box 12">
          <a:extLst>
            <a:ext uri="{FF2B5EF4-FFF2-40B4-BE49-F238E27FC236}">
              <a16:creationId xmlns:a16="http://schemas.microsoft.com/office/drawing/2014/main" id="{F4DD6DF8-97EC-43B2-BB94-A3ECF7600D5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2" name="Text Box 21">
          <a:extLst>
            <a:ext uri="{FF2B5EF4-FFF2-40B4-BE49-F238E27FC236}">
              <a16:creationId xmlns:a16="http://schemas.microsoft.com/office/drawing/2014/main" id="{4E5DF52A-934D-47B0-9545-0FA462C30F9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3" name="Text Box 22">
          <a:extLst>
            <a:ext uri="{FF2B5EF4-FFF2-40B4-BE49-F238E27FC236}">
              <a16:creationId xmlns:a16="http://schemas.microsoft.com/office/drawing/2014/main" id="{4C5BE64A-26A2-4A17-BB31-236A71DBF2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4" name="Text Box 23">
          <a:extLst>
            <a:ext uri="{FF2B5EF4-FFF2-40B4-BE49-F238E27FC236}">
              <a16:creationId xmlns:a16="http://schemas.microsoft.com/office/drawing/2014/main" id="{34580A2B-9DD4-4B67-AAAE-5A1EEC7915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5" name="Text Box 24">
          <a:extLst>
            <a:ext uri="{FF2B5EF4-FFF2-40B4-BE49-F238E27FC236}">
              <a16:creationId xmlns:a16="http://schemas.microsoft.com/office/drawing/2014/main" id="{23B68075-DC55-4BC4-A5CB-D144DB2E48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6" name="Text Box 33">
          <a:extLst>
            <a:ext uri="{FF2B5EF4-FFF2-40B4-BE49-F238E27FC236}">
              <a16:creationId xmlns:a16="http://schemas.microsoft.com/office/drawing/2014/main" id="{BC5A5613-5F29-4132-B7D8-3D06AA7E9E2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7" name="Text Box 34">
          <a:extLst>
            <a:ext uri="{FF2B5EF4-FFF2-40B4-BE49-F238E27FC236}">
              <a16:creationId xmlns:a16="http://schemas.microsoft.com/office/drawing/2014/main" id="{60FFDBE3-E3FD-41A3-9741-FF703D17FF7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8" name="Text Box 35">
          <a:extLst>
            <a:ext uri="{FF2B5EF4-FFF2-40B4-BE49-F238E27FC236}">
              <a16:creationId xmlns:a16="http://schemas.microsoft.com/office/drawing/2014/main" id="{FF266C11-D74B-440C-A599-6A8AC034F98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69" name="Text Box 36">
          <a:extLst>
            <a:ext uri="{FF2B5EF4-FFF2-40B4-BE49-F238E27FC236}">
              <a16:creationId xmlns:a16="http://schemas.microsoft.com/office/drawing/2014/main" id="{BB320009-D9C5-4A3B-ADF5-81880D2615C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0" name="Text Box 45">
          <a:extLst>
            <a:ext uri="{FF2B5EF4-FFF2-40B4-BE49-F238E27FC236}">
              <a16:creationId xmlns:a16="http://schemas.microsoft.com/office/drawing/2014/main" id="{36FE3061-3B38-44F5-BE8B-2F9F1C21446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1" name="Text Box 46">
          <a:extLst>
            <a:ext uri="{FF2B5EF4-FFF2-40B4-BE49-F238E27FC236}">
              <a16:creationId xmlns:a16="http://schemas.microsoft.com/office/drawing/2014/main" id="{FA374838-7ADC-42E9-876F-585B22121D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2" name="Text Box 47">
          <a:extLst>
            <a:ext uri="{FF2B5EF4-FFF2-40B4-BE49-F238E27FC236}">
              <a16:creationId xmlns:a16="http://schemas.microsoft.com/office/drawing/2014/main" id="{622E824D-6DAC-4CAD-8C6A-DD1E5F60BA1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3" name="Text Box 48">
          <a:extLst>
            <a:ext uri="{FF2B5EF4-FFF2-40B4-BE49-F238E27FC236}">
              <a16:creationId xmlns:a16="http://schemas.microsoft.com/office/drawing/2014/main" id="{A058EB4D-ADC5-4317-8D34-2083B47399F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4" name="Text Box 57">
          <a:extLst>
            <a:ext uri="{FF2B5EF4-FFF2-40B4-BE49-F238E27FC236}">
              <a16:creationId xmlns:a16="http://schemas.microsoft.com/office/drawing/2014/main" id="{9E73F631-5B7B-40F5-AD65-18729EA4AB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5" name="Text Box 58">
          <a:extLst>
            <a:ext uri="{FF2B5EF4-FFF2-40B4-BE49-F238E27FC236}">
              <a16:creationId xmlns:a16="http://schemas.microsoft.com/office/drawing/2014/main" id="{04588249-EC2B-4F99-B3EE-C5C1E11F792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6" name="Text Box 59">
          <a:extLst>
            <a:ext uri="{FF2B5EF4-FFF2-40B4-BE49-F238E27FC236}">
              <a16:creationId xmlns:a16="http://schemas.microsoft.com/office/drawing/2014/main" id="{AEDEA8E1-B3AE-429A-B387-80139CAE2A3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7" name="Text Box 60">
          <a:extLst>
            <a:ext uri="{FF2B5EF4-FFF2-40B4-BE49-F238E27FC236}">
              <a16:creationId xmlns:a16="http://schemas.microsoft.com/office/drawing/2014/main" id="{0979E7B4-15D8-4739-A383-2CDFD82D0C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8" name="Text Box 69">
          <a:extLst>
            <a:ext uri="{FF2B5EF4-FFF2-40B4-BE49-F238E27FC236}">
              <a16:creationId xmlns:a16="http://schemas.microsoft.com/office/drawing/2014/main" id="{77FC9505-BA28-44EE-9EC4-F4F16DF06F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79" name="Text Box 70">
          <a:extLst>
            <a:ext uri="{FF2B5EF4-FFF2-40B4-BE49-F238E27FC236}">
              <a16:creationId xmlns:a16="http://schemas.microsoft.com/office/drawing/2014/main" id="{4B1C6786-13C7-4467-902A-BC0E929D8C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0" name="Text Box 71">
          <a:extLst>
            <a:ext uri="{FF2B5EF4-FFF2-40B4-BE49-F238E27FC236}">
              <a16:creationId xmlns:a16="http://schemas.microsoft.com/office/drawing/2014/main" id="{A9D85E4A-84DD-405E-900D-ACC8BFC54C3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1" name="Text Box 72">
          <a:extLst>
            <a:ext uri="{FF2B5EF4-FFF2-40B4-BE49-F238E27FC236}">
              <a16:creationId xmlns:a16="http://schemas.microsoft.com/office/drawing/2014/main" id="{1A7F69E7-DCD4-43CF-8A90-EC956B48B6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2" name="Text Box 9">
          <a:extLst>
            <a:ext uri="{FF2B5EF4-FFF2-40B4-BE49-F238E27FC236}">
              <a16:creationId xmlns:a16="http://schemas.microsoft.com/office/drawing/2014/main" id="{9D7A2161-C077-46AF-A3D3-40909F669D3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3" name="Text Box 10">
          <a:extLst>
            <a:ext uri="{FF2B5EF4-FFF2-40B4-BE49-F238E27FC236}">
              <a16:creationId xmlns:a16="http://schemas.microsoft.com/office/drawing/2014/main" id="{E55C3312-E552-4CF4-B658-2F2234837C2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4" name="Text Box 11">
          <a:extLst>
            <a:ext uri="{FF2B5EF4-FFF2-40B4-BE49-F238E27FC236}">
              <a16:creationId xmlns:a16="http://schemas.microsoft.com/office/drawing/2014/main" id="{82EFD758-EE24-4753-9751-3C25FDF18E9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5" name="Text Box 12">
          <a:extLst>
            <a:ext uri="{FF2B5EF4-FFF2-40B4-BE49-F238E27FC236}">
              <a16:creationId xmlns:a16="http://schemas.microsoft.com/office/drawing/2014/main" id="{C4AB6AE4-44BC-4B41-B944-24C3A770997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6" name="Text Box 21">
          <a:extLst>
            <a:ext uri="{FF2B5EF4-FFF2-40B4-BE49-F238E27FC236}">
              <a16:creationId xmlns:a16="http://schemas.microsoft.com/office/drawing/2014/main" id="{F6C06E2B-5E28-4CFA-A32B-C6B566ECBC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7" name="Text Box 22">
          <a:extLst>
            <a:ext uri="{FF2B5EF4-FFF2-40B4-BE49-F238E27FC236}">
              <a16:creationId xmlns:a16="http://schemas.microsoft.com/office/drawing/2014/main" id="{D6F73C6B-D1BD-4B03-B148-2706AD45E1C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8" name="Text Box 23">
          <a:extLst>
            <a:ext uri="{FF2B5EF4-FFF2-40B4-BE49-F238E27FC236}">
              <a16:creationId xmlns:a16="http://schemas.microsoft.com/office/drawing/2014/main" id="{CB60A0D6-8E3F-4499-B4E4-9F3563D6CC9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89" name="Text Box 24">
          <a:extLst>
            <a:ext uri="{FF2B5EF4-FFF2-40B4-BE49-F238E27FC236}">
              <a16:creationId xmlns:a16="http://schemas.microsoft.com/office/drawing/2014/main" id="{E1771408-1318-4003-80CE-669DCDB0B1E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0" name="Text Box 33">
          <a:extLst>
            <a:ext uri="{FF2B5EF4-FFF2-40B4-BE49-F238E27FC236}">
              <a16:creationId xmlns:a16="http://schemas.microsoft.com/office/drawing/2014/main" id="{A168AB6E-D9D4-4414-98A9-AD06A1326F1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1" name="Text Box 34">
          <a:extLst>
            <a:ext uri="{FF2B5EF4-FFF2-40B4-BE49-F238E27FC236}">
              <a16:creationId xmlns:a16="http://schemas.microsoft.com/office/drawing/2014/main" id="{8966D000-1810-4428-88F3-5320F8A7BF9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2" name="Text Box 35">
          <a:extLst>
            <a:ext uri="{FF2B5EF4-FFF2-40B4-BE49-F238E27FC236}">
              <a16:creationId xmlns:a16="http://schemas.microsoft.com/office/drawing/2014/main" id="{70A3CA0C-55EF-4AC3-B7C1-57D067EC71E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3" name="Text Box 36">
          <a:extLst>
            <a:ext uri="{FF2B5EF4-FFF2-40B4-BE49-F238E27FC236}">
              <a16:creationId xmlns:a16="http://schemas.microsoft.com/office/drawing/2014/main" id="{0C6E35AA-637B-47DA-ACB5-9A60A3363F9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4" name="Text Box 45">
          <a:extLst>
            <a:ext uri="{FF2B5EF4-FFF2-40B4-BE49-F238E27FC236}">
              <a16:creationId xmlns:a16="http://schemas.microsoft.com/office/drawing/2014/main" id="{30E08ADD-6E4C-4B1E-A9BE-FB078BDD69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5" name="Text Box 46">
          <a:extLst>
            <a:ext uri="{FF2B5EF4-FFF2-40B4-BE49-F238E27FC236}">
              <a16:creationId xmlns:a16="http://schemas.microsoft.com/office/drawing/2014/main" id="{95EA5C6E-2C11-4DDF-B2E9-530775F418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6" name="Text Box 47">
          <a:extLst>
            <a:ext uri="{FF2B5EF4-FFF2-40B4-BE49-F238E27FC236}">
              <a16:creationId xmlns:a16="http://schemas.microsoft.com/office/drawing/2014/main" id="{B76AB738-8B40-4A0B-BA31-F12371E231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7" name="Text Box 48">
          <a:extLst>
            <a:ext uri="{FF2B5EF4-FFF2-40B4-BE49-F238E27FC236}">
              <a16:creationId xmlns:a16="http://schemas.microsoft.com/office/drawing/2014/main" id="{BBEAB3E8-1EB2-45DD-A44E-187F6DB151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8" name="Text Box 57">
          <a:extLst>
            <a:ext uri="{FF2B5EF4-FFF2-40B4-BE49-F238E27FC236}">
              <a16:creationId xmlns:a16="http://schemas.microsoft.com/office/drawing/2014/main" id="{F1716567-D4AC-4FE7-ABE8-1841211CE04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099" name="Text Box 58">
          <a:extLst>
            <a:ext uri="{FF2B5EF4-FFF2-40B4-BE49-F238E27FC236}">
              <a16:creationId xmlns:a16="http://schemas.microsoft.com/office/drawing/2014/main" id="{AE260C22-3EB2-4415-9DDE-12B8BECFCF7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0" name="Text Box 59">
          <a:extLst>
            <a:ext uri="{FF2B5EF4-FFF2-40B4-BE49-F238E27FC236}">
              <a16:creationId xmlns:a16="http://schemas.microsoft.com/office/drawing/2014/main" id="{119BAFB7-EE77-4C15-9813-95E5D06D2B0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1" name="Text Box 60">
          <a:extLst>
            <a:ext uri="{FF2B5EF4-FFF2-40B4-BE49-F238E27FC236}">
              <a16:creationId xmlns:a16="http://schemas.microsoft.com/office/drawing/2014/main" id="{A7FCE132-66FF-4004-9521-50F99EE1EE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2" name="Text Box 69">
          <a:extLst>
            <a:ext uri="{FF2B5EF4-FFF2-40B4-BE49-F238E27FC236}">
              <a16:creationId xmlns:a16="http://schemas.microsoft.com/office/drawing/2014/main" id="{283F41FC-4866-4658-922B-FA2F723C15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3" name="Text Box 70">
          <a:extLst>
            <a:ext uri="{FF2B5EF4-FFF2-40B4-BE49-F238E27FC236}">
              <a16:creationId xmlns:a16="http://schemas.microsoft.com/office/drawing/2014/main" id="{2C865CC0-C629-4926-B1C7-967DA9F385A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4" name="Text Box 71">
          <a:extLst>
            <a:ext uri="{FF2B5EF4-FFF2-40B4-BE49-F238E27FC236}">
              <a16:creationId xmlns:a16="http://schemas.microsoft.com/office/drawing/2014/main" id="{79FABBF3-0A10-4FEB-8CA1-468B3960D4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5" name="Text Box 72">
          <a:extLst>
            <a:ext uri="{FF2B5EF4-FFF2-40B4-BE49-F238E27FC236}">
              <a16:creationId xmlns:a16="http://schemas.microsoft.com/office/drawing/2014/main" id="{0C5F7CC2-8F0A-4CB1-8EB7-08ECDF7A86A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6" name="Text Box 9">
          <a:extLst>
            <a:ext uri="{FF2B5EF4-FFF2-40B4-BE49-F238E27FC236}">
              <a16:creationId xmlns:a16="http://schemas.microsoft.com/office/drawing/2014/main" id="{53860D6D-E0FC-4DF6-835A-2E988F8C7D1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7" name="Text Box 10">
          <a:extLst>
            <a:ext uri="{FF2B5EF4-FFF2-40B4-BE49-F238E27FC236}">
              <a16:creationId xmlns:a16="http://schemas.microsoft.com/office/drawing/2014/main" id="{2992C8F3-DC0F-4D3E-BE51-4A70F5BC3A1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8" name="Text Box 11">
          <a:extLst>
            <a:ext uri="{FF2B5EF4-FFF2-40B4-BE49-F238E27FC236}">
              <a16:creationId xmlns:a16="http://schemas.microsoft.com/office/drawing/2014/main" id="{C6AFDC1C-7A6E-4787-8581-E142CA9E4C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09" name="Text Box 12">
          <a:extLst>
            <a:ext uri="{FF2B5EF4-FFF2-40B4-BE49-F238E27FC236}">
              <a16:creationId xmlns:a16="http://schemas.microsoft.com/office/drawing/2014/main" id="{3F1F4676-277D-4024-903F-3C7D7711542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0" name="Text Box 21">
          <a:extLst>
            <a:ext uri="{FF2B5EF4-FFF2-40B4-BE49-F238E27FC236}">
              <a16:creationId xmlns:a16="http://schemas.microsoft.com/office/drawing/2014/main" id="{2033CC1E-BD2B-4CF6-9A05-5603A57ABA6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1" name="Text Box 22">
          <a:extLst>
            <a:ext uri="{FF2B5EF4-FFF2-40B4-BE49-F238E27FC236}">
              <a16:creationId xmlns:a16="http://schemas.microsoft.com/office/drawing/2014/main" id="{B7B156AA-3C98-4A7C-B3F4-1F60C7473D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2" name="Text Box 23">
          <a:extLst>
            <a:ext uri="{FF2B5EF4-FFF2-40B4-BE49-F238E27FC236}">
              <a16:creationId xmlns:a16="http://schemas.microsoft.com/office/drawing/2014/main" id="{B8D6CB32-9AC7-43C8-BCA2-574A8F7895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3" name="Text Box 24">
          <a:extLst>
            <a:ext uri="{FF2B5EF4-FFF2-40B4-BE49-F238E27FC236}">
              <a16:creationId xmlns:a16="http://schemas.microsoft.com/office/drawing/2014/main" id="{43C0171A-12E4-4929-B00A-EF12E0D56D1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4" name="Text Box 33">
          <a:extLst>
            <a:ext uri="{FF2B5EF4-FFF2-40B4-BE49-F238E27FC236}">
              <a16:creationId xmlns:a16="http://schemas.microsoft.com/office/drawing/2014/main" id="{3A529F35-243B-4BF4-A1BD-3F937CD371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5" name="Text Box 34">
          <a:extLst>
            <a:ext uri="{FF2B5EF4-FFF2-40B4-BE49-F238E27FC236}">
              <a16:creationId xmlns:a16="http://schemas.microsoft.com/office/drawing/2014/main" id="{43F3107F-17FB-474E-94D0-0B715A159B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6" name="Text Box 35">
          <a:extLst>
            <a:ext uri="{FF2B5EF4-FFF2-40B4-BE49-F238E27FC236}">
              <a16:creationId xmlns:a16="http://schemas.microsoft.com/office/drawing/2014/main" id="{CE5C2DA1-334B-4EF4-A4DB-9F314B8F0A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7" name="Text Box 36">
          <a:extLst>
            <a:ext uri="{FF2B5EF4-FFF2-40B4-BE49-F238E27FC236}">
              <a16:creationId xmlns:a16="http://schemas.microsoft.com/office/drawing/2014/main" id="{D667947F-BDD0-45FB-B18D-62E7DCC6029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8" name="Text Box 45">
          <a:extLst>
            <a:ext uri="{FF2B5EF4-FFF2-40B4-BE49-F238E27FC236}">
              <a16:creationId xmlns:a16="http://schemas.microsoft.com/office/drawing/2014/main" id="{12A63A18-F4D9-4CD6-A1BA-A9E210EBE12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19" name="Text Box 46">
          <a:extLst>
            <a:ext uri="{FF2B5EF4-FFF2-40B4-BE49-F238E27FC236}">
              <a16:creationId xmlns:a16="http://schemas.microsoft.com/office/drawing/2014/main" id="{BA656F85-6661-476A-A8E6-4DFCE3503E5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0" name="Text Box 47">
          <a:extLst>
            <a:ext uri="{FF2B5EF4-FFF2-40B4-BE49-F238E27FC236}">
              <a16:creationId xmlns:a16="http://schemas.microsoft.com/office/drawing/2014/main" id="{9483683E-EC3C-4640-9438-98D1928F645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1" name="Text Box 48">
          <a:extLst>
            <a:ext uri="{FF2B5EF4-FFF2-40B4-BE49-F238E27FC236}">
              <a16:creationId xmlns:a16="http://schemas.microsoft.com/office/drawing/2014/main" id="{BD7E7699-9144-401B-9BC9-ECAE9F702C3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2" name="Text Box 57">
          <a:extLst>
            <a:ext uri="{FF2B5EF4-FFF2-40B4-BE49-F238E27FC236}">
              <a16:creationId xmlns:a16="http://schemas.microsoft.com/office/drawing/2014/main" id="{65CBCCD3-2257-43F6-9445-D83124AF495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3" name="Text Box 58">
          <a:extLst>
            <a:ext uri="{FF2B5EF4-FFF2-40B4-BE49-F238E27FC236}">
              <a16:creationId xmlns:a16="http://schemas.microsoft.com/office/drawing/2014/main" id="{F6A746A9-9731-47CD-97CF-4ABADC81E3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4" name="Text Box 59">
          <a:extLst>
            <a:ext uri="{FF2B5EF4-FFF2-40B4-BE49-F238E27FC236}">
              <a16:creationId xmlns:a16="http://schemas.microsoft.com/office/drawing/2014/main" id="{CD64B588-2308-48E6-BC56-056E092475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5" name="Text Box 60">
          <a:extLst>
            <a:ext uri="{FF2B5EF4-FFF2-40B4-BE49-F238E27FC236}">
              <a16:creationId xmlns:a16="http://schemas.microsoft.com/office/drawing/2014/main" id="{CB3EB363-05A9-4206-97DA-CB79F303D65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6" name="Text Box 69">
          <a:extLst>
            <a:ext uri="{FF2B5EF4-FFF2-40B4-BE49-F238E27FC236}">
              <a16:creationId xmlns:a16="http://schemas.microsoft.com/office/drawing/2014/main" id="{83972E52-CAAE-4EC2-9919-065DEF48724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7" name="Text Box 70">
          <a:extLst>
            <a:ext uri="{FF2B5EF4-FFF2-40B4-BE49-F238E27FC236}">
              <a16:creationId xmlns:a16="http://schemas.microsoft.com/office/drawing/2014/main" id="{D0D7AF0E-9949-4B31-88A3-030DA19B8C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8" name="Text Box 71">
          <a:extLst>
            <a:ext uri="{FF2B5EF4-FFF2-40B4-BE49-F238E27FC236}">
              <a16:creationId xmlns:a16="http://schemas.microsoft.com/office/drawing/2014/main" id="{5B78E360-9397-473D-9419-7625B5E1EB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29" name="Text Box 72">
          <a:extLst>
            <a:ext uri="{FF2B5EF4-FFF2-40B4-BE49-F238E27FC236}">
              <a16:creationId xmlns:a16="http://schemas.microsoft.com/office/drawing/2014/main" id="{7C2A5711-C31B-4A66-89C3-B3007EBBE3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0" name="Text Box 9">
          <a:extLst>
            <a:ext uri="{FF2B5EF4-FFF2-40B4-BE49-F238E27FC236}">
              <a16:creationId xmlns:a16="http://schemas.microsoft.com/office/drawing/2014/main" id="{38793FBC-9A43-49F6-94FF-D82959040B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1" name="Text Box 10">
          <a:extLst>
            <a:ext uri="{FF2B5EF4-FFF2-40B4-BE49-F238E27FC236}">
              <a16:creationId xmlns:a16="http://schemas.microsoft.com/office/drawing/2014/main" id="{39EB8681-2E83-4D10-83B6-DE1B273F0B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2" name="Text Box 11">
          <a:extLst>
            <a:ext uri="{FF2B5EF4-FFF2-40B4-BE49-F238E27FC236}">
              <a16:creationId xmlns:a16="http://schemas.microsoft.com/office/drawing/2014/main" id="{54C4887B-4512-491F-B03D-C49356F9053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3" name="Text Box 12">
          <a:extLst>
            <a:ext uri="{FF2B5EF4-FFF2-40B4-BE49-F238E27FC236}">
              <a16:creationId xmlns:a16="http://schemas.microsoft.com/office/drawing/2014/main" id="{50D1C369-3E0C-4544-AA33-927B561D1B6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4" name="Text Box 21">
          <a:extLst>
            <a:ext uri="{FF2B5EF4-FFF2-40B4-BE49-F238E27FC236}">
              <a16:creationId xmlns:a16="http://schemas.microsoft.com/office/drawing/2014/main" id="{C02B18D4-5ECD-41DC-8E55-B734B62596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5" name="Text Box 22">
          <a:extLst>
            <a:ext uri="{FF2B5EF4-FFF2-40B4-BE49-F238E27FC236}">
              <a16:creationId xmlns:a16="http://schemas.microsoft.com/office/drawing/2014/main" id="{AF92EA1A-74A9-4A9E-BC76-275F865B194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6" name="Text Box 23">
          <a:extLst>
            <a:ext uri="{FF2B5EF4-FFF2-40B4-BE49-F238E27FC236}">
              <a16:creationId xmlns:a16="http://schemas.microsoft.com/office/drawing/2014/main" id="{108DD667-CA10-44D5-90B7-A12DE227E66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7" name="Text Box 24">
          <a:extLst>
            <a:ext uri="{FF2B5EF4-FFF2-40B4-BE49-F238E27FC236}">
              <a16:creationId xmlns:a16="http://schemas.microsoft.com/office/drawing/2014/main" id="{B3F58EF1-F9E7-4ED5-869D-FD4D93FD82A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8" name="Text Box 33">
          <a:extLst>
            <a:ext uri="{FF2B5EF4-FFF2-40B4-BE49-F238E27FC236}">
              <a16:creationId xmlns:a16="http://schemas.microsoft.com/office/drawing/2014/main" id="{045CB034-30BD-4E35-8FE3-212CDD92B0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39" name="Text Box 34">
          <a:extLst>
            <a:ext uri="{FF2B5EF4-FFF2-40B4-BE49-F238E27FC236}">
              <a16:creationId xmlns:a16="http://schemas.microsoft.com/office/drawing/2014/main" id="{0BF18C88-A855-43AD-8170-287FEFEB4A7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0" name="Text Box 35">
          <a:extLst>
            <a:ext uri="{FF2B5EF4-FFF2-40B4-BE49-F238E27FC236}">
              <a16:creationId xmlns:a16="http://schemas.microsoft.com/office/drawing/2014/main" id="{608B69AE-8887-4BF8-B025-40FDD500D30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1" name="Text Box 36">
          <a:extLst>
            <a:ext uri="{FF2B5EF4-FFF2-40B4-BE49-F238E27FC236}">
              <a16:creationId xmlns:a16="http://schemas.microsoft.com/office/drawing/2014/main" id="{5CA6A31E-5EF2-4AF2-AA68-29C994FC52C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2" name="Text Box 45">
          <a:extLst>
            <a:ext uri="{FF2B5EF4-FFF2-40B4-BE49-F238E27FC236}">
              <a16:creationId xmlns:a16="http://schemas.microsoft.com/office/drawing/2014/main" id="{A4311CD6-4788-4E05-B63C-73C1935415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3" name="Text Box 46">
          <a:extLst>
            <a:ext uri="{FF2B5EF4-FFF2-40B4-BE49-F238E27FC236}">
              <a16:creationId xmlns:a16="http://schemas.microsoft.com/office/drawing/2014/main" id="{A6CC719D-F562-4DCF-AAD0-F63583DF601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4" name="Text Box 47">
          <a:extLst>
            <a:ext uri="{FF2B5EF4-FFF2-40B4-BE49-F238E27FC236}">
              <a16:creationId xmlns:a16="http://schemas.microsoft.com/office/drawing/2014/main" id="{38364285-B431-4843-A558-5E83FF1CC0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5" name="Text Box 48">
          <a:extLst>
            <a:ext uri="{FF2B5EF4-FFF2-40B4-BE49-F238E27FC236}">
              <a16:creationId xmlns:a16="http://schemas.microsoft.com/office/drawing/2014/main" id="{228A2979-7C79-4B34-80C2-F6FA26023B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6" name="Text Box 57">
          <a:extLst>
            <a:ext uri="{FF2B5EF4-FFF2-40B4-BE49-F238E27FC236}">
              <a16:creationId xmlns:a16="http://schemas.microsoft.com/office/drawing/2014/main" id="{D900BF14-3CCB-4B44-80B8-49B4B801333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7" name="Text Box 58">
          <a:extLst>
            <a:ext uri="{FF2B5EF4-FFF2-40B4-BE49-F238E27FC236}">
              <a16:creationId xmlns:a16="http://schemas.microsoft.com/office/drawing/2014/main" id="{6D9DE9CB-357F-434A-BE88-E30E6ED1C10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8" name="Text Box 59">
          <a:extLst>
            <a:ext uri="{FF2B5EF4-FFF2-40B4-BE49-F238E27FC236}">
              <a16:creationId xmlns:a16="http://schemas.microsoft.com/office/drawing/2014/main" id="{D34A8E39-9F1B-46E5-A303-6F8EDD29A76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49" name="Text Box 60">
          <a:extLst>
            <a:ext uri="{FF2B5EF4-FFF2-40B4-BE49-F238E27FC236}">
              <a16:creationId xmlns:a16="http://schemas.microsoft.com/office/drawing/2014/main" id="{FAEB4252-1865-4729-9001-DC2D7E51BCF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0" name="Text Box 69">
          <a:extLst>
            <a:ext uri="{FF2B5EF4-FFF2-40B4-BE49-F238E27FC236}">
              <a16:creationId xmlns:a16="http://schemas.microsoft.com/office/drawing/2014/main" id="{1593624A-0335-44FB-8624-2D9B6170C46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1" name="Text Box 70">
          <a:extLst>
            <a:ext uri="{FF2B5EF4-FFF2-40B4-BE49-F238E27FC236}">
              <a16:creationId xmlns:a16="http://schemas.microsoft.com/office/drawing/2014/main" id="{A2B82219-D6A2-4FD0-9DAF-FAE5C0A7792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2" name="Text Box 71">
          <a:extLst>
            <a:ext uri="{FF2B5EF4-FFF2-40B4-BE49-F238E27FC236}">
              <a16:creationId xmlns:a16="http://schemas.microsoft.com/office/drawing/2014/main" id="{0F68C526-DE3D-496F-A570-51E810D6291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3" name="Text Box 72">
          <a:extLst>
            <a:ext uri="{FF2B5EF4-FFF2-40B4-BE49-F238E27FC236}">
              <a16:creationId xmlns:a16="http://schemas.microsoft.com/office/drawing/2014/main" id="{8F8964BC-E848-46FE-8632-329B23AC478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4" name="Text Box 9">
          <a:extLst>
            <a:ext uri="{FF2B5EF4-FFF2-40B4-BE49-F238E27FC236}">
              <a16:creationId xmlns:a16="http://schemas.microsoft.com/office/drawing/2014/main" id="{9246FA2F-2E89-4875-B94A-6C4014D0D5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5" name="Text Box 10">
          <a:extLst>
            <a:ext uri="{FF2B5EF4-FFF2-40B4-BE49-F238E27FC236}">
              <a16:creationId xmlns:a16="http://schemas.microsoft.com/office/drawing/2014/main" id="{0FDD8D8B-1235-4CAC-A8DE-294FCA8E265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6" name="Text Box 11">
          <a:extLst>
            <a:ext uri="{FF2B5EF4-FFF2-40B4-BE49-F238E27FC236}">
              <a16:creationId xmlns:a16="http://schemas.microsoft.com/office/drawing/2014/main" id="{1030AF5F-B148-4196-9CBF-77CBAA64198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7" name="Text Box 12">
          <a:extLst>
            <a:ext uri="{FF2B5EF4-FFF2-40B4-BE49-F238E27FC236}">
              <a16:creationId xmlns:a16="http://schemas.microsoft.com/office/drawing/2014/main" id="{B3166E65-899A-4C1D-8B8E-F3130364F1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8" name="Text Box 21">
          <a:extLst>
            <a:ext uri="{FF2B5EF4-FFF2-40B4-BE49-F238E27FC236}">
              <a16:creationId xmlns:a16="http://schemas.microsoft.com/office/drawing/2014/main" id="{8CBE7DF7-96A4-4323-A59B-CDEC22B246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59" name="Text Box 22">
          <a:extLst>
            <a:ext uri="{FF2B5EF4-FFF2-40B4-BE49-F238E27FC236}">
              <a16:creationId xmlns:a16="http://schemas.microsoft.com/office/drawing/2014/main" id="{BF0B25C3-FBDB-48FF-9EC8-70E0D24519A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0" name="Text Box 23">
          <a:extLst>
            <a:ext uri="{FF2B5EF4-FFF2-40B4-BE49-F238E27FC236}">
              <a16:creationId xmlns:a16="http://schemas.microsoft.com/office/drawing/2014/main" id="{A25AA2F7-8115-4C6F-9F0A-F690DEF89F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1" name="Text Box 24">
          <a:extLst>
            <a:ext uri="{FF2B5EF4-FFF2-40B4-BE49-F238E27FC236}">
              <a16:creationId xmlns:a16="http://schemas.microsoft.com/office/drawing/2014/main" id="{C7AF7A5D-C613-4A50-B5C2-A42234AEBA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2" name="Text Box 33">
          <a:extLst>
            <a:ext uri="{FF2B5EF4-FFF2-40B4-BE49-F238E27FC236}">
              <a16:creationId xmlns:a16="http://schemas.microsoft.com/office/drawing/2014/main" id="{891F3C58-BEDF-4908-B0F0-2064560A80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3" name="Text Box 34">
          <a:extLst>
            <a:ext uri="{FF2B5EF4-FFF2-40B4-BE49-F238E27FC236}">
              <a16:creationId xmlns:a16="http://schemas.microsoft.com/office/drawing/2014/main" id="{85DD8012-2E4A-4371-B548-A01F10C4E1C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4" name="Text Box 35">
          <a:extLst>
            <a:ext uri="{FF2B5EF4-FFF2-40B4-BE49-F238E27FC236}">
              <a16:creationId xmlns:a16="http://schemas.microsoft.com/office/drawing/2014/main" id="{0B25FE32-2626-4C5F-A9AE-9E1C8414F62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5" name="Text Box 36">
          <a:extLst>
            <a:ext uri="{FF2B5EF4-FFF2-40B4-BE49-F238E27FC236}">
              <a16:creationId xmlns:a16="http://schemas.microsoft.com/office/drawing/2014/main" id="{9AB9ED08-F0DC-48D5-B968-9DB38C8676C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6" name="Text Box 45">
          <a:extLst>
            <a:ext uri="{FF2B5EF4-FFF2-40B4-BE49-F238E27FC236}">
              <a16:creationId xmlns:a16="http://schemas.microsoft.com/office/drawing/2014/main" id="{401AB68D-4737-437D-A808-9B75C6C8F07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7" name="Text Box 46">
          <a:extLst>
            <a:ext uri="{FF2B5EF4-FFF2-40B4-BE49-F238E27FC236}">
              <a16:creationId xmlns:a16="http://schemas.microsoft.com/office/drawing/2014/main" id="{CF537FF6-B657-4CC3-A908-C0A20CD0F1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8" name="Text Box 47">
          <a:extLst>
            <a:ext uri="{FF2B5EF4-FFF2-40B4-BE49-F238E27FC236}">
              <a16:creationId xmlns:a16="http://schemas.microsoft.com/office/drawing/2014/main" id="{5D46BED7-2034-4E7B-946E-99D172E493B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69" name="Text Box 48">
          <a:extLst>
            <a:ext uri="{FF2B5EF4-FFF2-40B4-BE49-F238E27FC236}">
              <a16:creationId xmlns:a16="http://schemas.microsoft.com/office/drawing/2014/main" id="{D82721C1-AF61-479B-B06E-05B985F0F1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0" name="Text Box 57">
          <a:extLst>
            <a:ext uri="{FF2B5EF4-FFF2-40B4-BE49-F238E27FC236}">
              <a16:creationId xmlns:a16="http://schemas.microsoft.com/office/drawing/2014/main" id="{5BAEF018-413F-403D-87E4-9E6B42E3304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1" name="Text Box 58">
          <a:extLst>
            <a:ext uri="{FF2B5EF4-FFF2-40B4-BE49-F238E27FC236}">
              <a16:creationId xmlns:a16="http://schemas.microsoft.com/office/drawing/2014/main" id="{E6694D57-A502-4DEA-A437-211D6EBA6E4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2" name="Text Box 59">
          <a:extLst>
            <a:ext uri="{FF2B5EF4-FFF2-40B4-BE49-F238E27FC236}">
              <a16:creationId xmlns:a16="http://schemas.microsoft.com/office/drawing/2014/main" id="{A89F6888-A3C0-4938-B2C2-0F8E3C8B06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3" name="Text Box 60">
          <a:extLst>
            <a:ext uri="{FF2B5EF4-FFF2-40B4-BE49-F238E27FC236}">
              <a16:creationId xmlns:a16="http://schemas.microsoft.com/office/drawing/2014/main" id="{500FD359-9EBD-44ED-A611-0DFBB0A91D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4" name="Text Box 69">
          <a:extLst>
            <a:ext uri="{FF2B5EF4-FFF2-40B4-BE49-F238E27FC236}">
              <a16:creationId xmlns:a16="http://schemas.microsoft.com/office/drawing/2014/main" id="{FFFB19FD-9204-40B5-8D91-A555407B125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5" name="Text Box 70">
          <a:extLst>
            <a:ext uri="{FF2B5EF4-FFF2-40B4-BE49-F238E27FC236}">
              <a16:creationId xmlns:a16="http://schemas.microsoft.com/office/drawing/2014/main" id="{3C849DE5-8431-4924-8E24-E467E4355CC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6" name="Text Box 71">
          <a:extLst>
            <a:ext uri="{FF2B5EF4-FFF2-40B4-BE49-F238E27FC236}">
              <a16:creationId xmlns:a16="http://schemas.microsoft.com/office/drawing/2014/main" id="{C9CEF166-B07F-4A45-A975-5092B66A68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7" name="Text Box 72">
          <a:extLst>
            <a:ext uri="{FF2B5EF4-FFF2-40B4-BE49-F238E27FC236}">
              <a16:creationId xmlns:a16="http://schemas.microsoft.com/office/drawing/2014/main" id="{8EE40A74-CC64-4A67-9051-059BB0DD4CE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8" name="Text Box 9">
          <a:extLst>
            <a:ext uri="{FF2B5EF4-FFF2-40B4-BE49-F238E27FC236}">
              <a16:creationId xmlns:a16="http://schemas.microsoft.com/office/drawing/2014/main" id="{66BA57CF-F30B-4D7E-B1D2-DCD2E812193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79" name="Text Box 10">
          <a:extLst>
            <a:ext uri="{FF2B5EF4-FFF2-40B4-BE49-F238E27FC236}">
              <a16:creationId xmlns:a16="http://schemas.microsoft.com/office/drawing/2014/main" id="{1D229846-BACE-4C8A-9DDF-7235923421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0" name="Text Box 11">
          <a:extLst>
            <a:ext uri="{FF2B5EF4-FFF2-40B4-BE49-F238E27FC236}">
              <a16:creationId xmlns:a16="http://schemas.microsoft.com/office/drawing/2014/main" id="{99A53116-45D6-4315-80EB-0EA8C90E067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1" name="Text Box 12">
          <a:extLst>
            <a:ext uri="{FF2B5EF4-FFF2-40B4-BE49-F238E27FC236}">
              <a16:creationId xmlns:a16="http://schemas.microsoft.com/office/drawing/2014/main" id="{AFD962D6-18FE-4CA6-B7AC-31F9AEBA3F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2" name="Text Box 21">
          <a:extLst>
            <a:ext uri="{FF2B5EF4-FFF2-40B4-BE49-F238E27FC236}">
              <a16:creationId xmlns:a16="http://schemas.microsoft.com/office/drawing/2014/main" id="{46A52408-8F3B-4738-9F5A-FE24429C061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3" name="Text Box 22">
          <a:extLst>
            <a:ext uri="{FF2B5EF4-FFF2-40B4-BE49-F238E27FC236}">
              <a16:creationId xmlns:a16="http://schemas.microsoft.com/office/drawing/2014/main" id="{0B9719C6-AF7F-493A-8CD4-32EC743135B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4" name="Text Box 23">
          <a:extLst>
            <a:ext uri="{FF2B5EF4-FFF2-40B4-BE49-F238E27FC236}">
              <a16:creationId xmlns:a16="http://schemas.microsoft.com/office/drawing/2014/main" id="{3D916AE9-8C2A-4B7A-A2B3-61AD0CDFC71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5" name="Text Box 24">
          <a:extLst>
            <a:ext uri="{FF2B5EF4-FFF2-40B4-BE49-F238E27FC236}">
              <a16:creationId xmlns:a16="http://schemas.microsoft.com/office/drawing/2014/main" id="{9B9C0057-DA1F-4D22-B4F2-70D818DF231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6" name="Text Box 33">
          <a:extLst>
            <a:ext uri="{FF2B5EF4-FFF2-40B4-BE49-F238E27FC236}">
              <a16:creationId xmlns:a16="http://schemas.microsoft.com/office/drawing/2014/main" id="{AECBBCB5-7FB5-41CD-B556-7B868963C7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7" name="Text Box 34">
          <a:extLst>
            <a:ext uri="{FF2B5EF4-FFF2-40B4-BE49-F238E27FC236}">
              <a16:creationId xmlns:a16="http://schemas.microsoft.com/office/drawing/2014/main" id="{49C2CF40-12F7-463B-A1E2-E3A0773ADDF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8" name="Text Box 35">
          <a:extLst>
            <a:ext uri="{FF2B5EF4-FFF2-40B4-BE49-F238E27FC236}">
              <a16:creationId xmlns:a16="http://schemas.microsoft.com/office/drawing/2014/main" id="{2813D324-FBE9-47D1-A727-BEF0F93AAEE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89" name="Text Box 36">
          <a:extLst>
            <a:ext uri="{FF2B5EF4-FFF2-40B4-BE49-F238E27FC236}">
              <a16:creationId xmlns:a16="http://schemas.microsoft.com/office/drawing/2014/main" id="{B5A085E9-C3FD-4151-865C-B7914185C43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0" name="Text Box 45">
          <a:extLst>
            <a:ext uri="{FF2B5EF4-FFF2-40B4-BE49-F238E27FC236}">
              <a16:creationId xmlns:a16="http://schemas.microsoft.com/office/drawing/2014/main" id="{87708625-FBBC-4ABF-BDC7-F9881A3AA9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1" name="Text Box 46">
          <a:extLst>
            <a:ext uri="{FF2B5EF4-FFF2-40B4-BE49-F238E27FC236}">
              <a16:creationId xmlns:a16="http://schemas.microsoft.com/office/drawing/2014/main" id="{078374E6-1800-4383-A1E9-908092136BC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2" name="Text Box 47">
          <a:extLst>
            <a:ext uri="{FF2B5EF4-FFF2-40B4-BE49-F238E27FC236}">
              <a16:creationId xmlns:a16="http://schemas.microsoft.com/office/drawing/2014/main" id="{73DBCCB9-7FD8-4709-9E6E-B3AC64B0171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3" name="Text Box 48">
          <a:extLst>
            <a:ext uri="{FF2B5EF4-FFF2-40B4-BE49-F238E27FC236}">
              <a16:creationId xmlns:a16="http://schemas.microsoft.com/office/drawing/2014/main" id="{36D2DA89-4803-41C2-9B4D-34B501B270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4" name="Text Box 57">
          <a:extLst>
            <a:ext uri="{FF2B5EF4-FFF2-40B4-BE49-F238E27FC236}">
              <a16:creationId xmlns:a16="http://schemas.microsoft.com/office/drawing/2014/main" id="{5A28C0A9-ED37-4A7D-A2FE-26887DBE424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5" name="Text Box 58">
          <a:extLst>
            <a:ext uri="{FF2B5EF4-FFF2-40B4-BE49-F238E27FC236}">
              <a16:creationId xmlns:a16="http://schemas.microsoft.com/office/drawing/2014/main" id="{021BE78F-147C-4302-BB40-083027E9777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6" name="Text Box 59">
          <a:extLst>
            <a:ext uri="{FF2B5EF4-FFF2-40B4-BE49-F238E27FC236}">
              <a16:creationId xmlns:a16="http://schemas.microsoft.com/office/drawing/2014/main" id="{D323BFDB-E6DA-4363-A157-679D334514E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7" name="Text Box 60">
          <a:extLst>
            <a:ext uri="{FF2B5EF4-FFF2-40B4-BE49-F238E27FC236}">
              <a16:creationId xmlns:a16="http://schemas.microsoft.com/office/drawing/2014/main" id="{5983EF34-7790-4B6F-8BF3-BCFAD00D29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8" name="Text Box 69">
          <a:extLst>
            <a:ext uri="{FF2B5EF4-FFF2-40B4-BE49-F238E27FC236}">
              <a16:creationId xmlns:a16="http://schemas.microsoft.com/office/drawing/2014/main" id="{4A91BCE3-C774-4A36-8335-CD4D81136D6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199" name="Text Box 70">
          <a:extLst>
            <a:ext uri="{FF2B5EF4-FFF2-40B4-BE49-F238E27FC236}">
              <a16:creationId xmlns:a16="http://schemas.microsoft.com/office/drawing/2014/main" id="{2117676D-6556-4277-B90E-3C53E6455D6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0" name="Text Box 71">
          <a:extLst>
            <a:ext uri="{FF2B5EF4-FFF2-40B4-BE49-F238E27FC236}">
              <a16:creationId xmlns:a16="http://schemas.microsoft.com/office/drawing/2014/main" id="{9FA841DA-F6BE-4530-96DB-C71A1CF190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1" name="Text Box 72">
          <a:extLst>
            <a:ext uri="{FF2B5EF4-FFF2-40B4-BE49-F238E27FC236}">
              <a16:creationId xmlns:a16="http://schemas.microsoft.com/office/drawing/2014/main" id="{3BD3DF23-3EF2-4050-9951-32597D94D3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2" name="Text Box 9">
          <a:extLst>
            <a:ext uri="{FF2B5EF4-FFF2-40B4-BE49-F238E27FC236}">
              <a16:creationId xmlns:a16="http://schemas.microsoft.com/office/drawing/2014/main" id="{6B6F9B5C-1D0C-4FF1-BC51-6E03BD3228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3" name="Text Box 10">
          <a:extLst>
            <a:ext uri="{FF2B5EF4-FFF2-40B4-BE49-F238E27FC236}">
              <a16:creationId xmlns:a16="http://schemas.microsoft.com/office/drawing/2014/main" id="{8621DDE8-B1FE-4DAE-9A0E-DF46AC065F2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4" name="Text Box 11">
          <a:extLst>
            <a:ext uri="{FF2B5EF4-FFF2-40B4-BE49-F238E27FC236}">
              <a16:creationId xmlns:a16="http://schemas.microsoft.com/office/drawing/2014/main" id="{452802DF-55AE-4F3D-B0BE-72EE9E5793C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5" name="Text Box 12">
          <a:extLst>
            <a:ext uri="{FF2B5EF4-FFF2-40B4-BE49-F238E27FC236}">
              <a16:creationId xmlns:a16="http://schemas.microsoft.com/office/drawing/2014/main" id="{D72A60EA-AE69-4EFB-8C32-C7781CBA00F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6" name="Text Box 21">
          <a:extLst>
            <a:ext uri="{FF2B5EF4-FFF2-40B4-BE49-F238E27FC236}">
              <a16:creationId xmlns:a16="http://schemas.microsoft.com/office/drawing/2014/main" id="{1C3E0599-6619-49B6-85B3-B72CFCA9929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7" name="Text Box 22">
          <a:extLst>
            <a:ext uri="{FF2B5EF4-FFF2-40B4-BE49-F238E27FC236}">
              <a16:creationId xmlns:a16="http://schemas.microsoft.com/office/drawing/2014/main" id="{B61BB28A-B97F-4B81-BBA4-6A00901C0B9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8" name="Text Box 23">
          <a:extLst>
            <a:ext uri="{FF2B5EF4-FFF2-40B4-BE49-F238E27FC236}">
              <a16:creationId xmlns:a16="http://schemas.microsoft.com/office/drawing/2014/main" id="{C16F2299-4D7A-4728-95BB-B5DE2ED3254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09" name="Text Box 24">
          <a:extLst>
            <a:ext uri="{FF2B5EF4-FFF2-40B4-BE49-F238E27FC236}">
              <a16:creationId xmlns:a16="http://schemas.microsoft.com/office/drawing/2014/main" id="{8F9C3222-7D4B-4541-B9BA-5C61AC886C1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0" name="Text Box 33">
          <a:extLst>
            <a:ext uri="{FF2B5EF4-FFF2-40B4-BE49-F238E27FC236}">
              <a16:creationId xmlns:a16="http://schemas.microsoft.com/office/drawing/2014/main" id="{4C09D28A-0F92-4FB3-A433-6BEA38E06EE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1" name="Text Box 34">
          <a:extLst>
            <a:ext uri="{FF2B5EF4-FFF2-40B4-BE49-F238E27FC236}">
              <a16:creationId xmlns:a16="http://schemas.microsoft.com/office/drawing/2014/main" id="{C21ACC06-D440-4667-A00B-B6ED7CA9CF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2" name="Text Box 35">
          <a:extLst>
            <a:ext uri="{FF2B5EF4-FFF2-40B4-BE49-F238E27FC236}">
              <a16:creationId xmlns:a16="http://schemas.microsoft.com/office/drawing/2014/main" id="{BE17492F-7969-4913-AA33-37F1C5F6B6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3" name="Text Box 36">
          <a:extLst>
            <a:ext uri="{FF2B5EF4-FFF2-40B4-BE49-F238E27FC236}">
              <a16:creationId xmlns:a16="http://schemas.microsoft.com/office/drawing/2014/main" id="{89F3A7DD-3770-4232-814A-FEFE908D1E6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4" name="Text Box 45">
          <a:extLst>
            <a:ext uri="{FF2B5EF4-FFF2-40B4-BE49-F238E27FC236}">
              <a16:creationId xmlns:a16="http://schemas.microsoft.com/office/drawing/2014/main" id="{E197C2BD-D2B3-4AB6-B352-8E9D292BA7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5" name="Text Box 46">
          <a:extLst>
            <a:ext uri="{FF2B5EF4-FFF2-40B4-BE49-F238E27FC236}">
              <a16:creationId xmlns:a16="http://schemas.microsoft.com/office/drawing/2014/main" id="{9C6D6F4A-50B3-4A08-A39F-08CE46FB2F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6" name="Text Box 47">
          <a:extLst>
            <a:ext uri="{FF2B5EF4-FFF2-40B4-BE49-F238E27FC236}">
              <a16:creationId xmlns:a16="http://schemas.microsoft.com/office/drawing/2014/main" id="{A99A1F47-703F-43B9-8E1B-0C9AB3F4CC1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7" name="Text Box 48">
          <a:extLst>
            <a:ext uri="{FF2B5EF4-FFF2-40B4-BE49-F238E27FC236}">
              <a16:creationId xmlns:a16="http://schemas.microsoft.com/office/drawing/2014/main" id="{F55F012C-90E9-47AC-8703-FD6E343CB81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8" name="Text Box 57">
          <a:extLst>
            <a:ext uri="{FF2B5EF4-FFF2-40B4-BE49-F238E27FC236}">
              <a16:creationId xmlns:a16="http://schemas.microsoft.com/office/drawing/2014/main" id="{A86AA918-AA1A-43BD-A10C-BAAB69748F8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19" name="Text Box 58">
          <a:extLst>
            <a:ext uri="{FF2B5EF4-FFF2-40B4-BE49-F238E27FC236}">
              <a16:creationId xmlns:a16="http://schemas.microsoft.com/office/drawing/2014/main" id="{E62A0E4D-9677-4A10-B3BC-5268CF12DA0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0" name="Text Box 59">
          <a:extLst>
            <a:ext uri="{FF2B5EF4-FFF2-40B4-BE49-F238E27FC236}">
              <a16:creationId xmlns:a16="http://schemas.microsoft.com/office/drawing/2014/main" id="{C597E7E4-51B7-4541-85F3-F6656F0E155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1" name="Text Box 60">
          <a:extLst>
            <a:ext uri="{FF2B5EF4-FFF2-40B4-BE49-F238E27FC236}">
              <a16:creationId xmlns:a16="http://schemas.microsoft.com/office/drawing/2014/main" id="{6DB0CA93-017C-4955-931B-B81F344EC62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2" name="Text Box 69">
          <a:extLst>
            <a:ext uri="{FF2B5EF4-FFF2-40B4-BE49-F238E27FC236}">
              <a16:creationId xmlns:a16="http://schemas.microsoft.com/office/drawing/2014/main" id="{E82DB084-6485-47CA-9386-D150FB41A6C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3" name="Text Box 70">
          <a:extLst>
            <a:ext uri="{FF2B5EF4-FFF2-40B4-BE49-F238E27FC236}">
              <a16:creationId xmlns:a16="http://schemas.microsoft.com/office/drawing/2014/main" id="{06C01E3A-22B8-44E1-8529-349EFECD0E0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4" name="Text Box 71">
          <a:extLst>
            <a:ext uri="{FF2B5EF4-FFF2-40B4-BE49-F238E27FC236}">
              <a16:creationId xmlns:a16="http://schemas.microsoft.com/office/drawing/2014/main" id="{BA754101-1246-4A36-98DD-EDB9AF3D78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5" name="Text Box 72">
          <a:extLst>
            <a:ext uri="{FF2B5EF4-FFF2-40B4-BE49-F238E27FC236}">
              <a16:creationId xmlns:a16="http://schemas.microsoft.com/office/drawing/2014/main" id="{AAB4A340-F0B4-4822-97C1-4D607CD965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6" name="Text Box 9">
          <a:extLst>
            <a:ext uri="{FF2B5EF4-FFF2-40B4-BE49-F238E27FC236}">
              <a16:creationId xmlns:a16="http://schemas.microsoft.com/office/drawing/2014/main" id="{2D80CA46-BA82-416D-82BF-9F602704964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7" name="Text Box 10">
          <a:extLst>
            <a:ext uri="{FF2B5EF4-FFF2-40B4-BE49-F238E27FC236}">
              <a16:creationId xmlns:a16="http://schemas.microsoft.com/office/drawing/2014/main" id="{39C0F089-47C4-4011-A3F3-D2C15F31A51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8" name="Text Box 11">
          <a:extLst>
            <a:ext uri="{FF2B5EF4-FFF2-40B4-BE49-F238E27FC236}">
              <a16:creationId xmlns:a16="http://schemas.microsoft.com/office/drawing/2014/main" id="{035A43E1-33D4-4369-85EF-2FEABE20087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29" name="Text Box 12">
          <a:extLst>
            <a:ext uri="{FF2B5EF4-FFF2-40B4-BE49-F238E27FC236}">
              <a16:creationId xmlns:a16="http://schemas.microsoft.com/office/drawing/2014/main" id="{2B37906D-7F47-4726-822B-5AA1FBBAC2B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0" name="Text Box 21">
          <a:extLst>
            <a:ext uri="{FF2B5EF4-FFF2-40B4-BE49-F238E27FC236}">
              <a16:creationId xmlns:a16="http://schemas.microsoft.com/office/drawing/2014/main" id="{CF000FDC-0CA8-4E56-9775-A0181FADEE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1" name="Text Box 22">
          <a:extLst>
            <a:ext uri="{FF2B5EF4-FFF2-40B4-BE49-F238E27FC236}">
              <a16:creationId xmlns:a16="http://schemas.microsoft.com/office/drawing/2014/main" id="{78E81A77-3829-45C5-B1D7-D1B8EF942D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2" name="Text Box 23">
          <a:extLst>
            <a:ext uri="{FF2B5EF4-FFF2-40B4-BE49-F238E27FC236}">
              <a16:creationId xmlns:a16="http://schemas.microsoft.com/office/drawing/2014/main" id="{420D4FA0-F869-4CCB-B490-D76BC648218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3" name="Text Box 24">
          <a:extLst>
            <a:ext uri="{FF2B5EF4-FFF2-40B4-BE49-F238E27FC236}">
              <a16:creationId xmlns:a16="http://schemas.microsoft.com/office/drawing/2014/main" id="{16986FB7-C5F0-460C-8B0F-2E8DFA2C529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4" name="Text Box 33">
          <a:extLst>
            <a:ext uri="{FF2B5EF4-FFF2-40B4-BE49-F238E27FC236}">
              <a16:creationId xmlns:a16="http://schemas.microsoft.com/office/drawing/2014/main" id="{98A35E89-63B6-40CA-93A0-E768BC8A7F1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5" name="Text Box 34">
          <a:extLst>
            <a:ext uri="{FF2B5EF4-FFF2-40B4-BE49-F238E27FC236}">
              <a16:creationId xmlns:a16="http://schemas.microsoft.com/office/drawing/2014/main" id="{A3EA36D5-0454-4B9E-92F1-3E673E12B2B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6" name="Text Box 35">
          <a:extLst>
            <a:ext uri="{FF2B5EF4-FFF2-40B4-BE49-F238E27FC236}">
              <a16:creationId xmlns:a16="http://schemas.microsoft.com/office/drawing/2014/main" id="{186B4A42-355F-43E6-8C1B-B871B5BC05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7" name="Text Box 36">
          <a:extLst>
            <a:ext uri="{FF2B5EF4-FFF2-40B4-BE49-F238E27FC236}">
              <a16:creationId xmlns:a16="http://schemas.microsoft.com/office/drawing/2014/main" id="{62691CB6-6FD9-4D67-B962-49B7CE2AEB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8" name="Text Box 45">
          <a:extLst>
            <a:ext uri="{FF2B5EF4-FFF2-40B4-BE49-F238E27FC236}">
              <a16:creationId xmlns:a16="http://schemas.microsoft.com/office/drawing/2014/main" id="{6A2B21F4-5FF4-4F0E-9B3F-79CDF687705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39" name="Text Box 46">
          <a:extLst>
            <a:ext uri="{FF2B5EF4-FFF2-40B4-BE49-F238E27FC236}">
              <a16:creationId xmlns:a16="http://schemas.microsoft.com/office/drawing/2014/main" id="{253A15F5-2499-45BC-B593-42E91DC4118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0" name="Text Box 47">
          <a:extLst>
            <a:ext uri="{FF2B5EF4-FFF2-40B4-BE49-F238E27FC236}">
              <a16:creationId xmlns:a16="http://schemas.microsoft.com/office/drawing/2014/main" id="{97221DD9-06AB-4007-8007-C5963A7274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1" name="Text Box 48">
          <a:extLst>
            <a:ext uri="{FF2B5EF4-FFF2-40B4-BE49-F238E27FC236}">
              <a16:creationId xmlns:a16="http://schemas.microsoft.com/office/drawing/2014/main" id="{2EF60776-F7B9-454A-A113-D69083BF33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2" name="Text Box 57">
          <a:extLst>
            <a:ext uri="{FF2B5EF4-FFF2-40B4-BE49-F238E27FC236}">
              <a16:creationId xmlns:a16="http://schemas.microsoft.com/office/drawing/2014/main" id="{5E461F71-3B4B-4ED2-A5D4-E0F966F6FC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3" name="Text Box 58">
          <a:extLst>
            <a:ext uri="{FF2B5EF4-FFF2-40B4-BE49-F238E27FC236}">
              <a16:creationId xmlns:a16="http://schemas.microsoft.com/office/drawing/2014/main" id="{A9C5298D-5C99-4510-A3E9-C07B5595CBD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4" name="Text Box 59">
          <a:extLst>
            <a:ext uri="{FF2B5EF4-FFF2-40B4-BE49-F238E27FC236}">
              <a16:creationId xmlns:a16="http://schemas.microsoft.com/office/drawing/2014/main" id="{F301946B-CFA1-4846-B8E1-3A385A4D70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5" name="Text Box 60">
          <a:extLst>
            <a:ext uri="{FF2B5EF4-FFF2-40B4-BE49-F238E27FC236}">
              <a16:creationId xmlns:a16="http://schemas.microsoft.com/office/drawing/2014/main" id="{8FE63066-4825-47CF-ADB6-C32A9B011CB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6" name="Text Box 69">
          <a:extLst>
            <a:ext uri="{FF2B5EF4-FFF2-40B4-BE49-F238E27FC236}">
              <a16:creationId xmlns:a16="http://schemas.microsoft.com/office/drawing/2014/main" id="{68808822-F359-4A09-B01A-04215FB7970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7" name="Text Box 70">
          <a:extLst>
            <a:ext uri="{FF2B5EF4-FFF2-40B4-BE49-F238E27FC236}">
              <a16:creationId xmlns:a16="http://schemas.microsoft.com/office/drawing/2014/main" id="{738A0592-E18B-4DE8-8D7F-B9CC2A29584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8" name="Text Box 71">
          <a:extLst>
            <a:ext uri="{FF2B5EF4-FFF2-40B4-BE49-F238E27FC236}">
              <a16:creationId xmlns:a16="http://schemas.microsoft.com/office/drawing/2014/main" id="{2376C962-81D6-4078-8E4A-25F8514C9F9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49" name="Text Box 72">
          <a:extLst>
            <a:ext uri="{FF2B5EF4-FFF2-40B4-BE49-F238E27FC236}">
              <a16:creationId xmlns:a16="http://schemas.microsoft.com/office/drawing/2014/main" id="{41F8D151-D2AA-45F0-8DFE-77250C14E12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0" name="Text Box 9">
          <a:extLst>
            <a:ext uri="{FF2B5EF4-FFF2-40B4-BE49-F238E27FC236}">
              <a16:creationId xmlns:a16="http://schemas.microsoft.com/office/drawing/2014/main" id="{8C6F1238-6027-4946-9246-A962216D54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1" name="Text Box 10">
          <a:extLst>
            <a:ext uri="{FF2B5EF4-FFF2-40B4-BE49-F238E27FC236}">
              <a16:creationId xmlns:a16="http://schemas.microsoft.com/office/drawing/2014/main" id="{D3B46C96-01C5-4C16-A880-C7B8B8CEFA7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2" name="Text Box 11">
          <a:extLst>
            <a:ext uri="{FF2B5EF4-FFF2-40B4-BE49-F238E27FC236}">
              <a16:creationId xmlns:a16="http://schemas.microsoft.com/office/drawing/2014/main" id="{85E6BD4A-56DE-43C5-82AD-783A121672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3" name="Text Box 12">
          <a:extLst>
            <a:ext uri="{FF2B5EF4-FFF2-40B4-BE49-F238E27FC236}">
              <a16:creationId xmlns:a16="http://schemas.microsoft.com/office/drawing/2014/main" id="{2B663B0F-6F03-48B5-88F9-CA698E7C5C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4" name="Text Box 21">
          <a:extLst>
            <a:ext uri="{FF2B5EF4-FFF2-40B4-BE49-F238E27FC236}">
              <a16:creationId xmlns:a16="http://schemas.microsoft.com/office/drawing/2014/main" id="{5426A566-7055-4A50-9969-01E97862647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5" name="Text Box 22">
          <a:extLst>
            <a:ext uri="{FF2B5EF4-FFF2-40B4-BE49-F238E27FC236}">
              <a16:creationId xmlns:a16="http://schemas.microsoft.com/office/drawing/2014/main" id="{AC6C2733-DA83-433B-BD63-01A5AC8307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6" name="Text Box 23">
          <a:extLst>
            <a:ext uri="{FF2B5EF4-FFF2-40B4-BE49-F238E27FC236}">
              <a16:creationId xmlns:a16="http://schemas.microsoft.com/office/drawing/2014/main" id="{5298C9E1-EF52-4D5F-A425-456C9632402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7" name="Text Box 24">
          <a:extLst>
            <a:ext uri="{FF2B5EF4-FFF2-40B4-BE49-F238E27FC236}">
              <a16:creationId xmlns:a16="http://schemas.microsoft.com/office/drawing/2014/main" id="{139DD7A3-0903-48B3-AB0C-88C7E1C562D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8" name="Text Box 33">
          <a:extLst>
            <a:ext uri="{FF2B5EF4-FFF2-40B4-BE49-F238E27FC236}">
              <a16:creationId xmlns:a16="http://schemas.microsoft.com/office/drawing/2014/main" id="{284A3F80-1924-4303-811E-9063695E784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59" name="Text Box 34">
          <a:extLst>
            <a:ext uri="{FF2B5EF4-FFF2-40B4-BE49-F238E27FC236}">
              <a16:creationId xmlns:a16="http://schemas.microsoft.com/office/drawing/2014/main" id="{920FB16A-1840-477F-9C6B-1F13B8A88E0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0" name="Text Box 35">
          <a:extLst>
            <a:ext uri="{FF2B5EF4-FFF2-40B4-BE49-F238E27FC236}">
              <a16:creationId xmlns:a16="http://schemas.microsoft.com/office/drawing/2014/main" id="{5CB1D2A9-9548-4E5E-B0C3-EE29CB53ECF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1" name="Text Box 36">
          <a:extLst>
            <a:ext uri="{FF2B5EF4-FFF2-40B4-BE49-F238E27FC236}">
              <a16:creationId xmlns:a16="http://schemas.microsoft.com/office/drawing/2014/main" id="{9EA4C69F-2757-46D1-8812-564D88D7270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2" name="Text Box 45">
          <a:extLst>
            <a:ext uri="{FF2B5EF4-FFF2-40B4-BE49-F238E27FC236}">
              <a16:creationId xmlns:a16="http://schemas.microsoft.com/office/drawing/2014/main" id="{6F8C5FF1-F432-4631-B9D4-CBB30C4C36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3" name="Text Box 46">
          <a:extLst>
            <a:ext uri="{FF2B5EF4-FFF2-40B4-BE49-F238E27FC236}">
              <a16:creationId xmlns:a16="http://schemas.microsoft.com/office/drawing/2014/main" id="{10BE11A0-BC71-40F5-ACA0-A08665845B9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4" name="Text Box 47">
          <a:extLst>
            <a:ext uri="{FF2B5EF4-FFF2-40B4-BE49-F238E27FC236}">
              <a16:creationId xmlns:a16="http://schemas.microsoft.com/office/drawing/2014/main" id="{1B78303A-BD20-4496-9ECF-2A4D4FD4215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5" name="Text Box 48">
          <a:extLst>
            <a:ext uri="{FF2B5EF4-FFF2-40B4-BE49-F238E27FC236}">
              <a16:creationId xmlns:a16="http://schemas.microsoft.com/office/drawing/2014/main" id="{EEDA33A9-8E4D-446C-99EE-AD7ACF86F59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6" name="Text Box 57">
          <a:extLst>
            <a:ext uri="{FF2B5EF4-FFF2-40B4-BE49-F238E27FC236}">
              <a16:creationId xmlns:a16="http://schemas.microsoft.com/office/drawing/2014/main" id="{67E63D84-2043-4430-B985-45308C1029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7" name="Text Box 58">
          <a:extLst>
            <a:ext uri="{FF2B5EF4-FFF2-40B4-BE49-F238E27FC236}">
              <a16:creationId xmlns:a16="http://schemas.microsoft.com/office/drawing/2014/main" id="{F666EF79-9D5E-43F4-A527-25C906698E8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8" name="Text Box 59">
          <a:extLst>
            <a:ext uri="{FF2B5EF4-FFF2-40B4-BE49-F238E27FC236}">
              <a16:creationId xmlns:a16="http://schemas.microsoft.com/office/drawing/2014/main" id="{CBE1AF3D-3A83-4B8A-B295-95ED1050446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69" name="Text Box 60">
          <a:extLst>
            <a:ext uri="{FF2B5EF4-FFF2-40B4-BE49-F238E27FC236}">
              <a16:creationId xmlns:a16="http://schemas.microsoft.com/office/drawing/2014/main" id="{627F19CF-50DC-42DA-9881-501B2F33A8D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0" name="Text Box 69">
          <a:extLst>
            <a:ext uri="{FF2B5EF4-FFF2-40B4-BE49-F238E27FC236}">
              <a16:creationId xmlns:a16="http://schemas.microsoft.com/office/drawing/2014/main" id="{F14794CC-3F79-41F6-B8EB-773DD8F8F2B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1" name="Text Box 70">
          <a:extLst>
            <a:ext uri="{FF2B5EF4-FFF2-40B4-BE49-F238E27FC236}">
              <a16:creationId xmlns:a16="http://schemas.microsoft.com/office/drawing/2014/main" id="{E7B51890-2C5F-4C0A-9B51-F676AF1956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2" name="Text Box 71">
          <a:extLst>
            <a:ext uri="{FF2B5EF4-FFF2-40B4-BE49-F238E27FC236}">
              <a16:creationId xmlns:a16="http://schemas.microsoft.com/office/drawing/2014/main" id="{23FEDA8C-AB12-4842-91E0-D8CA9A3215F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3" name="Text Box 72">
          <a:extLst>
            <a:ext uri="{FF2B5EF4-FFF2-40B4-BE49-F238E27FC236}">
              <a16:creationId xmlns:a16="http://schemas.microsoft.com/office/drawing/2014/main" id="{4492C0EA-6F4D-4811-99A5-50A0C101FC8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4" name="Text Box 9">
          <a:extLst>
            <a:ext uri="{FF2B5EF4-FFF2-40B4-BE49-F238E27FC236}">
              <a16:creationId xmlns:a16="http://schemas.microsoft.com/office/drawing/2014/main" id="{F7A4A516-3A66-414B-A581-ECB665A9F0D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5" name="Text Box 10">
          <a:extLst>
            <a:ext uri="{FF2B5EF4-FFF2-40B4-BE49-F238E27FC236}">
              <a16:creationId xmlns:a16="http://schemas.microsoft.com/office/drawing/2014/main" id="{053116F6-DE2D-4CB5-B6E5-9D5CE1E769E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6" name="Text Box 11">
          <a:extLst>
            <a:ext uri="{FF2B5EF4-FFF2-40B4-BE49-F238E27FC236}">
              <a16:creationId xmlns:a16="http://schemas.microsoft.com/office/drawing/2014/main" id="{5D6AAA04-373F-40B2-B303-9C07FD5B288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7" name="Text Box 12">
          <a:extLst>
            <a:ext uri="{FF2B5EF4-FFF2-40B4-BE49-F238E27FC236}">
              <a16:creationId xmlns:a16="http://schemas.microsoft.com/office/drawing/2014/main" id="{EF00987F-AC73-4814-BB5E-0B39CD4FAA4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8" name="Text Box 21">
          <a:extLst>
            <a:ext uri="{FF2B5EF4-FFF2-40B4-BE49-F238E27FC236}">
              <a16:creationId xmlns:a16="http://schemas.microsoft.com/office/drawing/2014/main" id="{293A3B5D-929B-45DD-9A43-0A44F3F9ED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79" name="Text Box 22">
          <a:extLst>
            <a:ext uri="{FF2B5EF4-FFF2-40B4-BE49-F238E27FC236}">
              <a16:creationId xmlns:a16="http://schemas.microsoft.com/office/drawing/2014/main" id="{EDCC8E1A-298C-4809-8B3A-EDB6278B1F5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0" name="Text Box 23">
          <a:extLst>
            <a:ext uri="{FF2B5EF4-FFF2-40B4-BE49-F238E27FC236}">
              <a16:creationId xmlns:a16="http://schemas.microsoft.com/office/drawing/2014/main" id="{B3B16F8E-FD95-4BCB-A0B5-C4C871A4C35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1" name="Text Box 24">
          <a:extLst>
            <a:ext uri="{FF2B5EF4-FFF2-40B4-BE49-F238E27FC236}">
              <a16:creationId xmlns:a16="http://schemas.microsoft.com/office/drawing/2014/main" id="{8AC12F1C-9DEE-43B4-9DC9-97580A697DC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2" name="Text Box 33">
          <a:extLst>
            <a:ext uri="{FF2B5EF4-FFF2-40B4-BE49-F238E27FC236}">
              <a16:creationId xmlns:a16="http://schemas.microsoft.com/office/drawing/2014/main" id="{3BEF923B-8675-477A-83A8-0FC8AD8EACB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3" name="Text Box 34">
          <a:extLst>
            <a:ext uri="{FF2B5EF4-FFF2-40B4-BE49-F238E27FC236}">
              <a16:creationId xmlns:a16="http://schemas.microsoft.com/office/drawing/2014/main" id="{6865D858-3081-47B4-9444-96B7C39C72F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4" name="Text Box 35">
          <a:extLst>
            <a:ext uri="{FF2B5EF4-FFF2-40B4-BE49-F238E27FC236}">
              <a16:creationId xmlns:a16="http://schemas.microsoft.com/office/drawing/2014/main" id="{959F74F4-D568-48C7-A639-E9F2F666785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5" name="Text Box 36">
          <a:extLst>
            <a:ext uri="{FF2B5EF4-FFF2-40B4-BE49-F238E27FC236}">
              <a16:creationId xmlns:a16="http://schemas.microsoft.com/office/drawing/2014/main" id="{CAF7839A-B969-480D-A644-23CDF796224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6" name="Text Box 45">
          <a:extLst>
            <a:ext uri="{FF2B5EF4-FFF2-40B4-BE49-F238E27FC236}">
              <a16:creationId xmlns:a16="http://schemas.microsoft.com/office/drawing/2014/main" id="{772D340B-5146-46C8-870E-B1A739932A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7" name="Text Box 46">
          <a:extLst>
            <a:ext uri="{FF2B5EF4-FFF2-40B4-BE49-F238E27FC236}">
              <a16:creationId xmlns:a16="http://schemas.microsoft.com/office/drawing/2014/main" id="{29756B07-0421-4E3D-A938-AFB71A2E35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8" name="Text Box 47">
          <a:extLst>
            <a:ext uri="{FF2B5EF4-FFF2-40B4-BE49-F238E27FC236}">
              <a16:creationId xmlns:a16="http://schemas.microsoft.com/office/drawing/2014/main" id="{5FE2DCD5-1089-4B8E-90C7-70F79787BC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89" name="Text Box 48">
          <a:extLst>
            <a:ext uri="{FF2B5EF4-FFF2-40B4-BE49-F238E27FC236}">
              <a16:creationId xmlns:a16="http://schemas.microsoft.com/office/drawing/2014/main" id="{EC71E6EB-3E6E-44DD-A901-CA0E1E202C9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0" name="Text Box 57">
          <a:extLst>
            <a:ext uri="{FF2B5EF4-FFF2-40B4-BE49-F238E27FC236}">
              <a16:creationId xmlns:a16="http://schemas.microsoft.com/office/drawing/2014/main" id="{8A1216D0-7719-4D53-9529-740EA030224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1" name="Text Box 58">
          <a:extLst>
            <a:ext uri="{FF2B5EF4-FFF2-40B4-BE49-F238E27FC236}">
              <a16:creationId xmlns:a16="http://schemas.microsoft.com/office/drawing/2014/main" id="{382F973C-0C8F-4C3E-AC6D-FC773BB93DF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2" name="Text Box 59">
          <a:extLst>
            <a:ext uri="{FF2B5EF4-FFF2-40B4-BE49-F238E27FC236}">
              <a16:creationId xmlns:a16="http://schemas.microsoft.com/office/drawing/2014/main" id="{1E59FE7A-62AB-4236-8E9A-82D5C78608B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3" name="Text Box 60">
          <a:extLst>
            <a:ext uri="{FF2B5EF4-FFF2-40B4-BE49-F238E27FC236}">
              <a16:creationId xmlns:a16="http://schemas.microsoft.com/office/drawing/2014/main" id="{79161538-C89E-4377-B3E9-DA6339F8AFB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4" name="Text Box 69">
          <a:extLst>
            <a:ext uri="{FF2B5EF4-FFF2-40B4-BE49-F238E27FC236}">
              <a16:creationId xmlns:a16="http://schemas.microsoft.com/office/drawing/2014/main" id="{A0DD9BE5-680E-4DC8-9F9E-E90BF95D850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5" name="Text Box 70">
          <a:extLst>
            <a:ext uri="{FF2B5EF4-FFF2-40B4-BE49-F238E27FC236}">
              <a16:creationId xmlns:a16="http://schemas.microsoft.com/office/drawing/2014/main" id="{3FFCA6F2-DA06-4FF7-BBA8-F0151A01E5A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6" name="Text Box 71">
          <a:extLst>
            <a:ext uri="{FF2B5EF4-FFF2-40B4-BE49-F238E27FC236}">
              <a16:creationId xmlns:a16="http://schemas.microsoft.com/office/drawing/2014/main" id="{5EA8042F-3A20-4209-A6C8-B4501678FE8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7" name="Text Box 72">
          <a:extLst>
            <a:ext uri="{FF2B5EF4-FFF2-40B4-BE49-F238E27FC236}">
              <a16:creationId xmlns:a16="http://schemas.microsoft.com/office/drawing/2014/main" id="{6DDFED4B-0282-42E5-A922-0A78CF6F1F6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8" name="Text Box 9">
          <a:extLst>
            <a:ext uri="{FF2B5EF4-FFF2-40B4-BE49-F238E27FC236}">
              <a16:creationId xmlns:a16="http://schemas.microsoft.com/office/drawing/2014/main" id="{7A1D9A46-627C-4C75-918D-0AC8974FCC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299" name="Text Box 10">
          <a:extLst>
            <a:ext uri="{FF2B5EF4-FFF2-40B4-BE49-F238E27FC236}">
              <a16:creationId xmlns:a16="http://schemas.microsoft.com/office/drawing/2014/main" id="{E64DCAB4-EFD0-4394-BCAA-57DC289D0C0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0" name="Text Box 11">
          <a:extLst>
            <a:ext uri="{FF2B5EF4-FFF2-40B4-BE49-F238E27FC236}">
              <a16:creationId xmlns:a16="http://schemas.microsoft.com/office/drawing/2014/main" id="{1223F4D5-5F8E-430B-AE63-6D5B19F494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1" name="Text Box 12">
          <a:extLst>
            <a:ext uri="{FF2B5EF4-FFF2-40B4-BE49-F238E27FC236}">
              <a16:creationId xmlns:a16="http://schemas.microsoft.com/office/drawing/2014/main" id="{2D2C40DF-6BC2-4FC2-B22D-C053E7A5F58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2" name="Text Box 21">
          <a:extLst>
            <a:ext uri="{FF2B5EF4-FFF2-40B4-BE49-F238E27FC236}">
              <a16:creationId xmlns:a16="http://schemas.microsoft.com/office/drawing/2014/main" id="{FEA68DAD-8DC0-4893-B4BC-5FB02B1CCEE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3" name="Text Box 22">
          <a:extLst>
            <a:ext uri="{FF2B5EF4-FFF2-40B4-BE49-F238E27FC236}">
              <a16:creationId xmlns:a16="http://schemas.microsoft.com/office/drawing/2014/main" id="{22D4DBB1-C8C8-4C7D-B3E9-0AA75DD695C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4" name="Text Box 23">
          <a:extLst>
            <a:ext uri="{FF2B5EF4-FFF2-40B4-BE49-F238E27FC236}">
              <a16:creationId xmlns:a16="http://schemas.microsoft.com/office/drawing/2014/main" id="{F0C15EBA-83ED-4BDE-BBB5-A14473B94C7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5" name="Text Box 24">
          <a:extLst>
            <a:ext uri="{FF2B5EF4-FFF2-40B4-BE49-F238E27FC236}">
              <a16:creationId xmlns:a16="http://schemas.microsoft.com/office/drawing/2014/main" id="{815AD45B-E32D-4F9D-9325-90AADAAD841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6" name="Text Box 33">
          <a:extLst>
            <a:ext uri="{FF2B5EF4-FFF2-40B4-BE49-F238E27FC236}">
              <a16:creationId xmlns:a16="http://schemas.microsoft.com/office/drawing/2014/main" id="{AB3FC2D8-A1C3-47D8-A477-7628A64D5D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7" name="Text Box 34">
          <a:extLst>
            <a:ext uri="{FF2B5EF4-FFF2-40B4-BE49-F238E27FC236}">
              <a16:creationId xmlns:a16="http://schemas.microsoft.com/office/drawing/2014/main" id="{13577461-F19A-4C9E-BD1E-CA827381DB0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8" name="Text Box 35">
          <a:extLst>
            <a:ext uri="{FF2B5EF4-FFF2-40B4-BE49-F238E27FC236}">
              <a16:creationId xmlns:a16="http://schemas.microsoft.com/office/drawing/2014/main" id="{F0287153-2C77-4633-8EB5-79137C343B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09" name="Text Box 36">
          <a:extLst>
            <a:ext uri="{FF2B5EF4-FFF2-40B4-BE49-F238E27FC236}">
              <a16:creationId xmlns:a16="http://schemas.microsoft.com/office/drawing/2014/main" id="{04028DEB-D881-4292-BB97-46A3913E5C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0" name="Text Box 45">
          <a:extLst>
            <a:ext uri="{FF2B5EF4-FFF2-40B4-BE49-F238E27FC236}">
              <a16:creationId xmlns:a16="http://schemas.microsoft.com/office/drawing/2014/main" id="{D13A66B6-64F2-4DC1-A9D8-21349983142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1" name="Text Box 46">
          <a:extLst>
            <a:ext uri="{FF2B5EF4-FFF2-40B4-BE49-F238E27FC236}">
              <a16:creationId xmlns:a16="http://schemas.microsoft.com/office/drawing/2014/main" id="{54CAF7D9-6638-4DA5-B5FB-B07D8032FCE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2" name="Text Box 47">
          <a:extLst>
            <a:ext uri="{FF2B5EF4-FFF2-40B4-BE49-F238E27FC236}">
              <a16:creationId xmlns:a16="http://schemas.microsoft.com/office/drawing/2014/main" id="{B15633E6-E57D-4CBF-9560-4168C96998F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3" name="Text Box 48">
          <a:extLst>
            <a:ext uri="{FF2B5EF4-FFF2-40B4-BE49-F238E27FC236}">
              <a16:creationId xmlns:a16="http://schemas.microsoft.com/office/drawing/2014/main" id="{8C224351-8B4E-4564-93E1-80FA3BE929A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4" name="Text Box 57">
          <a:extLst>
            <a:ext uri="{FF2B5EF4-FFF2-40B4-BE49-F238E27FC236}">
              <a16:creationId xmlns:a16="http://schemas.microsoft.com/office/drawing/2014/main" id="{009A74CB-D37C-4686-BCDC-768045F6D8F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5" name="Text Box 58">
          <a:extLst>
            <a:ext uri="{FF2B5EF4-FFF2-40B4-BE49-F238E27FC236}">
              <a16:creationId xmlns:a16="http://schemas.microsoft.com/office/drawing/2014/main" id="{D0CAFB0E-A5AA-4EBA-98D9-C86B2CA2B6F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6" name="Text Box 59">
          <a:extLst>
            <a:ext uri="{FF2B5EF4-FFF2-40B4-BE49-F238E27FC236}">
              <a16:creationId xmlns:a16="http://schemas.microsoft.com/office/drawing/2014/main" id="{62FA05C9-B1DD-41F5-9C0F-317EFAFD7B6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7" name="Text Box 60">
          <a:extLst>
            <a:ext uri="{FF2B5EF4-FFF2-40B4-BE49-F238E27FC236}">
              <a16:creationId xmlns:a16="http://schemas.microsoft.com/office/drawing/2014/main" id="{3FFEA307-471E-4EFB-B495-B06C34153A7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8" name="Text Box 69">
          <a:extLst>
            <a:ext uri="{FF2B5EF4-FFF2-40B4-BE49-F238E27FC236}">
              <a16:creationId xmlns:a16="http://schemas.microsoft.com/office/drawing/2014/main" id="{17295F6E-AA00-4E8C-8D31-89F59F3006A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19" name="Text Box 70">
          <a:extLst>
            <a:ext uri="{FF2B5EF4-FFF2-40B4-BE49-F238E27FC236}">
              <a16:creationId xmlns:a16="http://schemas.microsoft.com/office/drawing/2014/main" id="{6328649F-5450-41F4-A49C-7897B913AB0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0" name="Text Box 71">
          <a:extLst>
            <a:ext uri="{FF2B5EF4-FFF2-40B4-BE49-F238E27FC236}">
              <a16:creationId xmlns:a16="http://schemas.microsoft.com/office/drawing/2014/main" id="{3EB24669-6824-4B0D-B3C9-8267E9951A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1" name="Text Box 72">
          <a:extLst>
            <a:ext uri="{FF2B5EF4-FFF2-40B4-BE49-F238E27FC236}">
              <a16:creationId xmlns:a16="http://schemas.microsoft.com/office/drawing/2014/main" id="{8C16E6F4-081D-4FD6-B75D-E3B34F568C6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2" name="Text Box 9">
          <a:extLst>
            <a:ext uri="{FF2B5EF4-FFF2-40B4-BE49-F238E27FC236}">
              <a16:creationId xmlns:a16="http://schemas.microsoft.com/office/drawing/2014/main" id="{F4EDE969-0D0E-41CD-8B68-B1168D358AD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3" name="Text Box 10">
          <a:extLst>
            <a:ext uri="{FF2B5EF4-FFF2-40B4-BE49-F238E27FC236}">
              <a16:creationId xmlns:a16="http://schemas.microsoft.com/office/drawing/2014/main" id="{4C097B31-08EB-409F-8E7B-05D4F362537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4" name="Text Box 11">
          <a:extLst>
            <a:ext uri="{FF2B5EF4-FFF2-40B4-BE49-F238E27FC236}">
              <a16:creationId xmlns:a16="http://schemas.microsoft.com/office/drawing/2014/main" id="{EC1690E8-EC0B-4F3A-B5C7-0BA86963CC1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5" name="Text Box 12">
          <a:extLst>
            <a:ext uri="{FF2B5EF4-FFF2-40B4-BE49-F238E27FC236}">
              <a16:creationId xmlns:a16="http://schemas.microsoft.com/office/drawing/2014/main" id="{A7A2D438-08C1-435C-9B28-47AD0D99897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6" name="Text Box 21">
          <a:extLst>
            <a:ext uri="{FF2B5EF4-FFF2-40B4-BE49-F238E27FC236}">
              <a16:creationId xmlns:a16="http://schemas.microsoft.com/office/drawing/2014/main" id="{CE0DD927-BACE-4319-AC90-78C5A02208A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7" name="Text Box 22">
          <a:extLst>
            <a:ext uri="{FF2B5EF4-FFF2-40B4-BE49-F238E27FC236}">
              <a16:creationId xmlns:a16="http://schemas.microsoft.com/office/drawing/2014/main" id="{E2AEF845-515C-4D2B-BAD4-9E8FD441B44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8" name="Text Box 23">
          <a:extLst>
            <a:ext uri="{FF2B5EF4-FFF2-40B4-BE49-F238E27FC236}">
              <a16:creationId xmlns:a16="http://schemas.microsoft.com/office/drawing/2014/main" id="{79683CD8-B0AA-464D-83BD-B376643FEFC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29" name="Text Box 24">
          <a:extLst>
            <a:ext uri="{FF2B5EF4-FFF2-40B4-BE49-F238E27FC236}">
              <a16:creationId xmlns:a16="http://schemas.microsoft.com/office/drawing/2014/main" id="{8F956151-E36E-44B6-8706-ECFD04387E5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0" name="Text Box 33">
          <a:extLst>
            <a:ext uri="{FF2B5EF4-FFF2-40B4-BE49-F238E27FC236}">
              <a16:creationId xmlns:a16="http://schemas.microsoft.com/office/drawing/2014/main" id="{D9DA035E-5914-449E-93D5-9018E94558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1" name="Text Box 34">
          <a:extLst>
            <a:ext uri="{FF2B5EF4-FFF2-40B4-BE49-F238E27FC236}">
              <a16:creationId xmlns:a16="http://schemas.microsoft.com/office/drawing/2014/main" id="{ED02FDBF-3D58-488D-91AD-4722038051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2" name="Text Box 35">
          <a:extLst>
            <a:ext uri="{FF2B5EF4-FFF2-40B4-BE49-F238E27FC236}">
              <a16:creationId xmlns:a16="http://schemas.microsoft.com/office/drawing/2014/main" id="{0212BC3B-E993-4B5F-8FFA-F003D1E7EAF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3" name="Text Box 36">
          <a:extLst>
            <a:ext uri="{FF2B5EF4-FFF2-40B4-BE49-F238E27FC236}">
              <a16:creationId xmlns:a16="http://schemas.microsoft.com/office/drawing/2014/main" id="{27E9CEDE-8BB3-4CAD-A0D9-38E6EAC563C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4" name="Text Box 45">
          <a:extLst>
            <a:ext uri="{FF2B5EF4-FFF2-40B4-BE49-F238E27FC236}">
              <a16:creationId xmlns:a16="http://schemas.microsoft.com/office/drawing/2014/main" id="{C54BF437-552D-42C9-9426-1823C18D8B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5" name="Text Box 46">
          <a:extLst>
            <a:ext uri="{FF2B5EF4-FFF2-40B4-BE49-F238E27FC236}">
              <a16:creationId xmlns:a16="http://schemas.microsoft.com/office/drawing/2014/main" id="{D31C9FB1-4344-40FE-8F21-452E443F98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6" name="Text Box 47">
          <a:extLst>
            <a:ext uri="{FF2B5EF4-FFF2-40B4-BE49-F238E27FC236}">
              <a16:creationId xmlns:a16="http://schemas.microsoft.com/office/drawing/2014/main" id="{F8D62B7A-1A5B-48AE-8778-76D95578E75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7" name="Text Box 48">
          <a:extLst>
            <a:ext uri="{FF2B5EF4-FFF2-40B4-BE49-F238E27FC236}">
              <a16:creationId xmlns:a16="http://schemas.microsoft.com/office/drawing/2014/main" id="{6C9DFDF9-54FB-4DFC-82B0-76BB434481E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8" name="Text Box 57">
          <a:extLst>
            <a:ext uri="{FF2B5EF4-FFF2-40B4-BE49-F238E27FC236}">
              <a16:creationId xmlns:a16="http://schemas.microsoft.com/office/drawing/2014/main" id="{5FD40229-7951-48ED-BD58-94CBA8551D3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39" name="Text Box 58">
          <a:extLst>
            <a:ext uri="{FF2B5EF4-FFF2-40B4-BE49-F238E27FC236}">
              <a16:creationId xmlns:a16="http://schemas.microsoft.com/office/drawing/2014/main" id="{E7A92106-A57D-4252-9523-3B289AA7489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0" name="Text Box 59">
          <a:extLst>
            <a:ext uri="{FF2B5EF4-FFF2-40B4-BE49-F238E27FC236}">
              <a16:creationId xmlns:a16="http://schemas.microsoft.com/office/drawing/2014/main" id="{0E1CF3E5-3C55-43FC-BA01-2BD8AE3141E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1" name="Text Box 60">
          <a:extLst>
            <a:ext uri="{FF2B5EF4-FFF2-40B4-BE49-F238E27FC236}">
              <a16:creationId xmlns:a16="http://schemas.microsoft.com/office/drawing/2014/main" id="{DDCD10EF-A9E2-48A9-9F49-D94E24E0E7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2" name="Text Box 69">
          <a:extLst>
            <a:ext uri="{FF2B5EF4-FFF2-40B4-BE49-F238E27FC236}">
              <a16:creationId xmlns:a16="http://schemas.microsoft.com/office/drawing/2014/main" id="{E41F2173-22BF-4E00-907C-5DB3956E71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3" name="Text Box 70">
          <a:extLst>
            <a:ext uri="{FF2B5EF4-FFF2-40B4-BE49-F238E27FC236}">
              <a16:creationId xmlns:a16="http://schemas.microsoft.com/office/drawing/2014/main" id="{7C40BECB-5B81-44BC-B363-13CA198B206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4" name="Text Box 71">
          <a:extLst>
            <a:ext uri="{FF2B5EF4-FFF2-40B4-BE49-F238E27FC236}">
              <a16:creationId xmlns:a16="http://schemas.microsoft.com/office/drawing/2014/main" id="{10E245F7-0F8E-47D9-A074-4032160AF34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5" name="Text Box 72">
          <a:extLst>
            <a:ext uri="{FF2B5EF4-FFF2-40B4-BE49-F238E27FC236}">
              <a16:creationId xmlns:a16="http://schemas.microsoft.com/office/drawing/2014/main" id="{608A7AA6-0B0E-4EBA-8179-D3565DBA9A8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6" name="Text Box 9">
          <a:extLst>
            <a:ext uri="{FF2B5EF4-FFF2-40B4-BE49-F238E27FC236}">
              <a16:creationId xmlns:a16="http://schemas.microsoft.com/office/drawing/2014/main" id="{82CC2124-DDE4-4AD4-8936-4FE94E7841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7" name="Text Box 10">
          <a:extLst>
            <a:ext uri="{FF2B5EF4-FFF2-40B4-BE49-F238E27FC236}">
              <a16:creationId xmlns:a16="http://schemas.microsoft.com/office/drawing/2014/main" id="{2BD8320B-1271-41DF-A597-695A46AF4DB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8" name="Text Box 11">
          <a:extLst>
            <a:ext uri="{FF2B5EF4-FFF2-40B4-BE49-F238E27FC236}">
              <a16:creationId xmlns:a16="http://schemas.microsoft.com/office/drawing/2014/main" id="{81B31916-CC85-490E-98A9-B437FE2CC5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49" name="Text Box 12">
          <a:extLst>
            <a:ext uri="{FF2B5EF4-FFF2-40B4-BE49-F238E27FC236}">
              <a16:creationId xmlns:a16="http://schemas.microsoft.com/office/drawing/2014/main" id="{E6892385-4B47-42FE-9023-5DC9FAA6EF6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0" name="Text Box 21">
          <a:extLst>
            <a:ext uri="{FF2B5EF4-FFF2-40B4-BE49-F238E27FC236}">
              <a16:creationId xmlns:a16="http://schemas.microsoft.com/office/drawing/2014/main" id="{012D7B98-0155-42A2-9B90-E09F7DF0C7A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1" name="Text Box 22">
          <a:extLst>
            <a:ext uri="{FF2B5EF4-FFF2-40B4-BE49-F238E27FC236}">
              <a16:creationId xmlns:a16="http://schemas.microsoft.com/office/drawing/2014/main" id="{46D6FB29-A356-410F-A9CE-38FAC001345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2" name="Text Box 23">
          <a:extLst>
            <a:ext uri="{FF2B5EF4-FFF2-40B4-BE49-F238E27FC236}">
              <a16:creationId xmlns:a16="http://schemas.microsoft.com/office/drawing/2014/main" id="{BA8D5A71-EDD4-42B9-95F8-046F64B38AC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3" name="Text Box 24">
          <a:extLst>
            <a:ext uri="{FF2B5EF4-FFF2-40B4-BE49-F238E27FC236}">
              <a16:creationId xmlns:a16="http://schemas.microsoft.com/office/drawing/2014/main" id="{4EF8109E-4BF2-47DA-81E5-9AB8482D1AF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4" name="Text Box 33">
          <a:extLst>
            <a:ext uri="{FF2B5EF4-FFF2-40B4-BE49-F238E27FC236}">
              <a16:creationId xmlns:a16="http://schemas.microsoft.com/office/drawing/2014/main" id="{D8C1996E-C305-4572-882E-78A1DFF235C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5" name="Text Box 34">
          <a:extLst>
            <a:ext uri="{FF2B5EF4-FFF2-40B4-BE49-F238E27FC236}">
              <a16:creationId xmlns:a16="http://schemas.microsoft.com/office/drawing/2014/main" id="{57DEE5A3-FE2B-4BEC-8085-4CCE7E86E28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6" name="Text Box 35">
          <a:extLst>
            <a:ext uri="{FF2B5EF4-FFF2-40B4-BE49-F238E27FC236}">
              <a16:creationId xmlns:a16="http://schemas.microsoft.com/office/drawing/2014/main" id="{E003DB93-5AB2-4566-9CB1-F2EC7CAA622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7" name="Text Box 36">
          <a:extLst>
            <a:ext uri="{FF2B5EF4-FFF2-40B4-BE49-F238E27FC236}">
              <a16:creationId xmlns:a16="http://schemas.microsoft.com/office/drawing/2014/main" id="{7735A294-82A3-442D-9A04-27C436A4BD3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8" name="Text Box 45">
          <a:extLst>
            <a:ext uri="{FF2B5EF4-FFF2-40B4-BE49-F238E27FC236}">
              <a16:creationId xmlns:a16="http://schemas.microsoft.com/office/drawing/2014/main" id="{D46B8F50-F4C2-4A36-BA4D-101CC6AF7C4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59" name="Text Box 46">
          <a:extLst>
            <a:ext uri="{FF2B5EF4-FFF2-40B4-BE49-F238E27FC236}">
              <a16:creationId xmlns:a16="http://schemas.microsoft.com/office/drawing/2014/main" id="{A31DB558-B83F-416C-8133-C83759A3C64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0" name="Text Box 47">
          <a:extLst>
            <a:ext uri="{FF2B5EF4-FFF2-40B4-BE49-F238E27FC236}">
              <a16:creationId xmlns:a16="http://schemas.microsoft.com/office/drawing/2014/main" id="{5753C315-70E7-4217-8DF1-7803B189334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1" name="Text Box 48">
          <a:extLst>
            <a:ext uri="{FF2B5EF4-FFF2-40B4-BE49-F238E27FC236}">
              <a16:creationId xmlns:a16="http://schemas.microsoft.com/office/drawing/2014/main" id="{4452C82A-778C-4ACF-BEB2-B1DC453305D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2" name="Text Box 57">
          <a:extLst>
            <a:ext uri="{FF2B5EF4-FFF2-40B4-BE49-F238E27FC236}">
              <a16:creationId xmlns:a16="http://schemas.microsoft.com/office/drawing/2014/main" id="{BF3EDB8C-D99D-4F3D-A11A-F99999A32C4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3" name="Text Box 58">
          <a:extLst>
            <a:ext uri="{FF2B5EF4-FFF2-40B4-BE49-F238E27FC236}">
              <a16:creationId xmlns:a16="http://schemas.microsoft.com/office/drawing/2014/main" id="{7F1C148C-DC54-4E79-A83F-A108A974F0F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4" name="Text Box 59">
          <a:extLst>
            <a:ext uri="{FF2B5EF4-FFF2-40B4-BE49-F238E27FC236}">
              <a16:creationId xmlns:a16="http://schemas.microsoft.com/office/drawing/2014/main" id="{ED59401E-DDDC-48D2-BAB9-B39D12E56E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5" name="Text Box 60">
          <a:extLst>
            <a:ext uri="{FF2B5EF4-FFF2-40B4-BE49-F238E27FC236}">
              <a16:creationId xmlns:a16="http://schemas.microsoft.com/office/drawing/2014/main" id="{8AF7AD42-194A-418E-B562-0A2E19C4D2F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6" name="Text Box 69">
          <a:extLst>
            <a:ext uri="{FF2B5EF4-FFF2-40B4-BE49-F238E27FC236}">
              <a16:creationId xmlns:a16="http://schemas.microsoft.com/office/drawing/2014/main" id="{2E631695-0257-4ABE-A848-F8D46613A86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7" name="Text Box 70">
          <a:extLst>
            <a:ext uri="{FF2B5EF4-FFF2-40B4-BE49-F238E27FC236}">
              <a16:creationId xmlns:a16="http://schemas.microsoft.com/office/drawing/2014/main" id="{52CA3D8E-FB58-444F-ABB7-A76497D9C9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8" name="Text Box 71">
          <a:extLst>
            <a:ext uri="{FF2B5EF4-FFF2-40B4-BE49-F238E27FC236}">
              <a16:creationId xmlns:a16="http://schemas.microsoft.com/office/drawing/2014/main" id="{70632D8E-A57F-487A-A14B-3A331BAB264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69" name="Text Box 72">
          <a:extLst>
            <a:ext uri="{FF2B5EF4-FFF2-40B4-BE49-F238E27FC236}">
              <a16:creationId xmlns:a16="http://schemas.microsoft.com/office/drawing/2014/main" id="{EF3474FD-9FF4-48DF-927F-0209DB82E21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0" name="Text Box 9">
          <a:extLst>
            <a:ext uri="{FF2B5EF4-FFF2-40B4-BE49-F238E27FC236}">
              <a16:creationId xmlns:a16="http://schemas.microsoft.com/office/drawing/2014/main" id="{19E94DB5-464B-455E-9834-0FC036589D5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1" name="Text Box 10">
          <a:extLst>
            <a:ext uri="{FF2B5EF4-FFF2-40B4-BE49-F238E27FC236}">
              <a16:creationId xmlns:a16="http://schemas.microsoft.com/office/drawing/2014/main" id="{315B0121-B5A8-425D-BF8D-4F9E4CA5F3B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2" name="Text Box 11">
          <a:extLst>
            <a:ext uri="{FF2B5EF4-FFF2-40B4-BE49-F238E27FC236}">
              <a16:creationId xmlns:a16="http://schemas.microsoft.com/office/drawing/2014/main" id="{CCC88B2B-A526-4FEA-8B69-EA42AA70FBD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3" name="Text Box 12">
          <a:extLst>
            <a:ext uri="{FF2B5EF4-FFF2-40B4-BE49-F238E27FC236}">
              <a16:creationId xmlns:a16="http://schemas.microsoft.com/office/drawing/2014/main" id="{945C0A68-5FD1-4C9C-983F-6BB75C1921F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4" name="Text Box 21">
          <a:extLst>
            <a:ext uri="{FF2B5EF4-FFF2-40B4-BE49-F238E27FC236}">
              <a16:creationId xmlns:a16="http://schemas.microsoft.com/office/drawing/2014/main" id="{1C41E0B5-AC62-4F43-835E-DB24E4B6C12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5" name="Text Box 22">
          <a:extLst>
            <a:ext uri="{FF2B5EF4-FFF2-40B4-BE49-F238E27FC236}">
              <a16:creationId xmlns:a16="http://schemas.microsoft.com/office/drawing/2014/main" id="{9F3BA07C-FF4A-4F72-8B06-B40A137814A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6" name="Text Box 23">
          <a:extLst>
            <a:ext uri="{FF2B5EF4-FFF2-40B4-BE49-F238E27FC236}">
              <a16:creationId xmlns:a16="http://schemas.microsoft.com/office/drawing/2014/main" id="{D4D462E8-7BE9-4C50-9EEE-B131B8CD1A0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7" name="Text Box 24">
          <a:extLst>
            <a:ext uri="{FF2B5EF4-FFF2-40B4-BE49-F238E27FC236}">
              <a16:creationId xmlns:a16="http://schemas.microsoft.com/office/drawing/2014/main" id="{178A2EB1-F217-4AD6-B27B-AAAF0296FADC}"/>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8" name="Text Box 33">
          <a:extLst>
            <a:ext uri="{FF2B5EF4-FFF2-40B4-BE49-F238E27FC236}">
              <a16:creationId xmlns:a16="http://schemas.microsoft.com/office/drawing/2014/main" id="{86341FB1-14FC-4272-AA9E-CD8DD53D2FB0}"/>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79" name="Text Box 34">
          <a:extLst>
            <a:ext uri="{FF2B5EF4-FFF2-40B4-BE49-F238E27FC236}">
              <a16:creationId xmlns:a16="http://schemas.microsoft.com/office/drawing/2014/main" id="{81812D04-2F9E-4686-89F1-3327D7C06CF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0" name="Text Box 35">
          <a:extLst>
            <a:ext uri="{FF2B5EF4-FFF2-40B4-BE49-F238E27FC236}">
              <a16:creationId xmlns:a16="http://schemas.microsoft.com/office/drawing/2014/main" id="{EBD81EAE-7C24-4A10-A6F6-BEEF0368315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1" name="Text Box 36">
          <a:extLst>
            <a:ext uri="{FF2B5EF4-FFF2-40B4-BE49-F238E27FC236}">
              <a16:creationId xmlns:a16="http://schemas.microsoft.com/office/drawing/2014/main" id="{F2C5E72C-4615-4DFC-917F-02C52C4871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2" name="Text Box 45">
          <a:extLst>
            <a:ext uri="{FF2B5EF4-FFF2-40B4-BE49-F238E27FC236}">
              <a16:creationId xmlns:a16="http://schemas.microsoft.com/office/drawing/2014/main" id="{078E14F9-6B38-4789-BD16-7B6AD668E72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3" name="Text Box 46">
          <a:extLst>
            <a:ext uri="{FF2B5EF4-FFF2-40B4-BE49-F238E27FC236}">
              <a16:creationId xmlns:a16="http://schemas.microsoft.com/office/drawing/2014/main" id="{59ACD694-E5A0-4FA7-B6B2-98DC42ADB21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4" name="Text Box 47">
          <a:extLst>
            <a:ext uri="{FF2B5EF4-FFF2-40B4-BE49-F238E27FC236}">
              <a16:creationId xmlns:a16="http://schemas.microsoft.com/office/drawing/2014/main" id="{A8B0758A-2C36-48D1-A32C-4FEB68DE421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5" name="Text Box 48">
          <a:extLst>
            <a:ext uri="{FF2B5EF4-FFF2-40B4-BE49-F238E27FC236}">
              <a16:creationId xmlns:a16="http://schemas.microsoft.com/office/drawing/2014/main" id="{DD72E2F6-3F5C-4712-AECE-43FC076D06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6" name="Text Box 57">
          <a:extLst>
            <a:ext uri="{FF2B5EF4-FFF2-40B4-BE49-F238E27FC236}">
              <a16:creationId xmlns:a16="http://schemas.microsoft.com/office/drawing/2014/main" id="{531E5C9A-C4E8-4CFA-82F9-D192FC1463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7" name="Text Box 58">
          <a:extLst>
            <a:ext uri="{FF2B5EF4-FFF2-40B4-BE49-F238E27FC236}">
              <a16:creationId xmlns:a16="http://schemas.microsoft.com/office/drawing/2014/main" id="{5E67CCF0-AB56-48DD-AE9E-61E55DA7048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8" name="Text Box 59">
          <a:extLst>
            <a:ext uri="{FF2B5EF4-FFF2-40B4-BE49-F238E27FC236}">
              <a16:creationId xmlns:a16="http://schemas.microsoft.com/office/drawing/2014/main" id="{A38B6113-D713-4450-ACFD-4D074383D23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89" name="Text Box 60">
          <a:extLst>
            <a:ext uri="{FF2B5EF4-FFF2-40B4-BE49-F238E27FC236}">
              <a16:creationId xmlns:a16="http://schemas.microsoft.com/office/drawing/2014/main" id="{A144C884-907D-4EFF-A591-81BE53A991D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0" name="Text Box 69">
          <a:extLst>
            <a:ext uri="{FF2B5EF4-FFF2-40B4-BE49-F238E27FC236}">
              <a16:creationId xmlns:a16="http://schemas.microsoft.com/office/drawing/2014/main" id="{4D5FF255-A936-449E-B9EE-DF2B1039ADD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1" name="Text Box 70">
          <a:extLst>
            <a:ext uri="{FF2B5EF4-FFF2-40B4-BE49-F238E27FC236}">
              <a16:creationId xmlns:a16="http://schemas.microsoft.com/office/drawing/2014/main" id="{884D07CD-451F-4415-A190-B1B4667F6C4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2" name="Text Box 71">
          <a:extLst>
            <a:ext uri="{FF2B5EF4-FFF2-40B4-BE49-F238E27FC236}">
              <a16:creationId xmlns:a16="http://schemas.microsoft.com/office/drawing/2014/main" id="{8D1EBAB5-DD94-4525-8140-9444FBE263A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3" name="Text Box 72">
          <a:extLst>
            <a:ext uri="{FF2B5EF4-FFF2-40B4-BE49-F238E27FC236}">
              <a16:creationId xmlns:a16="http://schemas.microsoft.com/office/drawing/2014/main" id="{B5516623-9FE6-4A08-8BA5-D77A0FEC610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4" name="Text Box 9">
          <a:extLst>
            <a:ext uri="{FF2B5EF4-FFF2-40B4-BE49-F238E27FC236}">
              <a16:creationId xmlns:a16="http://schemas.microsoft.com/office/drawing/2014/main" id="{A9A9CEB0-0E28-4CC4-A5A8-369E5EFE4F4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5" name="Text Box 10">
          <a:extLst>
            <a:ext uri="{FF2B5EF4-FFF2-40B4-BE49-F238E27FC236}">
              <a16:creationId xmlns:a16="http://schemas.microsoft.com/office/drawing/2014/main" id="{CCA395E1-B498-4B58-B9EA-13C60C4B25B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6" name="Text Box 11">
          <a:extLst>
            <a:ext uri="{FF2B5EF4-FFF2-40B4-BE49-F238E27FC236}">
              <a16:creationId xmlns:a16="http://schemas.microsoft.com/office/drawing/2014/main" id="{272DB2DB-77C4-42FB-806A-A4CCF6832DA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7" name="Text Box 12">
          <a:extLst>
            <a:ext uri="{FF2B5EF4-FFF2-40B4-BE49-F238E27FC236}">
              <a16:creationId xmlns:a16="http://schemas.microsoft.com/office/drawing/2014/main" id="{EA7974D1-ACF2-4372-8A19-C0F2D18CFAA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8" name="Text Box 21">
          <a:extLst>
            <a:ext uri="{FF2B5EF4-FFF2-40B4-BE49-F238E27FC236}">
              <a16:creationId xmlns:a16="http://schemas.microsoft.com/office/drawing/2014/main" id="{E01F9BEF-963D-4363-ABBF-38F71B038BD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399" name="Text Box 22">
          <a:extLst>
            <a:ext uri="{FF2B5EF4-FFF2-40B4-BE49-F238E27FC236}">
              <a16:creationId xmlns:a16="http://schemas.microsoft.com/office/drawing/2014/main" id="{B3A6C015-39C6-481A-A94F-99946559BFD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0" name="Text Box 23">
          <a:extLst>
            <a:ext uri="{FF2B5EF4-FFF2-40B4-BE49-F238E27FC236}">
              <a16:creationId xmlns:a16="http://schemas.microsoft.com/office/drawing/2014/main" id="{C1EB4FFD-B264-4A6B-856F-37C7D3D6227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1" name="Text Box 24">
          <a:extLst>
            <a:ext uri="{FF2B5EF4-FFF2-40B4-BE49-F238E27FC236}">
              <a16:creationId xmlns:a16="http://schemas.microsoft.com/office/drawing/2014/main" id="{3D8EB693-0F30-4204-B66B-158E95DF883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2" name="Text Box 33">
          <a:extLst>
            <a:ext uri="{FF2B5EF4-FFF2-40B4-BE49-F238E27FC236}">
              <a16:creationId xmlns:a16="http://schemas.microsoft.com/office/drawing/2014/main" id="{0534445B-E9AC-461F-9768-F204BF44F44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3" name="Text Box 34">
          <a:extLst>
            <a:ext uri="{FF2B5EF4-FFF2-40B4-BE49-F238E27FC236}">
              <a16:creationId xmlns:a16="http://schemas.microsoft.com/office/drawing/2014/main" id="{E7A2B252-94F0-42B7-864D-BDA61886C3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4" name="Text Box 35">
          <a:extLst>
            <a:ext uri="{FF2B5EF4-FFF2-40B4-BE49-F238E27FC236}">
              <a16:creationId xmlns:a16="http://schemas.microsoft.com/office/drawing/2014/main" id="{07396EC5-D812-486A-9820-629192C7774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5" name="Text Box 36">
          <a:extLst>
            <a:ext uri="{FF2B5EF4-FFF2-40B4-BE49-F238E27FC236}">
              <a16:creationId xmlns:a16="http://schemas.microsoft.com/office/drawing/2014/main" id="{1C8B4D8D-91C1-4FEC-A731-D40FC74649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6" name="Text Box 45">
          <a:extLst>
            <a:ext uri="{FF2B5EF4-FFF2-40B4-BE49-F238E27FC236}">
              <a16:creationId xmlns:a16="http://schemas.microsoft.com/office/drawing/2014/main" id="{DF734FAD-11C6-43E4-B4CD-D0A9486703B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7" name="Text Box 46">
          <a:extLst>
            <a:ext uri="{FF2B5EF4-FFF2-40B4-BE49-F238E27FC236}">
              <a16:creationId xmlns:a16="http://schemas.microsoft.com/office/drawing/2014/main" id="{F5D67926-0831-49AF-A22C-1A5753D41D0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8" name="Text Box 47">
          <a:extLst>
            <a:ext uri="{FF2B5EF4-FFF2-40B4-BE49-F238E27FC236}">
              <a16:creationId xmlns:a16="http://schemas.microsoft.com/office/drawing/2014/main" id="{57128FA5-6E8D-4795-8A20-3B770C36990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09" name="Text Box 48">
          <a:extLst>
            <a:ext uri="{FF2B5EF4-FFF2-40B4-BE49-F238E27FC236}">
              <a16:creationId xmlns:a16="http://schemas.microsoft.com/office/drawing/2014/main" id="{D6B542DA-970C-444A-8F1D-64018251199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0" name="Text Box 57">
          <a:extLst>
            <a:ext uri="{FF2B5EF4-FFF2-40B4-BE49-F238E27FC236}">
              <a16:creationId xmlns:a16="http://schemas.microsoft.com/office/drawing/2014/main" id="{E34173C3-D57E-4E4E-B2BF-6185BE02371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1" name="Text Box 58">
          <a:extLst>
            <a:ext uri="{FF2B5EF4-FFF2-40B4-BE49-F238E27FC236}">
              <a16:creationId xmlns:a16="http://schemas.microsoft.com/office/drawing/2014/main" id="{79797040-3442-41DB-84F1-EA9201AECFD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2" name="Text Box 59">
          <a:extLst>
            <a:ext uri="{FF2B5EF4-FFF2-40B4-BE49-F238E27FC236}">
              <a16:creationId xmlns:a16="http://schemas.microsoft.com/office/drawing/2014/main" id="{4548D528-28C3-4A0B-8B9B-2F5CB7F7F88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3" name="Text Box 60">
          <a:extLst>
            <a:ext uri="{FF2B5EF4-FFF2-40B4-BE49-F238E27FC236}">
              <a16:creationId xmlns:a16="http://schemas.microsoft.com/office/drawing/2014/main" id="{5FBD17CD-8859-4213-9766-05CA03ECA789}"/>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4" name="Text Box 69">
          <a:extLst>
            <a:ext uri="{FF2B5EF4-FFF2-40B4-BE49-F238E27FC236}">
              <a16:creationId xmlns:a16="http://schemas.microsoft.com/office/drawing/2014/main" id="{D5107B73-E893-44A6-922F-F398A12B873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5" name="Text Box 70">
          <a:extLst>
            <a:ext uri="{FF2B5EF4-FFF2-40B4-BE49-F238E27FC236}">
              <a16:creationId xmlns:a16="http://schemas.microsoft.com/office/drawing/2014/main" id="{ADD3C706-2566-4B86-B7E6-9B90DA254EE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6" name="Text Box 71">
          <a:extLst>
            <a:ext uri="{FF2B5EF4-FFF2-40B4-BE49-F238E27FC236}">
              <a16:creationId xmlns:a16="http://schemas.microsoft.com/office/drawing/2014/main" id="{3B629567-26BB-4A56-862D-E6F157776D7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7" name="Text Box 72">
          <a:extLst>
            <a:ext uri="{FF2B5EF4-FFF2-40B4-BE49-F238E27FC236}">
              <a16:creationId xmlns:a16="http://schemas.microsoft.com/office/drawing/2014/main" id="{6EB136D2-46E0-4B13-81F0-252F6914B74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8" name="Text Box 9">
          <a:extLst>
            <a:ext uri="{FF2B5EF4-FFF2-40B4-BE49-F238E27FC236}">
              <a16:creationId xmlns:a16="http://schemas.microsoft.com/office/drawing/2014/main" id="{E4C4A446-ACB2-4072-B707-41A56B7A41C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19" name="Text Box 10">
          <a:extLst>
            <a:ext uri="{FF2B5EF4-FFF2-40B4-BE49-F238E27FC236}">
              <a16:creationId xmlns:a16="http://schemas.microsoft.com/office/drawing/2014/main" id="{E99878AD-0DE4-4692-B7A4-B02A623B4AA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0" name="Text Box 11">
          <a:extLst>
            <a:ext uri="{FF2B5EF4-FFF2-40B4-BE49-F238E27FC236}">
              <a16:creationId xmlns:a16="http://schemas.microsoft.com/office/drawing/2014/main" id="{8C9E244A-532D-4226-95F8-70F1A155883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1" name="Text Box 12">
          <a:extLst>
            <a:ext uri="{FF2B5EF4-FFF2-40B4-BE49-F238E27FC236}">
              <a16:creationId xmlns:a16="http://schemas.microsoft.com/office/drawing/2014/main" id="{8EFA5F1A-EDA0-408E-9981-95C48083C3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2" name="Text Box 21">
          <a:extLst>
            <a:ext uri="{FF2B5EF4-FFF2-40B4-BE49-F238E27FC236}">
              <a16:creationId xmlns:a16="http://schemas.microsoft.com/office/drawing/2014/main" id="{E788B4A1-0041-4007-BEFB-C8D8B640F1FD}"/>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3" name="Text Box 22">
          <a:extLst>
            <a:ext uri="{FF2B5EF4-FFF2-40B4-BE49-F238E27FC236}">
              <a16:creationId xmlns:a16="http://schemas.microsoft.com/office/drawing/2014/main" id="{F39E5A22-72DE-4908-AAB9-DFACB2E2ED2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4" name="Text Box 23">
          <a:extLst>
            <a:ext uri="{FF2B5EF4-FFF2-40B4-BE49-F238E27FC236}">
              <a16:creationId xmlns:a16="http://schemas.microsoft.com/office/drawing/2014/main" id="{0713EF5A-AE61-4DC7-87F8-4FAC8401ABC1}"/>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5" name="Text Box 24">
          <a:extLst>
            <a:ext uri="{FF2B5EF4-FFF2-40B4-BE49-F238E27FC236}">
              <a16:creationId xmlns:a16="http://schemas.microsoft.com/office/drawing/2014/main" id="{3502BD2E-1864-43B1-9506-7B70CC84546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6" name="Text Box 33">
          <a:extLst>
            <a:ext uri="{FF2B5EF4-FFF2-40B4-BE49-F238E27FC236}">
              <a16:creationId xmlns:a16="http://schemas.microsoft.com/office/drawing/2014/main" id="{FD7CAEC0-CE29-4041-80A1-E0557BFDC9C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7" name="Text Box 34">
          <a:extLst>
            <a:ext uri="{FF2B5EF4-FFF2-40B4-BE49-F238E27FC236}">
              <a16:creationId xmlns:a16="http://schemas.microsoft.com/office/drawing/2014/main" id="{8D7256C5-D6B8-4A11-835A-CA1D7D75AF6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8" name="Text Box 35">
          <a:extLst>
            <a:ext uri="{FF2B5EF4-FFF2-40B4-BE49-F238E27FC236}">
              <a16:creationId xmlns:a16="http://schemas.microsoft.com/office/drawing/2014/main" id="{B627AF10-9514-4351-B7E8-A465DB39E0C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29" name="Text Box 36">
          <a:extLst>
            <a:ext uri="{FF2B5EF4-FFF2-40B4-BE49-F238E27FC236}">
              <a16:creationId xmlns:a16="http://schemas.microsoft.com/office/drawing/2014/main" id="{FE6EF949-38EE-4E2F-A09D-A3D5A07A71A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0" name="Text Box 45">
          <a:extLst>
            <a:ext uri="{FF2B5EF4-FFF2-40B4-BE49-F238E27FC236}">
              <a16:creationId xmlns:a16="http://schemas.microsoft.com/office/drawing/2014/main" id="{9E4B24F4-AA5C-4197-8B46-ED03EC32D662}"/>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1" name="Text Box 46">
          <a:extLst>
            <a:ext uri="{FF2B5EF4-FFF2-40B4-BE49-F238E27FC236}">
              <a16:creationId xmlns:a16="http://schemas.microsoft.com/office/drawing/2014/main" id="{D40815BA-0F0D-4274-A0C6-24E39421D9C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2" name="Text Box 47">
          <a:extLst>
            <a:ext uri="{FF2B5EF4-FFF2-40B4-BE49-F238E27FC236}">
              <a16:creationId xmlns:a16="http://schemas.microsoft.com/office/drawing/2014/main" id="{2F4563D8-2574-4287-83F0-B80322CD56A6}"/>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3" name="Text Box 48">
          <a:extLst>
            <a:ext uri="{FF2B5EF4-FFF2-40B4-BE49-F238E27FC236}">
              <a16:creationId xmlns:a16="http://schemas.microsoft.com/office/drawing/2014/main" id="{75D349A0-DC90-4FA8-8DB0-9E43CA7C5F34}"/>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4" name="Text Box 57">
          <a:extLst>
            <a:ext uri="{FF2B5EF4-FFF2-40B4-BE49-F238E27FC236}">
              <a16:creationId xmlns:a16="http://schemas.microsoft.com/office/drawing/2014/main" id="{C37E6D88-8D68-4D0F-B3E4-A8B971E64FFF}"/>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5" name="Text Box 58">
          <a:extLst>
            <a:ext uri="{FF2B5EF4-FFF2-40B4-BE49-F238E27FC236}">
              <a16:creationId xmlns:a16="http://schemas.microsoft.com/office/drawing/2014/main" id="{79CE42F8-6E1A-45BF-90F1-B17EB38CD28E}"/>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6" name="Text Box 59">
          <a:extLst>
            <a:ext uri="{FF2B5EF4-FFF2-40B4-BE49-F238E27FC236}">
              <a16:creationId xmlns:a16="http://schemas.microsoft.com/office/drawing/2014/main" id="{C785CEFA-36EC-429D-B23C-1654DCDEA84A}"/>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7" name="Text Box 60">
          <a:extLst>
            <a:ext uri="{FF2B5EF4-FFF2-40B4-BE49-F238E27FC236}">
              <a16:creationId xmlns:a16="http://schemas.microsoft.com/office/drawing/2014/main" id="{7C2435BB-3D58-4ADE-B752-64D2CE9DBCE3}"/>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8" name="Text Box 69">
          <a:extLst>
            <a:ext uri="{FF2B5EF4-FFF2-40B4-BE49-F238E27FC236}">
              <a16:creationId xmlns:a16="http://schemas.microsoft.com/office/drawing/2014/main" id="{2779ED1F-EF46-415B-BC4E-D944F9602D85}"/>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39" name="Text Box 70">
          <a:extLst>
            <a:ext uri="{FF2B5EF4-FFF2-40B4-BE49-F238E27FC236}">
              <a16:creationId xmlns:a16="http://schemas.microsoft.com/office/drawing/2014/main" id="{08DA80C3-8CE5-4E00-B5C1-19F64266CA5B}"/>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40" name="Text Box 71">
          <a:extLst>
            <a:ext uri="{FF2B5EF4-FFF2-40B4-BE49-F238E27FC236}">
              <a16:creationId xmlns:a16="http://schemas.microsoft.com/office/drawing/2014/main" id="{A1E046D5-178F-4274-9A2F-B53245A1D4C8}"/>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26</xdr:row>
      <xdr:rowOff>0</xdr:rowOff>
    </xdr:from>
    <xdr:to>
      <xdr:col>3</xdr:col>
      <xdr:colOff>1020233</xdr:colOff>
      <xdr:row>26</xdr:row>
      <xdr:rowOff>175260</xdr:rowOff>
    </xdr:to>
    <xdr:sp macro="" textlink="">
      <xdr:nvSpPr>
        <xdr:cNvPr id="1441" name="Text Box 72">
          <a:extLst>
            <a:ext uri="{FF2B5EF4-FFF2-40B4-BE49-F238E27FC236}">
              <a16:creationId xmlns:a16="http://schemas.microsoft.com/office/drawing/2014/main" id="{E41F42F9-27DB-4848-87C4-3BA7D89542A7}"/>
            </a:ext>
          </a:extLst>
        </xdr:cNvPr>
        <xdr:cNvSpPr txBox="1">
          <a:spLocks noChangeArrowheads="1"/>
        </xdr:cNvSpPr>
      </xdr:nvSpPr>
      <xdr:spPr bwMode="auto">
        <a:xfrm>
          <a:off x="99060" y="9761220"/>
          <a:ext cx="599694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3190875</xdr:colOff>
      <xdr:row>423</xdr:row>
      <xdr:rowOff>0</xdr:rowOff>
    </xdr:from>
    <xdr:to>
      <xdr:col>2</xdr:col>
      <xdr:colOff>3190875</xdr:colOff>
      <xdr:row>424</xdr:row>
      <xdr:rowOff>143435</xdr:rowOff>
    </xdr:to>
    <xdr:sp macro="" textlink="">
      <xdr:nvSpPr>
        <xdr:cNvPr id="2" name="Text Box 418">
          <a:extLst>
            <a:ext uri="{FF2B5EF4-FFF2-40B4-BE49-F238E27FC236}">
              <a16:creationId xmlns:a16="http://schemas.microsoft.com/office/drawing/2014/main" id="{00759B25-D020-4137-82EF-7A16A2C4E92C}"/>
            </a:ext>
          </a:extLst>
        </xdr:cNvPr>
        <xdr:cNvSpPr txBox="1">
          <a:spLocks noChangeArrowheads="1"/>
        </xdr:cNvSpPr>
      </xdr:nvSpPr>
      <xdr:spPr bwMode="auto">
        <a:xfrm>
          <a:off x="3676650" y="150209250"/>
          <a:ext cx="0" cy="41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143435</xdr:rowOff>
    </xdr:to>
    <xdr:sp macro="" textlink="">
      <xdr:nvSpPr>
        <xdr:cNvPr id="3" name="Text Box 419">
          <a:extLst>
            <a:ext uri="{FF2B5EF4-FFF2-40B4-BE49-F238E27FC236}">
              <a16:creationId xmlns:a16="http://schemas.microsoft.com/office/drawing/2014/main" id="{67578596-9B2B-4D6F-B6E3-D41965927CC6}"/>
            </a:ext>
          </a:extLst>
        </xdr:cNvPr>
        <xdr:cNvSpPr txBox="1">
          <a:spLocks noChangeArrowheads="1"/>
        </xdr:cNvSpPr>
      </xdr:nvSpPr>
      <xdr:spPr bwMode="auto">
        <a:xfrm>
          <a:off x="3676650" y="150209250"/>
          <a:ext cx="0" cy="41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143435</xdr:rowOff>
    </xdr:to>
    <xdr:sp macro="" textlink="">
      <xdr:nvSpPr>
        <xdr:cNvPr id="4" name="Text Box 420">
          <a:extLst>
            <a:ext uri="{FF2B5EF4-FFF2-40B4-BE49-F238E27FC236}">
              <a16:creationId xmlns:a16="http://schemas.microsoft.com/office/drawing/2014/main" id="{D1CBD1DA-C01D-4D25-9336-D5104991CCC1}"/>
            </a:ext>
          </a:extLst>
        </xdr:cNvPr>
        <xdr:cNvSpPr txBox="1">
          <a:spLocks noChangeArrowheads="1"/>
        </xdr:cNvSpPr>
      </xdr:nvSpPr>
      <xdr:spPr bwMode="auto">
        <a:xfrm>
          <a:off x="3676650" y="150209250"/>
          <a:ext cx="0" cy="41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143435</xdr:rowOff>
    </xdr:to>
    <xdr:sp macro="" textlink="">
      <xdr:nvSpPr>
        <xdr:cNvPr id="5" name="Text Box 421">
          <a:extLst>
            <a:ext uri="{FF2B5EF4-FFF2-40B4-BE49-F238E27FC236}">
              <a16:creationId xmlns:a16="http://schemas.microsoft.com/office/drawing/2014/main" id="{99588C6B-2A85-4A07-A639-94AADDB68A54}"/>
            </a:ext>
          </a:extLst>
        </xdr:cNvPr>
        <xdr:cNvSpPr txBox="1">
          <a:spLocks noChangeArrowheads="1"/>
        </xdr:cNvSpPr>
      </xdr:nvSpPr>
      <xdr:spPr bwMode="auto">
        <a:xfrm>
          <a:off x="3676650" y="150209250"/>
          <a:ext cx="0" cy="41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143435</xdr:rowOff>
    </xdr:to>
    <xdr:sp macro="" textlink="">
      <xdr:nvSpPr>
        <xdr:cNvPr id="6" name="Text Box 865">
          <a:extLst>
            <a:ext uri="{FF2B5EF4-FFF2-40B4-BE49-F238E27FC236}">
              <a16:creationId xmlns:a16="http://schemas.microsoft.com/office/drawing/2014/main" id="{2C489676-B90D-461E-B10B-314B3C8A4D74}"/>
            </a:ext>
          </a:extLst>
        </xdr:cNvPr>
        <xdr:cNvSpPr txBox="1">
          <a:spLocks noChangeArrowheads="1"/>
        </xdr:cNvSpPr>
      </xdr:nvSpPr>
      <xdr:spPr bwMode="auto">
        <a:xfrm>
          <a:off x="3676650" y="150209250"/>
          <a:ext cx="0" cy="41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143435</xdr:rowOff>
    </xdr:to>
    <xdr:sp macro="" textlink="">
      <xdr:nvSpPr>
        <xdr:cNvPr id="7" name="Text Box 866">
          <a:extLst>
            <a:ext uri="{FF2B5EF4-FFF2-40B4-BE49-F238E27FC236}">
              <a16:creationId xmlns:a16="http://schemas.microsoft.com/office/drawing/2014/main" id="{D96DE3FC-E95B-494D-A949-455365DE4036}"/>
            </a:ext>
          </a:extLst>
        </xdr:cNvPr>
        <xdr:cNvSpPr txBox="1">
          <a:spLocks noChangeArrowheads="1"/>
        </xdr:cNvSpPr>
      </xdr:nvSpPr>
      <xdr:spPr bwMode="auto">
        <a:xfrm>
          <a:off x="3676650" y="150209250"/>
          <a:ext cx="0" cy="41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461</xdr:row>
      <xdr:rowOff>0</xdr:rowOff>
    </xdr:to>
    <xdr:sp macro="" textlink="">
      <xdr:nvSpPr>
        <xdr:cNvPr id="8" name="Text Box 418">
          <a:extLst>
            <a:ext uri="{FF2B5EF4-FFF2-40B4-BE49-F238E27FC236}">
              <a16:creationId xmlns:a16="http://schemas.microsoft.com/office/drawing/2014/main" id="{FE8593B6-D9C9-4FA6-A0AA-64D85DEB28E8}"/>
            </a:ext>
          </a:extLst>
        </xdr:cNvPr>
        <xdr:cNvSpPr txBox="1">
          <a:spLocks noChangeArrowheads="1"/>
        </xdr:cNvSpPr>
      </xdr:nvSpPr>
      <xdr:spPr bwMode="auto">
        <a:xfrm>
          <a:off x="3676650" y="1651063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461</xdr:row>
      <xdr:rowOff>0</xdr:rowOff>
    </xdr:to>
    <xdr:sp macro="" textlink="">
      <xdr:nvSpPr>
        <xdr:cNvPr id="9" name="Text Box 419">
          <a:extLst>
            <a:ext uri="{FF2B5EF4-FFF2-40B4-BE49-F238E27FC236}">
              <a16:creationId xmlns:a16="http://schemas.microsoft.com/office/drawing/2014/main" id="{FB45C32C-E904-43DF-9522-80FCD272CA1B}"/>
            </a:ext>
          </a:extLst>
        </xdr:cNvPr>
        <xdr:cNvSpPr txBox="1">
          <a:spLocks noChangeArrowheads="1"/>
        </xdr:cNvSpPr>
      </xdr:nvSpPr>
      <xdr:spPr bwMode="auto">
        <a:xfrm>
          <a:off x="3676650" y="1651063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461</xdr:row>
      <xdr:rowOff>0</xdr:rowOff>
    </xdr:to>
    <xdr:sp macro="" textlink="">
      <xdr:nvSpPr>
        <xdr:cNvPr id="10" name="Text Box 420">
          <a:extLst>
            <a:ext uri="{FF2B5EF4-FFF2-40B4-BE49-F238E27FC236}">
              <a16:creationId xmlns:a16="http://schemas.microsoft.com/office/drawing/2014/main" id="{0F5D19C2-BE9F-4808-BDEA-13EDFFCD76D3}"/>
            </a:ext>
          </a:extLst>
        </xdr:cNvPr>
        <xdr:cNvSpPr txBox="1">
          <a:spLocks noChangeArrowheads="1"/>
        </xdr:cNvSpPr>
      </xdr:nvSpPr>
      <xdr:spPr bwMode="auto">
        <a:xfrm>
          <a:off x="3676650" y="1651063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461</xdr:row>
      <xdr:rowOff>0</xdr:rowOff>
    </xdr:to>
    <xdr:sp macro="" textlink="">
      <xdr:nvSpPr>
        <xdr:cNvPr id="11" name="Text Box 421">
          <a:extLst>
            <a:ext uri="{FF2B5EF4-FFF2-40B4-BE49-F238E27FC236}">
              <a16:creationId xmlns:a16="http://schemas.microsoft.com/office/drawing/2014/main" id="{98A47CEB-603B-47FA-9F41-EF8596CF83E0}"/>
            </a:ext>
          </a:extLst>
        </xdr:cNvPr>
        <xdr:cNvSpPr txBox="1">
          <a:spLocks noChangeArrowheads="1"/>
        </xdr:cNvSpPr>
      </xdr:nvSpPr>
      <xdr:spPr bwMode="auto">
        <a:xfrm>
          <a:off x="3676650" y="1651063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461</xdr:row>
      <xdr:rowOff>0</xdr:rowOff>
    </xdr:to>
    <xdr:sp macro="" textlink="">
      <xdr:nvSpPr>
        <xdr:cNvPr id="12" name="Text Box 865">
          <a:extLst>
            <a:ext uri="{FF2B5EF4-FFF2-40B4-BE49-F238E27FC236}">
              <a16:creationId xmlns:a16="http://schemas.microsoft.com/office/drawing/2014/main" id="{A2BBBA07-53C2-4E46-8197-72EA28EF6CEB}"/>
            </a:ext>
          </a:extLst>
        </xdr:cNvPr>
        <xdr:cNvSpPr txBox="1">
          <a:spLocks noChangeArrowheads="1"/>
        </xdr:cNvSpPr>
      </xdr:nvSpPr>
      <xdr:spPr bwMode="auto">
        <a:xfrm>
          <a:off x="3676650" y="1651063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461</xdr:row>
      <xdr:rowOff>0</xdr:rowOff>
    </xdr:to>
    <xdr:sp macro="" textlink="">
      <xdr:nvSpPr>
        <xdr:cNvPr id="13" name="Text Box 866">
          <a:extLst>
            <a:ext uri="{FF2B5EF4-FFF2-40B4-BE49-F238E27FC236}">
              <a16:creationId xmlns:a16="http://schemas.microsoft.com/office/drawing/2014/main" id="{08D36939-7EB0-4621-A1C2-166ED5819175}"/>
            </a:ext>
          </a:extLst>
        </xdr:cNvPr>
        <xdr:cNvSpPr txBox="1">
          <a:spLocks noChangeArrowheads="1"/>
        </xdr:cNvSpPr>
      </xdr:nvSpPr>
      <xdr:spPr bwMode="auto">
        <a:xfrm>
          <a:off x="3676650" y="1651063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14" name="Text Box 1441">
          <a:extLst>
            <a:ext uri="{FF2B5EF4-FFF2-40B4-BE49-F238E27FC236}">
              <a16:creationId xmlns:a16="http://schemas.microsoft.com/office/drawing/2014/main" id="{732E1641-4020-49FC-959A-7B42F640C169}"/>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15" name="Text Box 1442">
          <a:extLst>
            <a:ext uri="{FF2B5EF4-FFF2-40B4-BE49-F238E27FC236}">
              <a16:creationId xmlns:a16="http://schemas.microsoft.com/office/drawing/2014/main" id="{426B1266-2D7D-4987-8B84-5AFF25C7C646}"/>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16" name="Text Box 1443">
          <a:extLst>
            <a:ext uri="{FF2B5EF4-FFF2-40B4-BE49-F238E27FC236}">
              <a16:creationId xmlns:a16="http://schemas.microsoft.com/office/drawing/2014/main" id="{11B78E29-AC5A-4CD0-90CA-C504B422A4A2}"/>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17" name="Text Box 1444">
          <a:extLst>
            <a:ext uri="{FF2B5EF4-FFF2-40B4-BE49-F238E27FC236}">
              <a16:creationId xmlns:a16="http://schemas.microsoft.com/office/drawing/2014/main" id="{46A0FF56-1172-47B9-A2B5-83587465C70A}"/>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18" name="Text Box 2925">
          <a:extLst>
            <a:ext uri="{FF2B5EF4-FFF2-40B4-BE49-F238E27FC236}">
              <a16:creationId xmlns:a16="http://schemas.microsoft.com/office/drawing/2014/main" id="{C134F850-4D60-438F-8578-C0145CC6B8BA}"/>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19" name="Text Box 2926">
          <a:extLst>
            <a:ext uri="{FF2B5EF4-FFF2-40B4-BE49-F238E27FC236}">
              <a16:creationId xmlns:a16="http://schemas.microsoft.com/office/drawing/2014/main" id="{DC935855-641D-4248-A8F9-100C66FDEEFD}"/>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20" name="Text Box 2927">
          <a:extLst>
            <a:ext uri="{FF2B5EF4-FFF2-40B4-BE49-F238E27FC236}">
              <a16:creationId xmlns:a16="http://schemas.microsoft.com/office/drawing/2014/main" id="{83C8794F-CD71-44F5-B6DD-19485D1B6D52}"/>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460</xdr:row>
      <xdr:rowOff>0</xdr:rowOff>
    </xdr:from>
    <xdr:to>
      <xdr:col>2</xdr:col>
      <xdr:colOff>3267075</xdr:colOff>
      <xdr:row>463</xdr:row>
      <xdr:rowOff>514350</xdr:rowOff>
    </xdr:to>
    <xdr:sp macro="" textlink="">
      <xdr:nvSpPr>
        <xdr:cNvPr id="21" name="Text Box 2928">
          <a:extLst>
            <a:ext uri="{FF2B5EF4-FFF2-40B4-BE49-F238E27FC236}">
              <a16:creationId xmlns:a16="http://schemas.microsoft.com/office/drawing/2014/main" id="{15A33ADA-29DB-48BA-AD90-BF2F19BB2A58}"/>
            </a:ext>
          </a:extLst>
        </xdr:cNvPr>
        <xdr:cNvSpPr txBox="1">
          <a:spLocks noChangeArrowheads="1"/>
        </xdr:cNvSpPr>
      </xdr:nvSpPr>
      <xdr:spPr bwMode="auto">
        <a:xfrm>
          <a:off x="3676650" y="165106350"/>
          <a:ext cx="762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424</xdr:row>
      <xdr:rowOff>104775</xdr:rowOff>
    </xdr:to>
    <xdr:sp macro="" textlink="">
      <xdr:nvSpPr>
        <xdr:cNvPr id="22" name="Text Box 418">
          <a:extLst>
            <a:ext uri="{FF2B5EF4-FFF2-40B4-BE49-F238E27FC236}">
              <a16:creationId xmlns:a16="http://schemas.microsoft.com/office/drawing/2014/main" id="{DFE7D27E-A045-4CCA-8F87-7D4A27896757}"/>
            </a:ext>
          </a:extLst>
        </xdr:cNvPr>
        <xdr:cNvSpPr txBox="1">
          <a:spLocks noChangeArrowheads="1"/>
        </xdr:cNvSpPr>
      </xdr:nvSpPr>
      <xdr:spPr bwMode="auto">
        <a:xfrm>
          <a:off x="3676650" y="1502092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424</xdr:row>
      <xdr:rowOff>104775</xdr:rowOff>
    </xdr:to>
    <xdr:sp macro="" textlink="">
      <xdr:nvSpPr>
        <xdr:cNvPr id="23" name="Text Box 419">
          <a:extLst>
            <a:ext uri="{FF2B5EF4-FFF2-40B4-BE49-F238E27FC236}">
              <a16:creationId xmlns:a16="http://schemas.microsoft.com/office/drawing/2014/main" id="{5686D03D-A5DB-4EB9-B367-6533FE3C8CD5}"/>
            </a:ext>
          </a:extLst>
        </xdr:cNvPr>
        <xdr:cNvSpPr txBox="1">
          <a:spLocks noChangeArrowheads="1"/>
        </xdr:cNvSpPr>
      </xdr:nvSpPr>
      <xdr:spPr bwMode="auto">
        <a:xfrm>
          <a:off x="3676650" y="1502092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424</xdr:row>
      <xdr:rowOff>104775</xdr:rowOff>
    </xdr:to>
    <xdr:sp macro="" textlink="">
      <xdr:nvSpPr>
        <xdr:cNvPr id="24" name="Text Box 420">
          <a:extLst>
            <a:ext uri="{FF2B5EF4-FFF2-40B4-BE49-F238E27FC236}">
              <a16:creationId xmlns:a16="http://schemas.microsoft.com/office/drawing/2014/main" id="{135D888C-6EBF-42D7-8F8D-F92B0D55E52C}"/>
            </a:ext>
          </a:extLst>
        </xdr:cNvPr>
        <xdr:cNvSpPr txBox="1">
          <a:spLocks noChangeArrowheads="1"/>
        </xdr:cNvSpPr>
      </xdr:nvSpPr>
      <xdr:spPr bwMode="auto">
        <a:xfrm>
          <a:off x="3676650" y="1502092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424</xdr:row>
      <xdr:rowOff>104775</xdr:rowOff>
    </xdr:to>
    <xdr:sp macro="" textlink="">
      <xdr:nvSpPr>
        <xdr:cNvPr id="25" name="Text Box 421">
          <a:extLst>
            <a:ext uri="{FF2B5EF4-FFF2-40B4-BE49-F238E27FC236}">
              <a16:creationId xmlns:a16="http://schemas.microsoft.com/office/drawing/2014/main" id="{228500B0-0C6E-41C0-9D44-62019D311441}"/>
            </a:ext>
          </a:extLst>
        </xdr:cNvPr>
        <xdr:cNvSpPr txBox="1">
          <a:spLocks noChangeArrowheads="1"/>
        </xdr:cNvSpPr>
      </xdr:nvSpPr>
      <xdr:spPr bwMode="auto">
        <a:xfrm>
          <a:off x="3676650" y="1502092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424</xdr:row>
      <xdr:rowOff>104775</xdr:rowOff>
    </xdr:to>
    <xdr:sp macro="" textlink="">
      <xdr:nvSpPr>
        <xdr:cNvPr id="26" name="Text Box 865">
          <a:extLst>
            <a:ext uri="{FF2B5EF4-FFF2-40B4-BE49-F238E27FC236}">
              <a16:creationId xmlns:a16="http://schemas.microsoft.com/office/drawing/2014/main" id="{5C3EFA3D-2572-4779-8379-F47EEC101F78}"/>
            </a:ext>
          </a:extLst>
        </xdr:cNvPr>
        <xdr:cNvSpPr txBox="1">
          <a:spLocks noChangeArrowheads="1"/>
        </xdr:cNvSpPr>
      </xdr:nvSpPr>
      <xdr:spPr bwMode="auto">
        <a:xfrm>
          <a:off x="3676650" y="1502092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424</xdr:row>
      <xdr:rowOff>104775</xdr:rowOff>
    </xdr:to>
    <xdr:sp macro="" textlink="">
      <xdr:nvSpPr>
        <xdr:cNvPr id="27" name="Text Box 866">
          <a:extLst>
            <a:ext uri="{FF2B5EF4-FFF2-40B4-BE49-F238E27FC236}">
              <a16:creationId xmlns:a16="http://schemas.microsoft.com/office/drawing/2014/main" id="{D50A6296-ED44-481D-A5AE-9B0324ACC211}"/>
            </a:ext>
          </a:extLst>
        </xdr:cNvPr>
        <xdr:cNvSpPr txBox="1">
          <a:spLocks noChangeArrowheads="1"/>
        </xdr:cNvSpPr>
      </xdr:nvSpPr>
      <xdr:spPr bwMode="auto">
        <a:xfrm>
          <a:off x="3676650" y="150209250"/>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28" name="Text Box 1441">
          <a:extLst>
            <a:ext uri="{FF2B5EF4-FFF2-40B4-BE49-F238E27FC236}">
              <a16:creationId xmlns:a16="http://schemas.microsoft.com/office/drawing/2014/main" id="{E6E47171-9454-4D7E-87F6-30C5F1BFAB12}"/>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29" name="Text Box 1442">
          <a:extLst>
            <a:ext uri="{FF2B5EF4-FFF2-40B4-BE49-F238E27FC236}">
              <a16:creationId xmlns:a16="http://schemas.microsoft.com/office/drawing/2014/main" id="{C06893E7-923D-4EB0-A6F2-F1E087FF51C3}"/>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30" name="Text Box 1443">
          <a:extLst>
            <a:ext uri="{FF2B5EF4-FFF2-40B4-BE49-F238E27FC236}">
              <a16:creationId xmlns:a16="http://schemas.microsoft.com/office/drawing/2014/main" id="{E326D078-F9B2-4FA2-9B35-BB15471EBDE8}"/>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31" name="Text Box 1444">
          <a:extLst>
            <a:ext uri="{FF2B5EF4-FFF2-40B4-BE49-F238E27FC236}">
              <a16:creationId xmlns:a16="http://schemas.microsoft.com/office/drawing/2014/main" id="{EE1F30B8-E49C-407D-93A0-F1535F92D547}"/>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32" name="Text Box 2925">
          <a:extLst>
            <a:ext uri="{FF2B5EF4-FFF2-40B4-BE49-F238E27FC236}">
              <a16:creationId xmlns:a16="http://schemas.microsoft.com/office/drawing/2014/main" id="{1957DC98-2914-40E5-B717-0FAB9CB93C6A}"/>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33" name="Text Box 2926">
          <a:extLst>
            <a:ext uri="{FF2B5EF4-FFF2-40B4-BE49-F238E27FC236}">
              <a16:creationId xmlns:a16="http://schemas.microsoft.com/office/drawing/2014/main" id="{98BBB047-B7F8-4634-9407-7E1AFF5035C2}"/>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34" name="Text Box 2927">
          <a:extLst>
            <a:ext uri="{FF2B5EF4-FFF2-40B4-BE49-F238E27FC236}">
              <a16:creationId xmlns:a16="http://schemas.microsoft.com/office/drawing/2014/main" id="{3CF9385F-FEC2-4EEB-B38B-1AA7B1C05A58}"/>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3267075</xdr:colOff>
      <xdr:row>429</xdr:row>
      <xdr:rowOff>57149</xdr:rowOff>
    </xdr:to>
    <xdr:sp macro="" textlink="">
      <xdr:nvSpPr>
        <xdr:cNvPr id="35" name="Text Box 2928">
          <a:extLst>
            <a:ext uri="{FF2B5EF4-FFF2-40B4-BE49-F238E27FC236}">
              <a16:creationId xmlns:a16="http://schemas.microsoft.com/office/drawing/2014/main" id="{D7866F17-B989-46A6-BB58-DBC77558B35F}"/>
            </a:ext>
          </a:extLst>
        </xdr:cNvPr>
        <xdr:cNvSpPr txBox="1">
          <a:spLocks noChangeArrowheads="1"/>
        </xdr:cNvSpPr>
      </xdr:nvSpPr>
      <xdr:spPr bwMode="auto">
        <a:xfrm>
          <a:off x="3676650" y="150209250"/>
          <a:ext cx="762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36" name="Text Box 215145">
          <a:extLst>
            <a:ext uri="{FF2B5EF4-FFF2-40B4-BE49-F238E27FC236}">
              <a16:creationId xmlns:a16="http://schemas.microsoft.com/office/drawing/2014/main" id="{704D08C7-4AB3-47FC-8C69-D6DFED5D4DD1}"/>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37" name="Text Box 215146">
          <a:extLst>
            <a:ext uri="{FF2B5EF4-FFF2-40B4-BE49-F238E27FC236}">
              <a16:creationId xmlns:a16="http://schemas.microsoft.com/office/drawing/2014/main" id="{6308F2AF-32B5-4FBE-95BB-107AF99AE8BC}"/>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38" name="Text Box 215147">
          <a:extLst>
            <a:ext uri="{FF2B5EF4-FFF2-40B4-BE49-F238E27FC236}">
              <a16:creationId xmlns:a16="http://schemas.microsoft.com/office/drawing/2014/main" id="{80299FA8-B037-4C45-8707-3C52FA20D677}"/>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39" name="Text Box 215148">
          <a:extLst>
            <a:ext uri="{FF2B5EF4-FFF2-40B4-BE49-F238E27FC236}">
              <a16:creationId xmlns:a16="http://schemas.microsoft.com/office/drawing/2014/main" id="{495F54F4-02D6-44BC-BF25-7B6A0AB4F5A8}"/>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0" name="Text Box 215149">
          <a:extLst>
            <a:ext uri="{FF2B5EF4-FFF2-40B4-BE49-F238E27FC236}">
              <a16:creationId xmlns:a16="http://schemas.microsoft.com/office/drawing/2014/main" id="{BF47B16C-79B0-4A1D-9983-FD472CE2D12E}"/>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1" name="Text Box 215150">
          <a:extLst>
            <a:ext uri="{FF2B5EF4-FFF2-40B4-BE49-F238E27FC236}">
              <a16:creationId xmlns:a16="http://schemas.microsoft.com/office/drawing/2014/main" id="{26A25F16-3608-4224-BB52-35B903D599EF}"/>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2" name="Text Box 215151">
          <a:extLst>
            <a:ext uri="{FF2B5EF4-FFF2-40B4-BE49-F238E27FC236}">
              <a16:creationId xmlns:a16="http://schemas.microsoft.com/office/drawing/2014/main" id="{97B7097B-67F4-465E-A4F9-59098F4096DE}"/>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3" name="Text Box 215152">
          <a:extLst>
            <a:ext uri="{FF2B5EF4-FFF2-40B4-BE49-F238E27FC236}">
              <a16:creationId xmlns:a16="http://schemas.microsoft.com/office/drawing/2014/main" id="{EECF3C77-B469-471A-ADF9-2D4C2798AE71}"/>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4" name="Text Box 215153">
          <a:extLst>
            <a:ext uri="{FF2B5EF4-FFF2-40B4-BE49-F238E27FC236}">
              <a16:creationId xmlns:a16="http://schemas.microsoft.com/office/drawing/2014/main" id="{CE3195C6-1141-4A1D-93D9-731C7DCFE9A6}"/>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5" name="Text Box 215154">
          <a:extLst>
            <a:ext uri="{FF2B5EF4-FFF2-40B4-BE49-F238E27FC236}">
              <a16:creationId xmlns:a16="http://schemas.microsoft.com/office/drawing/2014/main" id="{07885EDA-A772-47AB-912B-FB38923B43D2}"/>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6" name="Text Box 215155">
          <a:extLst>
            <a:ext uri="{FF2B5EF4-FFF2-40B4-BE49-F238E27FC236}">
              <a16:creationId xmlns:a16="http://schemas.microsoft.com/office/drawing/2014/main" id="{28173530-F626-41C9-8C22-7F8F75A71E00}"/>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7" name="Text Box 215156">
          <a:extLst>
            <a:ext uri="{FF2B5EF4-FFF2-40B4-BE49-F238E27FC236}">
              <a16:creationId xmlns:a16="http://schemas.microsoft.com/office/drawing/2014/main" id="{BCA49336-3DD0-41DB-9C38-B80A10D7B82D}"/>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8" name="Text Box 215157">
          <a:extLst>
            <a:ext uri="{FF2B5EF4-FFF2-40B4-BE49-F238E27FC236}">
              <a16:creationId xmlns:a16="http://schemas.microsoft.com/office/drawing/2014/main" id="{63DB10AE-D733-455E-AFF9-33282043B415}"/>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49" name="Text Box 215158">
          <a:extLst>
            <a:ext uri="{FF2B5EF4-FFF2-40B4-BE49-F238E27FC236}">
              <a16:creationId xmlns:a16="http://schemas.microsoft.com/office/drawing/2014/main" id="{CA85A617-489F-4FE5-8FCD-D2E4FA11E240}"/>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0" name="Text Box 215159">
          <a:extLst>
            <a:ext uri="{FF2B5EF4-FFF2-40B4-BE49-F238E27FC236}">
              <a16:creationId xmlns:a16="http://schemas.microsoft.com/office/drawing/2014/main" id="{6A04294D-7E23-48D3-B773-FA9A36EB097E}"/>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1" name="Text Box 215160">
          <a:extLst>
            <a:ext uri="{FF2B5EF4-FFF2-40B4-BE49-F238E27FC236}">
              <a16:creationId xmlns:a16="http://schemas.microsoft.com/office/drawing/2014/main" id="{6404ED3C-9C49-44E2-84A0-4DA21ADD36AA}"/>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2" name="Text Box 215161">
          <a:extLst>
            <a:ext uri="{FF2B5EF4-FFF2-40B4-BE49-F238E27FC236}">
              <a16:creationId xmlns:a16="http://schemas.microsoft.com/office/drawing/2014/main" id="{63BCFDE5-553A-4895-AFF7-2BCD6F83EA5B}"/>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3" name="Text Box 215162">
          <a:extLst>
            <a:ext uri="{FF2B5EF4-FFF2-40B4-BE49-F238E27FC236}">
              <a16:creationId xmlns:a16="http://schemas.microsoft.com/office/drawing/2014/main" id="{879EC5C2-50D7-4C58-8D0B-1E8A2F92CF6C}"/>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4" name="Text Box 215163">
          <a:extLst>
            <a:ext uri="{FF2B5EF4-FFF2-40B4-BE49-F238E27FC236}">
              <a16:creationId xmlns:a16="http://schemas.microsoft.com/office/drawing/2014/main" id="{68084823-710C-470C-9725-8943B2FC46D8}"/>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5" name="Text Box 215164">
          <a:extLst>
            <a:ext uri="{FF2B5EF4-FFF2-40B4-BE49-F238E27FC236}">
              <a16:creationId xmlns:a16="http://schemas.microsoft.com/office/drawing/2014/main" id="{82D34733-54E1-4425-B181-A086566B10D9}"/>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6" name="Text Box 215165">
          <a:extLst>
            <a:ext uri="{FF2B5EF4-FFF2-40B4-BE49-F238E27FC236}">
              <a16:creationId xmlns:a16="http://schemas.microsoft.com/office/drawing/2014/main" id="{112BB742-5458-4D33-9F87-16A2836D7422}"/>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7" name="Text Box 215166">
          <a:extLst>
            <a:ext uri="{FF2B5EF4-FFF2-40B4-BE49-F238E27FC236}">
              <a16:creationId xmlns:a16="http://schemas.microsoft.com/office/drawing/2014/main" id="{D5F857A6-F49F-43FB-AD45-72BFA72703E0}"/>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8" name="Text Box 215167">
          <a:extLst>
            <a:ext uri="{FF2B5EF4-FFF2-40B4-BE49-F238E27FC236}">
              <a16:creationId xmlns:a16="http://schemas.microsoft.com/office/drawing/2014/main" id="{C0689026-C6DF-4C52-91F9-A71C1A92AB00}"/>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59" name="Text Box 215168">
          <a:extLst>
            <a:ext uri="{FF2B5EF4-FFF2-40B4-BE49-F238E27FC236}">
              <a16:creationId xmlns:a16="http://schemas.microsoft.com/office/drawing/2014/main" id="{E4EB948D-EDEE-4BF0-BC5B-1E1789A110A8}"/>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0" name="Text Box 215169">
          <a:extLst>
            <a:ext uri="{FF2B5EF4-FFF2-40B4-BE49-F238E27FC236}">
              <a16:creationId xmlns:a16="http://schemas.microsoft.com/office/drawing/2014/main" id="{8D4B2D5E-126A-441E-B59E-4A219E9D84D7}"/>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1" name="Text Box 215170">
          <a:extLst>
            <a:ext uri="{FF2B5EF4-FFF2-40B4-BE49-F238E27FC236}">
              <a16:creationId xmlns:a16="http://schemas.microsoft.com/office/drawing/2014/main" id="{6727C5A2-6167-4F68-9A50-3126B2F1CA5F}"/>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2" name="Text Box 215171">
          <a:extLst>
            <a:ext uri="{FF2B5EF4-FFF2-40B4-BE49-F238E27FC236}">
              <a16:creationId xmlns:a16="http://schemas.microsoft.com/office/drawing/2014/main" id="{B921C6AE-2154-45A7-B8A6-22F8F7518ED8}"/>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3" name="Text Box 215172">
          <a:extLst>
            <a:ext uri="{FF2B5EF4-FFF2-40B4-BE49-F238E27FC236}">
              <a16:creationId xmlns:a16="http://schemas.microsoft.com/office/drawing/2014/main" id="{5840E3D0-688C-41A1-8C12-79BC1524CCDD}"/>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4" name="Text Box 215173">
          <a:extLst>
            <a:ext uri="{FF2B5EF4-FFF2-40B4-BE49-F238E27FC236}">
              <a16:creationId xmlns:a16="http://schemas.microsoft.com/office/drawing/2014/main" id="{2D34672E-BE6F-4651-8C9C-8B7F05CEE811}"/>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5" name="Text Box 215174">
          <a:extLst>
            <a:ext uri="{FF2B5EF4-FFF2-40B4-BE49-F238E27FC236}">
              <a16:creationId xmlns:a16="http://schemas.microsoft.com/office/drawing/2014/main" id="{682ACFE5-FA7E-4A00-8917-FD66ECB6356D}"/>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6" name="Text Box 215175">
          <a:extLst>
            <a:ext uri="{FF2B5EF4-FFF2-40B4-BE49-F238E27FC236}">
              <a16:creationId xmlns:a16="http://schemas.microsoft.com/office/drawing/2014/main" id="{7E54F694-3DCB-4F0B-918C-EE377DC06710}"/>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7" name="Text Box 215176">
          <a:extLst>
            <a:ext uri="{FF2B5EF4-FFF2-40B4-BE49-F238E27FC236}">
              <a16:creationId xmlns:a16="http://schemas.microsoft.com/office/drawing/2014/main" id="{500B7501-DE1F-477C-B0F6-735C557A6FCF}"/>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8" name="Text Box 215177">
          <a:extLst>
            <a:ext uri="{FF2B5EF4-FFF2-40B4-BE49-F238E27FC236}">
              <a16:creationId xmlns:a16="http://schemas.microsoft.com/office/drawing/2014/main" id="{398A9D4C-DB29-438D-90F2-CA0DA0539F93}"/>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69" name="Text Box 215178">
          <a:extLst>
            <a:ext uri="{FF2B5EF4-FFF2-40B4-BE49-F238E27FC236}">
              <a16:creationId xmlns:a16="http://schemas.microsoft.com/office/drawing/2014/main" id="{B761961C-6C10-43F1-82A5-E7AF7DBABFED}"/>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70" name="Text Box 215179">
          <a:extLst>
            <a:ext uri="{FF2B5EF4-FFF2-40B4-BE49-F238E27FC236}">
              <a16:creationId xmlns:a16="http://schemas.microsoft.com/office/drawing/2014/main" id="{D1BC47A4-03C1-4F8C-8FE3-1B541687AE8C}"/>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71" name="Text Box 215180">
          <a:extLst>
            <a:ext uri="{FF2B5EF4-FFF2-40B4-BE49-F238E27FC236}">
              <a16:creationId xmlns:a16="http://schemas.microsoft.com/office/drawing/2014/main" id="{5B52E13C-6218-4D5D-81F3-90786A60A9C6}"/>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72" name="Text Box 215181">
          <a:extLst>
            <a:ext uri="{FF2B5EF4-FFF2-40B4-BE49-F238E27FC236}">
              <a16:creationId xmlns:a16="http://schemas.microsoft.com/office/drawing/2014/main" id="{30BA39AF-7F26-493D-87F1-65DD5792FBEC}"/>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73" name="Text Box 215182">
          <a:extLst>
            <a:ext uri="{FF2B5EF4-FFF2-40B4-BE49-F238E27FC236}">
              <a16:creationId xmlns:a16="http://schemas.microsoft.com/office/drawing/2014/main" id="{B9845EC8-087D-453F-83D7-894F7C4743B2}"/>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74" name="Text Box 215183">
          <a:extLst>
            <a:ext uri="{FF2B5EF4-FFF2-40B4-BE49-F238E27FC236}">
              <a16:creationId xmlns:a16="http://schemas.microsoft.com/office/drawing/2014/main" id="{76565D3E-3A5C-403F-A1EE-677944BDA9B0}"/>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589</xdr:row>
      <xdr:rowOff>0</xdr:rowOff>
    </xdr:from>
    <xdr:to>
      <xdr:col>2</xdr:col>
      <xdr:colOff>3467100</xdr:colOff>
      <xdr:row>590</xdr:row>
      <xdr:rowOff>323851</xdr:rowOff>
    </xdr:to>
    <xdr:sp macro="" textlink="">
      <xdr:nvSpPr>
        <xdr:cNvPr id="75" name="Text Box 215184">
          <a:extLst>
            <a:ext uri="{FF2B5EF4-FFF2-40B4-BE49-F238E27FC236}">
              <a16:creationId xmlns:a16="http://schemas.microsoft.com/office/drawing/2014/main" id="{74A6D472-9DBF-4E13-990A-F26DEE2C26C9}"/>
            </a:ext>
          </a:extLst>
        </xdr:cNvPr>
        <xdr:cNvSpPr txBox="1">
          <a:spLocks noChangeArrowheads="1"/>
        </xdr:cNvSpPr>
      </xdr:nvSpPr>
      <xdr:spPr bwMode="auto">
        <a:xfrm>
          <a:off x="3676650" y="215779350"/>
          <a:ext cx="276225"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143996</xdr:rowOff>
    </xdr:to>
    <xdr:sp macro="" textlink="">
      <xdr:nvSpPr>
        <xdr:cNvPr id="76" name="Text Box 418">
          <a:extLst>
            <a:ext uri="{FF2B5EF4-FFF2-40B4-BE49-F238E27FC236}">
              <a16:creationId xmlns:a16="http://schemas.microsoft.com/office/drawing/2014/main" id="{A930DC17-3845-4A18-9682-D9BECE3809C6}"/>
            </a:ext>
          </a:extLst>
        </xdr:cNvPr>
        <xdr:cNvSpPr txBox="1">
          <a:spLocks noChangeArrowheads="1"/>
        </xdr:cNvSpPr>
      </xdr:nvSpPr>
      <xdr:spPr bwMode="auto">
        <a:xfrm>
          <a:off x="3676650" y="150209250"/>
          <a:ext cx="0" cy="42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143996</xdr:rowOff>
    </xdr:to>
    <xdr:sp macro="" textlink="">
      <xdr:nvSpPr>
        <xdr:cNvPr id="77" name="Text Box 419">
          <a:extLst>
            <a:ext uri="{FF2B5EF4-FFF2-40B4-BE49-F238E27FC236}">
              <a16:creationId xmlns:a16="http://schemas.microsoft.com/office/drawing/2014/main" id="{17C48091-74B5-45C2-8658-5288B34664EB}"/>
            </a:ext>
          </a:extLst>
        </xdr:cNvPr>
        <xdr:cNvSpPr txBox="1">
          <a:spLocks noChangeArrowheads="1"/>
        </xdr:cNvSpPr>
      </xdr:nvSpPr>
      <xdr:spPr bwMode="auto">
        <a:xfrm>
          <a:off x="3676650" y="150209250"/>
          <a:ext cx="0" cy="42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143996</xdr:rowOff>
    </xdr:to>
    <xdr:sp macro="" textlink="">
      <xdr:nvSpPr>
        <xdr:cNvPr id="78" name="Text Box 420">
          <a:extLst>
            <a:ext uri="{FF2B5EF4-FFF2-40B4-BE49-F238E27FC236}">
              <a16:creationId xmlns:a16="http://schemas.microsoft.com/office/drawing/2014/main" id="{3045FE02-A19F-483F-A2EC-470BDD6697E6}"/>
            </a:ext>
          </a:extLst>
        </xdr:cNvPr>
        <xdr:cNvSpPr txBox="1">
          <a:spLocks noChangeArrowheads="1"/>
        </xdr:cNvSpPr>
      </xdr:nvSpPr>
      <xdr:spPr bwMode="auto">
        <a:xfrm>
          <a:off x="3676650" y="150209250"/>
          <a:ext cx="0" cy="42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143996</xdr:rowOff>
    </xdr:to>
    <xdr:sp macro="" textlink="">
      <xdr:nvSpPr>
        <xdr:cNvPr id="79" name="Text Box 421">
          <a:extLst>
            <a:ext uri="{FF2B5EF4-FFF2-40B4-BE49-F238E27FC236}">
              <a16:creationId xmlns:a16="http://schemas.microsoft.com/office/drawing/2014/main" id="{5342C4F7-796D-4791-BDD6-D4C20B3C6D0F}"/>
            </a:ext>
          </a:extLst>
        </xdr:cNvPr>
        <xdr:cNvSpPr txBox="1">
          <a:spLocks noChangeArrowheads="1"/>
        </xdr:cNvSpPr>
      </xdr:nvSpPr>
      <xdr:spPr bwMode="auto">
        <a:xfrm>
          <a:off x="3676650" y="150209250"/>
          <a:ext cx="0" cy="42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143996</xdr:rowOff>
    </xdr:to>
    <xdr:sp macro="" textlink="">
      <xdr:nvSpPr>
        <xdr:cNvPr id="80" name="Text Box 865">
          <a:extLst>
            <a:ext uri="{FF2B5EF4-FFF2-40B4-BE49-F238E27FC236}">
              <a16:creationId xmlns:a16="http://schemas.microsoft.com/office/drawing/2014/main" id="{C72FAA55-97B6-4195-9671-E73DBD3F664F}"/>
            </a:ext>
          </a:extLst>
        </xdr:cNvPr>
        <xdr:cNvSpPr txBox="1">
          <a:spLocks noChangeArrowheads="1"/>
        </xdr:cNvSpPr>
      </xdr:nvSpPr>
      <xdr:spPr bwMode="auto">
        <a:xfrm>
          <a:off x="3676650" y="150209250"/>
          <a:ext cx="0" cy="42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3190875</xdr:colOff>
      <xdr:row>423</xdr:row>
      <xdr:rowOff>0</xdr:rowOff>
    </xdr:from>
    <xdr:to>
      <xdr:col>2</xdr:col>
      <xdr:colOff>3190875</xdr:colOff>
      <xdr:row>424</xdr:row>
      <xdr:rowOff>143996</xdr:rowOff>
    </xdr:to>
    <xdr:sp macro="" textlink="">
      <xdr:nvSpPr>
        <xdr:cNvPr id="81" name="Text Box 866">
          <a:extLst>
            <a:ext uri="{FF2B5EF4-FFF2-40B4-BE49-F238E27FC236}">
              <a16:creationId xmlns:a16="http://schemas.microsoft.com/office/drawing/2014/main" id="{E63920F9-9192-4E38-9A94-FB03920AC1F6}"/>
            </a:ext>
          </a:extLst>
        </xdr:cNvPr>
        <xdr:cNvSpPr txBox="1">
          <a:spLocks noChangeArrowheads="1"/>
        </xdr:cNvSpPr>
      </xdr:nvSpPr>
      <xdr:spPr bwMode="auto">
        <a:xfrm>
          <a:off x="3676650" y="150209250"/>
          <a:ext cx="0" cy="42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82" name="Text Box 389">
          <a:extLst>
            <a:ext uri="{FF2B5EF4-FFF2-40B4-BE49-F238E27FC236}">
              <a16:creationId xmlns:a16="http://schemas.microsoft.com/office/drawing/2014/main" id="{0EE832BA-98E4-4D18-95D0-7D628E4585DD}"/>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83" name="Text Box 390">
          <a:extLst>
            <a:ext uri="{FF2B5EF4-FFF2-40B4-BE49-F238E27FC236}">
              <a16:creationId xmlns:a16="http://schemas.microsoft.com/office/drawing/2014/main" id="{44352FDD-B9F2-4386-930C-CCEAC3240EF3}"/>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84" name="Text Box 391">
          <a:extLst>
            <a:ext uri="{FF2B5EF4-FFF2-40B4-BE49-F238E27FC236}">
              <a16:creationId xmlns:a16="http://schemas.microsoft.com/office/drawing/2014/main" id="{9072D2AF-E2E0-43FE-89B0-6CDEBB24CBB4}"/>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85" name="Text Box 392">
          <a:extLst>
            <a:ext uri="{FF2B5EF4-FFF2-40B4-BE49-F238E27FC236}">
              <a16:creationId xmlns:a16="http://schemas.microsoft.com/office/drawing/2014/main" id="{BB32EBD8-7C76-4A0D-A9CE-AE8B1E5098A4}"/>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86" name="Text Box 1249">
          <a:extLst>
            <a:ext uri="{FF2B5EF4-FFF2-40B4-BE49-F238E27FC236}">
              <a16:creationId xmlns:a16="http://schemas.microsoft.com/office/drawing/2014/main" id="{0DAC5D26-3AD8-4431-9D14-55286A9E5294}"/>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87" name="Text Box 1250">
          <a:extLst>
            <a:ext uri="{FF2B5EF4-FFF2-40B4-BE49-F238E27FC236}">
              <a16:creationId xmlns:a16="http://schemas.microsoft.com/office/drawing/2014/main" id="{AC7C2567-FCD4-46A4-A07C-B4E73C4586E8}"/>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88" name="Text Box 389">
          <a:extLst>
            <a:ext uri="{FF2B5EF4-FFF2-40B4-BE49-F238E27FC236}">
              <a16:creationId xmlns:a16="http://schemas.microsoft.com/office/drawing/2014/main" id="{3A95003B-9A64-4518-913B-4DD67050AFAD}"/>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89" name="Text Box 390">
          <a:extLst>
            <a:ext uri="{FF2B5EF4-FFF2-40B4-BE49-F238E27FC236}">
              <a16:creationId xmlns:a16="http://schemas.microsoft.com/office/drawing/2014/main" id="{0C46B9C4-CAE2-48D9-8B16-1BBB1D7D5362}"/>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90" name="Text Box 391">
          <a:extLst>
            <a:ext uri="{FF2B5EF4-FFF2-40B4-BE49-F238E27FC236}">
              <a16:creationId xmlns:a16="http://schemas.microsoft.com/office/drawing/2014/main" id="{68611A9A-684C-418B-9E83-FAB69CEE113A}"/>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91" name="Text Box 392">
          <a:extLst>
            <a:ext uri="{FF2B5EF4-FFF2-40B4-BE49-F238E27FC236}">
              <a16:creationId xmlns:a16="http://schemas.microsoft.com/office/drawing/2014/main" id="{BAB67029-56C4-4602-B470-687525E97BB4}"/>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92" name="Text Box 1249">
          <a:extLst>
            <a:ext uri="{FF2B5EF4-FFF2-40B4-BE49-F238E27FC236}">
              <a16:creationId xmlns:a16="http://schemas.microsoft.com/office/drawing/2014/main" id="{4A4CD82F-530C-46C4-8702-BA028E9A6D6C}"/>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93" name="Text Box 1250">
          <a:extLst>
            <a:ext uri="{FF2B5EF4-FFF2-40B4-BE49-F238E27FC236}">
              <a16:creationId xmlns:a16="http://schemas.microsoft.com/office/drawing/2014/main" id="{95E5C9BA-4234-45FD-AB4F-EBEFBAC8041C}"/>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94" name="Text Box 389">
          <a:extLst>
            <a:ext uri="{FF2B5EF4-FFF2-40B4-BE49-F238E27FC236}">
              <a16:creationId xmlns:a16="http://schemas.microsoft.com/office/drawing/2014/main" id="{885AA6B7-2B16-47CB-99C0-F2CA165F816F}"/>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95" name="Text Box 390">
          <a:extLst>
            <a:ext uri="{FF2B5EF4-FFF2-40B4-BE49-F238E27FC236}">
              <a16:creationId xmlns:a16="http://schemas.microsoft.com/office/drawing/2014/main" id="{F83EAD8C-BBE9-4298-BDD1-86E9CF8FD79E}"/>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96" name="Text Box 391">
          <a:extLst>
            <a:ext uri="{FF2B5EF4-FFF2-40B4-BE49-F238E27FC236}">
              <a16:creationId xmlns:a16="http://schemas.microsoft.com/office/drawing/2014/main" id="{361EC504-AE8B-4819-A8EB-ED461D9B82A4}"/>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97" name="Text Box 392">
          <a:extLst>
            <a:ext uri="{FF2B5EF4-FFF2-40B4-BE49-F238E27FC236}">
              <a16:creationId xmlns:a16="http://schemas.microsoft.com/office/drawing/2014/main" id="{A3CD624A-BCCC-42E2-80C2-EB986EA9DE26}"/>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98" name="Text Box 1249">
          <a:extLst>
            <a:ext uri="{FF2B5EF4-FFF2-40B4-BE49-F238E27FC236}">
              <a16:creationId xmlns:a16="http://schemas.microsoft.com/office/drawing/2014/main" id="{EBF8DC12-171B-402B-AE67-746873E0AEF4}"/>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431</xdr:row>
      <xdr:rowOff>0</xdr:rowOff>
    </xdr:from>
    <xdr:to>
      <xdr:col>5</xdr:col>
      <xdr:colOff>581025</xdr:colOff>
      <xdr:row>431</xdr:row>
      <xdr:rowOff>95250</xdr:rowOff>
    </xdr:to>
    <xdr:sp macro="" textlink="">
      <xdr:nvSpPr>
        <xdr:cNvPr id="99" name="Text Box 1250">
          <a:extLst>
            <a:ext uri="{FF2B5EF4-FFF2-40B4-BE49-F238E27FC236}">
              <a16:creationId xmlns:a16="http://schemas.microsoft.com/office/drawing/2014/main" id="{FAA352DB-777B-4095-B433-0943566CE9E0}"/>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100" name="Text Box 389">
          <a:extLst>
            <a:ext uri="{FF2B5EF4-FFF2-40B4-BE49-F238E27FC236}">
              <a16:creationId xmlns:a16="http://schemas.microsoft.com/office/drawing/2014/main" id="{B5D33575-E629-4573-AE58-383493DEA5B6}"/>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101" name="Text Box 390">
          <a:extLst>
            <a:ext uri="{FF2B5EF4-FFF2-40B4-BE49-F238E27FC236}">
              <a16:creationId xmlns:a16="http://schemas.microsoft.com/office/drawing/2014/main" id="{8F06D600-2BAE-4688-9674-4C3795E8B408}"/>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102" name="Text Box 391">
          <a:extLst>
            <a:ext uri="{FF2B5EF4-FFF2-40B4-BE49-F238E27FC236}">
              <a16:creationId xmlns:a16="http://schemas.microsoft.com/office/drawing/2014/main" id="{76A1F08D-A626-433D-B541-3A1FBCA25F52}"/>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103" name="Text Box 392">
          <a:extLst>
            <a:ext uri="{FF2B5EF4-FFF2-40B4-BE49-F238E27FC236}">
              <a16:creationId xmlns:a16="http://schemas.microsoft.com/office/drawing/2014/main" id="{32D08689-54E1-428F-A543-CCFAECA91F3A}"/>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104" name="Text Box 1249">
          <a:extLst>
            <a:ext uri="{FF2B5EF4-FFF2-40B4-BE49-F238E27FC236}">
              <a16:creationId xmlns:a16="http://schemas.microsoft.com/office/drawing/2014/main" id="{A4FADF79-F077-4A4B-ACE6-55D915E764D0}"/>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3190875</xdr:colOff>
      <xdr:row>433</xdr:row>
      <xdr:rowOff>0</xdr:rowOff>
    </xdr:from>
    <xdr:to>
      <xdr:col>5</xdr:col>
      <xdr:colOff>581025</xdr:colOff>
      <xdr:row>433</xdr:row>
      <xdr:rowOff>95250</xdr:rowOff>
    </xdr:to>
    <xdr:sp macro="" textlink="">
      <xdr:nvSpPr>
        <xdr:cNvPr id="105" name="Text Box 1250">
          <a:extLst>
            <a:ext uri="{FF2B5EF4-FFF2-40B4-BE49-F238E27FC236}">
              <a16:creationId xmlns:a16="http://schemas.microsoft.com/office/drawing/2014/main" id="{58294536-C7FC-464B-8EC6-432441083141}"/>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431</xdr:row>
      <xdr:rowOff>0</xdr:rowOff>
    </xdr:from>
    <xdr:ext cx="1095375" cy="95250"/>
    <xdr:sp macro="" textlink="">
      <xdr:nvSpPr>
        <xdr:cNvPr id="106" name="Text Box 389">
          <a:extLst>
            <a:ext uri="{FF2B5EF4-FFF2-40B4-BE49-F238E27FC236}">
              <a16:creationId xmlns:a16="http://schemas.microsoft.com/office/drawing/2014/main" id="{EE457997-29E7-4A46-8986-E65C5B2B0E8A}"/>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07" name="Text Box 390">
          <a:extLst>
            <a:ext uri="{FF2B5EF4-FFF2-40B4-BE49-F238E27FC236}">
              <a16:creationId xmlns:a16="http://schemas.microsoft.com/office/drawing/2014/main" id="{9F108244-C8BD-4C37-86C3-9B876007FB7D}"/>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08" name="Text Box 391">
          <a:extLst>
            <a:ext uri="{FF2B5EF4-FFF2-40B4-BE49-F238E27FC236}">
              <a16:creationId xmlns:a16="http://schemas.microsoft.com/office/drawing/2014/main" id="{8863EF6D-2181-46D3-A758-C5CCBBF5B530}"/>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09" name="Text Box 392">
          <a:extLst>
            <a:ext uri="{FF2B5EF4-FFF2-40B4-BE49-F238E27FC236}">
              <a16:creationId xmlns:a16="http://schemas.microsoft.com/office/drawing/2014/main" id="{42B7F623-0A23-4EA2-8789-61ACA4513255}"/>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10" name="Text Box 1249">
          <a:extLst>
            <a:ext uri="{FF2B5EF4-FFF2-40B4-BE49-F238E27FC236}">
              <a16:creationId xmlns:a16="http://schemas.microsoft.com/office/drawing/2014/main" id="{6E7DA4B9-013F-4E7B-836F-9B63E2AF36F7}"/>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11" name="Text Box 1250">
          <a:extLst>
            <a:ext uri="{FF2B5EF4-FFF2-40B4-BE49-F238E27FC236}">
              <a16:creationId xmlns:a16="http://schemas.microsoft.com/office/drawing/2014/main" id="{CC42121B-007B-431B-BE35-77787D7277DF}"/>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12" name="Text Box 389">
          <a:extLst>
            <a:ext uri="{FF2B5EF4-FFF2-40B4-BE49-F238E27FC236}">
              <a16:creationId xmlns:a16="http://schemas.microsoft.com/office/drawing/2014/main" id="{E06ABB55-F8A3-4CFA-8A29-4A78E11F7EF4}"/>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13" name="Text Box 390">
          <a:extLst>
            <a:ext uri="{FF2B5EF4-FFF2-40B4-BE49-F238E27FC236}">
              <a16:creationId xmlns:a16="http://schemas.microsoft.com/office/drawing/2014/main" id="{148E784D-9268-4F0D-990C-630E3FE257F8}"/>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14" name="Text Box 391">
          <a:extLst>
            <a:ext uri="{FF2B5EF4-FFF2-40B4-BE49-F238E27FC236}">
              <a16:creationId xmlns:a16="http://schemas.microsoft.com/office/drawing/2014/main" id="{29D79EE6-3DF1-49DE-AFBB-6BBCA8CA72E0}"/>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15" name="Text Box 392">
          <a:extLst>
            <a:ext uri="{FF2B5EF4-FFF2-40B4-BE49-F238E27FC236}">
              <a16:creationId xmlns:a16="http://schemas.microsoft.com/office/drawing/2014/main" id="{54640E7A-53A4-4269-95B1-A5F14857AFA1}"/>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16" name="Text Box 1249">
          <a:extLst>
            <a:ext uri="{FF2B5EF4-FFF2-40B4-BE49-F238E27FC236}">
              <a16:creationId xmlns:a16="http://schemas.microsoft.com/office/drawing/2014/main" id="{FCE4FB27-0856-4E2A-9235-004D030BF647}"/>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17" name="Text Box 1250">
          <a:extLst>
            <a:ext uri="{FF2B5EF4-FFF2-40B4-BE49-F238E27FC236}">
              <a16:creationId xmlns:a16="http://schemas.microsoft.com/office/drawing/2014/main" id="{6D414925-578F-4250-BB63-516F5BBD5997}"/>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18" name="Text Box 389">
          <a:extLst>
            <a:ext uri="{FF2B5EF4-FFF2-40B4-BE49-F238E27FC236}">
              <a16:creationId xmlns:a16="http://schemas.microsoft.com/office/drawing/2014/main" id="{4DB44FAA-CC1E-4BF7-8EF8-33217F8CB89F}"/>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19" name="Text Box 390">
          <a:extLst>
            <a:ext uri="{FF2B5EF4-FFF2-40B4-BE49-F238E27FC236}">
              <a16:creationId xmlns:a16="http://schemas.microsoft.com/office/drawing/2014/main" id="{7D4C69FB-52C2-48AB-BCAD-0E609A70960A}"/>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20" name="Text Box 391">
          <a:extLst>
            <a:ext uri="{FF2B5EF4-FFF2-40B4-BE49-F238E27FC236}">
              <a16:creationId xmlns:a16="http://schemas.microsoft.com/office/drawing/2014/main" id="{95233532-0899-4B93-90A8-85A5373CBA66}"/>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21" name="Text Box 392">
          <a:extLst>
            <a:ext uri="{FF2B5EF4-FFF2-40B4-BE49-F238E27FC236}">
              <a16:creationId xmlns:a16="http://schemas.microsoft.com/office/drawing/2014/main" id="{776FECBE-BBBA-469E-AF03-364E11830101}"/>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22" name="Text Box 1249">
          <a:extLst>
            <a:ext uri="{FF2B5EF4-FFF2-40B4-BE49-F238E27FC236}">
              <a16:creationId xmlns:a16="http://schemas.microsoft.com/office/drawing/2014/main" id="{C23B2190-54C7-4AA0-A1F8-447CADCFEE80}"/>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431</xdr:row>
      <xdr:rowOff>0</xdr:rowOff>
    </xdr:from>
    <xdr:ext cx="1095375" cy="95250"/>
    <xdr:sp macro="" textlink="">
      <xdr:nvSpPr>
        <xdr:cNvPr id="123" name="Text Box 1250">
          <a:extLst>
            <a:ext uri="{FF2B5EF4-FFF2-40B4-BE49-F238E27FC236}">
              <a16:creationId xmlns:a16="http://schemas.microsoft.com/office/drawing/2014/main" id="{0B917CC1-3523-4788-8310-C05D689BC8C9}"/>
            </a:ext>
          </a:extLst>
        </xdr:cNvPr>
        <xdr:cNvSpPr txBox="1">
          <a:spLocks noChangeArrowheads="1"/>
        </xdr:cNvSpPr>
      </xdr:nvSpPr>
      <xdr:spPr bwMode="auto">
        <a:xfrm>
          <a:off x="4514850" y="1526667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24" name="Text Box 389">
          <a:extLst>
            <a:ext uri="{FF2B5EF4-FFF2-40B4-BE49-F238E27FC236}">
              <a16:creationId xmlns:a16="http://schemas.microsoft.com/office/drawing/2014/main" id="{33E7F8D6-4F46-4143-8D58-DEC4B933E660}"/>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25" name="Text Box 390">
          <a:extLst>
            <a:ext uri="{FF2B5EF4-FFF2-40B4-BE49-F238E27FC236}">
              <a16:creationId xmlns:a16="http://schemas.microsoft.com/office/drawing/2014/main" id="{EEDC0DC6-EC3D-4A8D-BF67-CF07408BDEDB}"/>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26" name="Text Box 391">
          <a:extLst>
            <a:ext uri="{FF2B5EF4-FFF2-40B4-BE49-F238E27FC236}">
              <a16:creationId xmlns:a16="http://schemas.microsoft.com/office/drawing/2014/main" id="{4A60113E-789F-4CDF-B482-C9CAD3E1FEFF}"/>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27" name="Text Box 392">
          <a:extLst>
            <a:ext uri="{FF2B5EF4-FFF2-40B4-BE49-F238E27FC236}">
              <a16:creationId xmlns:a16="http://schemas.microsoft.com/office/drawing/2014/main" id="{DE11A8B7-8F50-4B49-B95C-7CADC910E6EF}"/>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28" name="Text Box 1249">
          <a:extLst>
            <a:ext uri="{FF2B5EF4-FFF2-40B4-BE49-F238E27FC236}">
              <a16:creationId xmlns:a16="http://schemas.microsoft.com/office/drawing/2014/main" id="{68B50116-BB1D-4FC7-86AE-365630A15F25}"/>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433</xdr:row>
      <xdr:rowOff>0</xdr:rowOff>
    </xdr:from>
    <xdr:ext cx="1095375" cy="95250"/>
    <xdr:sp macro="" textlink="">
      <xdr:nvSpPr>
        <xdr:cNvPr id="129" name="Text Box 1250">
          <a:extLst>
            <a:ext uri="{FF2B5EF4-FFF2-40B4-BE49-F238E27FC236}">
              <a16:creationId xmlns:a16="http://schemas.microsoft.com/office/drawing/2014/main" id="{0747853F-BBE1-493D-A9FF-3077A31DC975}"/>
            </a:ext>
          </a:extLst>
        </xdr:cNvPr>
        <xdr:cNvSpPr txBox="1">
          <a:spLocks noChangeArrowheads="1"/>
        </xdr:cNvSpPr>
      </xdr:nvSpPr>
      <xdr:spPr bwMode="auto">
        <a:xfrm>
          <a:off x="451485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0" name="Text Box 389">
          <a:extLst>
            <a:ext uri="{FF2B5EF4-FFF2-40B4-BE49-F238E27FC236}">
              <a16:creationId xmlns:a16="http://schemas.microsoft.com/office/drawing/2014/main" id="{4C01432A-6F89-4DA4-AC08-AE15C2CB0D5B}"/>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1" name="Text Box 390">
          <a:extLst>
            <a:ext uri="{FF2B5EF4-FFF2-40B4-BE49-F238E27FC236}">
              <a16:creationId xmlns:a16="http://schemas.microsoft.com/office/drawing/2014/main" id="{690F56E0-E5AA-421F-886E-A1289A5FA600}"/>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2" name="Text Box 391">
          <a:extLst>
            <a:ext uri="{FF2B5EF4-FFF2-40B4-BE49-F238E27FC236}">
              <a16:creationId xmlns:a16="http://schemas.microsoft.com/office/drawing/2014/main" id="{B6BE7CC0-9839-4C27-8509-1EFF0286111B}"/>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3" name="Text Box 392">
          <a:extLst>
            <a:ext uri="{FF2B5EF4-FFF2-40B4-BE49-F238E27FC236}">
              <a16:creationId xmlns:a16="http://schemas.microsoft.com/office/drawing/2014/main" id="{D2D1F026-593D-49C6-A4C1-454F68D49874}"/>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4" name="Text Box 1249">
          <a:extLst>
            <a:ext uri="{FF2B5EF4-FFF2-40B4-BE49-F238E27FC236}">
              <a16:creationId xmlns:a16="http://schemas.microsoft.com/office/drawing/2014/main" id="{A46386E1-47F5-4E06-B147-5A59A10E6B20}"/>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5" name="Text Box 1250">
          <a:extLst>
            <a:ext uri="{FF2B5EF4-FFF2-40B4-BE49-F238E27FC236}">
              <a16:creationId xmlns:a16="http://schemas.microsoft.com/office/drawing/2014/main" id="{042EE76A-73B4-4B1F-AA96-9DE29A6AFCB8}"/>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6" name="Text Box 389">
          <a:extLst>
            <a:ext uri="{FF2B5EF4-FFF2-40B4-BE49-F238E27FC236}">
              <a16:creationId xmlns:a16="http://schemas.microsoft.com/office/drawing/2014/main" id="{FD0ED002-9768-412D-99D7-3094ED22A2D9}"/>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7" name="Text Box 390">
          <a:extLst>
            <a:ext uri="{FF2B5EF4-FFF2-40B4-BE49-F238E27FC236}">
              <a16:creationId xmlns:a16="http://schemas.microsoft.com/office/drawing/2014/main" id="{B187F5B8-251B-4968-A7E2-BA73AAF0C282}"/>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8" name="Text Box 391">
          <a:extLst>
            <a:ext uri="{FF2B5EF4-FFF2-40B4-BE49-F238E27FC236}">
              <a16:creationId xmlns:a16="http://schemas.microsoft.com/office/drawing/2014/main" id="{AC24A4A6-5CA5-4441-B927-458A73F906FC}"/>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39" name="Text Box 392">
          <a:extLst>
            <a:ext uri="{FF2B5EF4-FFF2-40B4-BE49-F238E27FC236}">
              <a16:creationId xmlns:a16="http://schemas.microsoft.com/office/drawing/2014/main" id="{9C877C61-FF89-4E55-8804-DE0399BE40D4}"/>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40" name="Text Box 1249">
          <a:extLst>
            <a:ext uri="{FF2B5EF4-FFF2-40B4-BE49-F238E27FC236}">
              <a16:creationId xmlns:a16="http://schemas.microsoft.com/office/drawing/2014/main" id="{3945207E-1D6D-4BA9-9FB6-0F83F352DC2B}"/>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434</xdr:row>
      <xdr:rowOff>0</xdr:rowOff>
    </xdr:from>
    <xdr:ext cx="1095375" cy="95250"/>
    <xdr:sp macro="" textlink="">
      <xdr:nvSpPr>
        <xdr:cNvPr id="141" name="Text Box 1250">
          <a:extLst>
            <a:ext uri="{FF2B5EF4-FFF2-40B4-BE49-F238E27FC236}">
              <a16:creationId xmlns:a16="http://schemas.microsoft.com/office/drawing/2014/main" id="{83255A52-889D-4A87-B791-18B11E22CBC4}"/>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2" name="Text Box 389">
          <a:extLst>
            <a:ext uri="{FF2B5EF4-FFF2-40B4-BE49-F238E27FC236}">
              <a16:creationId xmlns:a16="http://schemas.microsoft.com/office/drawing/2014/main" id="{BA29BD77-7285-4415-B983-180435C63FA7}"/>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3" name="Text Box 390">
          <a:extLst>
            <a:ext uri="{FF2B5EF4-FFF2-40B4-BE49-F238E27FC236}">
              <a16:creationId xmlns:a16="http://schemas.microsoft.com/office/drawing/2014/main" id="{3C12A522-8888-42E1-880C-8D2FAD1DABD3}"/>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4" name="Text Box 391">
          <a:extLst>
            <a:ext uri="{FF2B5EF4-FFF2-40B4-BE49-F238E27FC236}">
              <a16:creationId xmlns:a16="http://schemas.microsoft.com/office/drawing/2014/main" id="{E0D1B488-761A-4027-A982-EEB1E25CBFE5}"/>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5" name="Text Box 392">
          <a:extLst>
            <a:ext uri="{FF2B5EF4-FFF2-40B4-BE49-F238E27FC236}">
              <a16:creationId xmlns:a16="http://schemas.microsoft.com/office/drawing/2014/main" id="{336D9656-4123-4AEF-BB80-BABE76F49274}"/>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6" name="Text Box 1249">
          <a:extLst>
            <a:ext uri="{FF2B5EF4-FFF2-40B4-BE49-F238E27FC236}">
              <a16:creationId xmlns:a16="http://schemas.microsoft.com/office/drawing/2014/main" id="{DFB3FFDD-E16F-4E0C-BDEE-B9090E2875A2}"/>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7" name="Text Box 1250">
          <a:extLst>
            <a:ext uri="{FF2B5EF4-FFF2-40B4-BE49-F238E27FC236}">
              <a16:creationId xmlns:a16="http://schemas.microsoft.com/office/drawing/2014/main" id="{7D164B68-8F1E-4B0E-9214-D855D909EC0F}"/>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8" name="Text Box 389">
          <a:extLst>
            <a:ext uri="{FF2B5EF4-FFF2-40B4-BE49-F238E27FC236}">
              <a16:creationId xmlns:a16="http://schemas.microsoft.com/office/drawing/2014/main" id="{6B8D2446-8DFD-4E5B-A6EB-7AA8F432F9DF}"/>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49" name="Text Box 390">
          <a:extLst>
            <a:ext uri="{FF2B5EF4-FFF2-40B4-BE49-F238E27FC236}">
              <a16:creationId xmlns:a16="http://schemas.microsoft.com/office/drawing/2014/main" id="{62B9AA5B-D077-4BD9-980F-00F4889AC065}"/>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50" name="Text Box 391">
          <a:extLst>
            <a:ext uri="{FF2B5EF4-FFF2-40B4-BE49-F238E27FC236}">
              <a16:creationId xmlns:a16="http://schemas.microsoft.com/office/drawing/2014/main" id="{6F1DBF23-12C2-4E2C-B243-4C896D077CD6}"/>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51" name="Text Box 392">
          <a:extLst>
            <a:ext uri="{FF2B5EF4-FFF2-40B4-BE49-F238E27FC236}">
              <a16:creationId xmlns:a16="http://schemas.microsoft.com/office/drawing/2014/main" id="{EA3AD963-E205-4223-9033-CBB8191A5354}"/>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434</xdr:row>
      <xdr:rowOff>0</xdr:rowOff>
    </xdr:from>
    <xdr:ext cx="1095375" cy="95250"/>
    <xdr:sp macro="" textlink="">
      <xdr:nvSpPr>
        <xdr:cNvPr id="152" name="Text Box 1249">
          <a:extLst>
            <a:ext uri="{FF2B5EF4-FFF2-40B4-BE49-F238E27FC236}">
              <a16:creationId xmlns:a16="http://schemas.microsoft.com/office/drawing/2014/main" id="{C49BAF1F-72AA-4BD8-B8F4-77060F4826EF}"/>
            </a:ext>
          </a:extLst>
        </xdr:cNvPr>
        <xdr:cNvSpPr txBox="1">
          <a:spLocks noChangeArrowheads="1"/>
        </xdr:cNvSpPr>
      </xdr:nvSpPr>
      <xdr:spPr bwMode="auto">
        <a:xfrm>
          <a:off x="451485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3" name="Text Box 389">
          <a:extLst>
            <a:ext uri="{FF2B5EF4-FFF2-40B4-BE49-F238E27FC236}">
              <a16:creationId xmlns:a16="http://schemas.microsoft.com/office/drawing/2014/main" id="{F0F2F983-F4CA-4199-8CA5-302268E4BC9F}"/>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4" name="Text Box 390">
          <a:extLst>
            <a:ext uri="{FF2B5EF4-FFF2-40B4-BE49-F238E27FC236}">
              <a16:creationId xmlns:a16="http://schemas.microsoft.com/office/drawing/2014/main" id="{448E8A0C-635E-4861-8F7F-8013F10E4208}"/>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5" name="Text Box 391">
          <a:extLst>
            <a:ext uri="{FF2B5EF4-FFF2-40B4-BE49-F238E27FC236}">
              <a16:creationId xmlns:a16="http://schemas.microsoft.com/office/drawing/2014/main" id="{F463AC92-D897-4F8C-9949-1EC31DEA24F5}"/>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6" name="Text Box 392">
          <a:extLst>
            <a:ext uri="{FF2B5EF4-FFF2-40B4-BE49-F238E27FC236}">
              <a16:creationId xmlns:a16="http://schemas.microsoft.com/office/drawing/2014/main" id="{D7D35EF9-4A2D-42E6-8531-36907CFCD5FE}"/>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7" name="Text Box 1249">
          <a:extLst>
            <a:ext uri="{FF2B5EF4-FFF2-40B4-BE49-F238E27FC236}">
              <a16:creationId xmlns:a16="http://schemas.microsoft.com/office/drawing/2014/main" id="{DA09D1FF-4693-4ED4-8C27-491494290D74}"/>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8" name="Text Box 1250">
          <a:extLst>
            <a:ext uri="{FF2B5EF4-FFF2-40B4-BE49-F238E27FC236}">
              <a16:creationId xmlns:a16="http://schemas.microsoft.com/office/drawing/2014/main" id="{EC352AD1-17DB-4DBF-9231-F380B1D5BA83}"/>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59" name="Text Box 389">
          <a:extLst>
            <a:ext uri="{FF2B5EF4-FFF2-40B4-BE49-F238E27FC236}">
              <a16:creationId xmlns:a16="http://schemas.microsoft.com/office/drawing/2014/main" id="{4AFABF00-08DF-4134-9B3D-30FB45FFC370}"/>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60" name="Text Box 390">
          <a:extLst>
            <a:ext uri="{FF2B5EF4-FFF2-40B4-BE49-F238E27FC236}">
              <a16:creationId xmlns:a16="http://schemas.microsoft.com/office/drawing/2014/main" id="{52E8119D-44D2-4D5C-AB7A-448E149F78E8}"/>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61" name="Text Box 391">
          <a:extLst>
            <a:ext uri="{FF2B5EF4-FFF2-40B4-BE49-F238E27FC236}">
              <a16:creationId xmlns:a16="http://schemas.microsoft.com/office/drawing/2014/main" id="{3562F5C2-7310-41DC-982D-A3C2C02F37C1}"/>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62" name="Text Box 392">
          <a:extLst>
            <a:ext uri="{FF2B5EF4-FFF2-40B4-BE49-F238E27FC236}">
              <a16:creationId xmlns:a16="http://schemas.microsoft.com/office/drawing/2014/main" id="{B3F98BF4-2063-4EF8-8C63-115758CA120F}"/>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63" name="Text Box 1249">
          <a:extLst>
            <a:ext uri="{FF2B5EF4-FFF2-40B4-BE49-F238E27FC236}">
              <a16:creationId xmlns:a16="http://schemas.microsoft.com/office/drawing/2014/main" id="{1B78D2BC-FF44-4DB0-A39E-4D8F31701D57}"/>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433</xdr:row>
      <xdr:rowOff>0</xdr:rowOff>
    </xdr:from>
    <xdr:ext cx="1095375" cy="95250"/>
    <xdr:sp macro="" textlink="">
      <xdr:nvSpPr>
        <xdr:cNvPr id="164" name="Text Box 1250">
          <a:extLst>
            <a:ext uri="{FF2B5EF4-FFF2-40B4-BE49-F238E27FC236}">
              <a16:creationId xmlns:a16="http://schemas.microsoft.com/office/drawing/2014/main" id="{74711D7B-52C3-4A58-BA9C-3023A8BFA4D8}"/>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65" name="Text Box 389">
          <a:extLst>
            <a:ext uri="{FF2B5EF4-FFF2-40B4-BE49-F238E27FC236}">
              <a16:creationId xmlns:a16="http://schemas.microsoft.com/office/drawing/2014/main" id="{8BD84EE5-5B86-48D8-8B45-B47C42C61ACD}"/>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66" name="Text Box 390">
          <a:extLst>
            <a:ext uri="{FF2B5EF4-FFF2-40B4-BE49-F238E27FC236}">
              <a16:creationId xmlns:a16="http://schemas.microsoft.com/office/drawing/2014/main" id="{EF1096B0-FA22-407A-8079-9854E25A8CFC}"/>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67" name="Text Box 391">
          <a:extLst>
            <a:ext uri="{FF2B5EF4-FFF2-40B4-BE49-F238E27FC236}">
              <a16:creationId xmlns:a16="http://schemas.microsoft.com/office/drawing/2014/main" id="{C4A337E3-DC03-4F71-BA6F-92EDF24ACA84}"/>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68" name="Text Box 392">
          <a:extLst>
            <a:ext uri="{FF2B5EF4-FFF2-40B4-BE49-F238E27FC236}">
              <a16:creationId xmlns:a16="http://schemas.microsoft.com/office/drawing/2014/main" id="{672E6FE6-B79B-4A6E-8D0C-548EEB76D14A}"/>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69" name="Text Box 1249">
          <a:extLst>
            <a:ext uri="{FF2B5EF4-FFF2-40B4-BE49-F238E27FC236}">
              <a16:creationId xmlns:a16="http://schemas.microsoft.com/office/drawing/2014/main" id="{0137E9D0-189D-4BBA-B336-6E7BD7041F54}"/>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0" name="Text Box 1250">
          <a:extLst>
            <a:ext uri="{FF2B5EF4-FFF2-40B4-BE49-F238E27FC236}">
              <a16:creationId xmlns:a16="http://schemas.microsoft.com/office/drawing/2014/main" id="{6C5CBB44-8DF5-475D-9BC6-FAEB94DC0549}"/>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1" name="Text Box 389">
          <a:extLst>
            <a:ext uri="{FF2B5EF4-FFF2-40B4-BE49-F238E27FC236}">
              <a16:creationId xmlns:a16="http://schemas.microsoft.com/office/drawing/2014/main" id="{451B3C5A-3635-4D61-A4A7-6A3F4EAB4618}"/>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2" name="Text Box 390">
          <a:extLst>
            <a:ext uri="{FF2B5EF4-FFF2-40B4-BE49-F238E27FC236}">
              <a16:creationId xmlns:a16="http://schemas.microsoft.com/office/drawing/2014/main" id="{FCD6F44D-DA7B-4DC2-82F2-1105460D3800}"/>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3" name="Text Box 391">
          <a:extLst>
            <a:ext uri="{FF2B5EF4-FFF2-40B4-BE49-F238E27FC236}">
              <a16:creationId xmlns:a16="http://schemas.microsoft.com/office/drawing/2014/main" id="{745E1738-A5F6-4B12-82CC-73CDA196BFB9}"/>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4" name="Text Box 392">
          <a:extLst>
            <a:ext uri="{FF2B5EF4-FFF2-40B4-BE49-F238E27FC236}">
              <a16:creationId xmlns:a16="http://schemas.microsoft.com/office/drawing/2014/main" id="{DC041671-C67A-475C-8D6B-E049C99B09E6}"/>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5" name="Text Box 1249">
          <a:extLst>
            <a:ext uri="{FF2B5EF4-FFF2-40B4-BE49-F238E27FC236}">
              <a16:creationId xmlns:a16="http://schemas.microsoft.com/office/drawing/2014/main" id="{8787C24A-FB5D-45C3-AD6A-233A7491913A}"/>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433</xdr:row>
      <xdr:rowOff>0</xdr:rowOff>
    </xdr:from>
    <xdr:ext cx="1095375" cy="95250"/>
    <xdr:sp macro="" textlink="">
      <xdr:nvSpPr>
        <xdr:cNvPr id="176" name="Text Box 1250">
          <a:extLst>
            <a:ext uri="{FF2B5EF4-FFF2-40B4-BE49-F238E27FC236}">
              <a16:creationId xmlns:a16="http://schemas.microsoft.com/office/drawing/2014/main" id="{B64EC256-D1BC-4125-A43D-E7616FB7CD0C}"/>
            </a:ext>
          </a:extLst>
        </xdr:cNvPr>
        <xdr:cNvSpPr txBox="1">
          <a:spLocks noChangeArrowheads="1"/>
        </xdr:cNvSpPr>
      </xdr:nvSpPr>
      <xdr:spPr bwMode="auto">
        <a:xfrm>
          <a:off x="38100" y="15321915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77" name="Text Box 389">
          <a:extLst>
            <a:ext uri="{FF2B5EF4-FFF2-40B4-BE49-F238E27FC236}">
              <a16:creationId xmlns:a16="http://schemas.microsoft.com/office/drawing/2014/main" id="{D19C9D13-3630-4A00-A098-834035E95C83}"/>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78" name="Text Box 390">
          <a:extLst>
            <a:ext uri="{FF2B5EF4-FFF2-40B4-BE49-F238E27FC236}">
              <a16:creationId xmlns:a16="http://schemas.microsoft.com/office/drawing/2014/main" id="{E7B66643-549A-4FCD-B762-565E8CE70CA2}"/>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79" name="Text Box 391">
          <a:extLst>
            <a:ext uri="{FF2B5EF4-FFF2-40B4-BE49-F238E27FC236}">
              <a16:creationId xmlns:a16="http://schemas.microsoft.com/office/drawing/2014/main" id="{075A3108-BDEC-472D-9B9E-9E046F843ED3}"/>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0" name="Text Box 392">
          <a:extLst>
            <a:ext uri="{FF2B5EF4-FFF2-40B4-BE49-F238E27FC236}">
              <a16:creationId xmlns:a16="http://schemas.microsoft.com/office/drawing/2014/main" id="{79CBAA0E-CF8B-4D23-9A35-CA95B65A2D79}"/>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1" name="Text Box 1249">
          <a:extLst>
            <a:ext uri="{FF2B5EF4-FFF2-40B4-BE49-F238E27FC236}">
              <a16:creationId xmlns:a16="http://schemas.microsoft.com/office/drawing/2014/main" id="{FC816D2B-9130-4794-870F-A83FA840FCC8}"/>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2" name="Text Box 1250">
          <a:extLst>
            <a:ext uri="{FF2B5EF4-FFF2-40B4-BE49-F238E27FC236}">
              <a16:creationId xmlns:a16="http://schemas.microsoft.com/office/drawing/2014/main" id="{1BB60648-3CD8-4417-B740-A9118332996F}"/>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3" name="Text Box 389">
          <a:extLst>
            <a:ext uri="{FF2B5EF4-FFF2-40B4-BE49-F238E27FC236}">
              <a16:creationId xmlns:a16="http://schemas.microsoft.com/office/drawing/2014/main" id="{5A3EE4FC-92AA-432A-BA8F-29879F618494}"/>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4" name="Text Box 390">
          <a:extLst>
            <a:ext uri="{FF2B5EF4-FFF2-40B4-BE49-F238E27FC236}">
              <a16:creationId xmlns:a16="http://schemas.microsoft.com/office/drawing/2014/main" id="{2187A915-D6FD-4D8F-816A-EA7BCA0A5A7D}"/>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5" name="Text Box 391">
          <a:extLst>
            <a:ext uri="{FF2B5EF4-FFF2-40B4-BE49-F238E27FC236}">
              <a16:creationId xmlns:a16="http://schemas.microsoft.com/office/drawing/2014/main" id="{DC78A45B-6CD5-4157-AF2B-063AD383C72C}"/>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6" name="Text Box 392">
          <a:extLst>
            <a:ext uri="{FF2B5EF4-FFF2-40B4-BE49-F238E27FC236}">
              <a16:creationId xmlns:a16="http://schemas.microsoft.com/office/drawing/2014/main" id="{A935780F-3260-4659-8A41-1452E8D206F7}"/>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7" name="Text Box 1249">
          <a:extLst>
            <a:ext uri="{FF2B5EF4-FFF2-40B4-BE49-F238E27FC236}">
              <a16:creationId xmlns:a16="http://schemas.microsoft.com/office/drawing/2014/main" id="{9070269B-DFAE-40A1-B05F-170149ED4C4D}"/>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434</xdr:row>
      <xdr:rowOff>0</xdr:rowOff>
    </xdr:from>
    <xdr:ext cx="1095375" cy="95250"/>
    <xdr:sp macro="" textlink="">
      <xdr:nvSpPr>
        <xdr:cNvPr id="188" name="Text Box 1250">
          <a:extLst>
            <a:ext uri="{FF2B5EF4-FFF2-40B4-BE49-F238E27FC236}">
              <a16:creationId xmlns:a16="http://schemas.microsoft.com/office/drawing/2014/main" id="{6B3D0DAE-EEBB-4E3C-A737-F189824928BC}"/>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89" name="Text Box 389">
          <a:extLst>
            <a:ext uri="{FF2B5EF4-FFF2-40B4-BE49-F238E27FC236}">
              <a16:creationId xmlns:a16="http://schemas.microsoft.com/office/drawing/2014/main" id="{DFC1D596-4599-4B34-982D-B4652A476064}"/>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0" name="Text Box 390">
          <a:extLst>
            <a:ext uri="{FF2B5EF4-FFF2-40B4-BE49-F238E27FC236}">
              <a16:creationId xmlns:a16="http://schemas.microsoft.com/office/drawing/2014/main" id="{18BF2493-08A1-4BA4-A259-CBC2346FC424}"/>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1" name="Text Box 391">
          <a:extLst>
            <a:ext uri="{FF2B5EF4-FFF2-40B4-BE49-F238E27FC236}">
              <a16:creationId xmlns:a16="http://schemas.microsoft.com/office/drawing/2014/main" id="{F096A1EE-4CA2-4A7F-8B60-0B5FFD3337DE}"/>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2" name="Text Box 392">
          <a:extLst>
            <a:ext uri="{FF2B5EF4-FFF2-40B4-BE49-F238E27FC236}">
              <a16:creationId xmlns:a16="http://schemas.microsoft.com/office/drawing/2014/main" id="{42FDE442-5656-4077-8DC0-DE8253AE689C}"/>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3" name="Text Box 1249">
          <a:extLst>
            <a:ext uri="{FF2B5EF4-FFF2-40B4-BE49-F238E27FC236}">
              <a16:creationId xmlns:a16="http://schemas.microsoft.com/office/drawing/2014/main" id="{63832889-BF99-4B3F-A4C1-33682360955D}"/>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4" name="Text Box 1250">
          <a:extLst>
            <a:ext uri="{FF2B5EF4-FFF2-40B4-BE49-F238E27FC236}">
              <a16:creationId xmlns:a16="http://schemas.microsoft.com/office/drawing/2014/main" id="{AF398997-3350-4DBB-A8E7-AB1177D2844A}"/>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5" name="Text Box 389">
          <a:extLst>
            <a:ext uri="{FF2B5EF4-FFF2-40B4-BE49-F238E27FC236}">
              <a16:creationId xmlns:a16="http://schemas.microsoft.com/office/drawing/2014/main" id="{039C2791-BD73-49EE-9729-331B5C340062}"/>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6" name="Text Box 390">
          <a:extLst>
            <a:ext uri="{FF2B5EF4-FFF2-40B4-BE49-F238E27FC236}">
              <a16:creationId xmlns:a16="http://schemas.microsoft.com/office/drawing/2014/main" id="{E6B1537C-2CE0-460A-9ADD-8F04818B8D2F}"/>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7" name="Text Box 391">
          <a:extLst>
            <a:ext uri="{FF2B5EF4-FFF2-40B4-BE49-F238E27FC236}">
              <a16:creationId xmlns:a16="http://schemas.microsoft.com/office/drawing/2014/main" id="{9887D06D-A068-480D-8202-89AA985D8039}"/>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8" name="Text Box 392">
          <a:extLst>
            <a:ext uri="{FF2B5EF4-FFF2-40B4-BE49-F238E27FC236}">
              <a16:creationId xmlns:a16="http://schemas.microsoft.com/office/drawing/2014/main" id="{5D72D5F6-16DA-4B1E-87C0-340EB8D4E8CC}"/>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434</xdr:row>
      <xdr:rowOff>0</xdr:rowOff>
    </xdr:from>
    <xdr:ext cx="1095375" cy="95250"/>
    <xdr:sp macro="" textlink="">
      <xdr:nvSpPr>
        <xdr:cNvPr id="199" name="Text Box 1249">
          <a:extLst>
            <a:ext uri="{FF2B5EF4-FFF2-40B4-BE49-F238E27FC236}">
              <a16:creationId xmlns:a16="http://schemas.microsoft.com/office/drawing/2014/main" id="{FDBF156D-99ED-4D83-8DAF-FC3D0E352D1C}"/>
            </a:ext>
          </a:extLst>
        </xdr:cNvPr>
        <xdr:cNvSpPr txBox="1">
          <a:spLocks noChangeArrowheads="1"/>
        </xdr:cNvSpPr>
      </xdr:nvSpPr>
      <xdr:spPr bwMode="auto">
        <a:xfrm>
          <a:off x="38100" y="153819225"/>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0" name="Text Box 390">
          <a:extLst>
            <a:ext uri="{FF2B5EF4-FFF2-40B4-BE49-F238E27FC236}">
              <a16:creationId xmlns:a16="http://schemas.microsoft.com/office/drawing/2014/main" id="{63E70E0E-7F8B-44F9-B2E6-A43823D78A69}"/>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1" name="Text Box 391">
          <a:extLst>
            <a:ext uri="{FF2B5EF4-FFF2-40B4-BE49-F238E27FC236}">
              <a16:creationId xmlns:a16="http://schemas.microsoft.com/office/drawing/2014/main" id="{D710EC58-07C4-4A63-BA37-F437E5181584}"/>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2" name="Text Box 392">
          <a:extLst>
            <a:ext uri="{FF2B5EF4-FFF2-40B4-BE49-F238E27FC236}">
              <a16:creationId xmlns:a16="http://schemas.microsoft.com/office/drawing/2014/main" id="{5A38B08C-C9CE-4A0C-97A2-1C23E2FAEFE5}"/>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3" name="Text Box 1249">
          <a:extLst>
            <a:ext uri="{FF2B5EF4-FFF2-40B4-BE49-F238E27FC236}">
              <a16:creationId xmlns:a16="http://schemas.microsoft.com/office/drawing/2014/main" id="{A89F6938-0369-4C26-A8B5-ED247E066920}"/>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4" name="Text Box 1250">
          <a:extLst>
            <a:ext uri="{FF2B5EF4-FFF2-40B4-BE49-F238E27FC236}">
              <a16:creationId xmlns:a16="http://schemas.microsoft.com/office/drawing/2014/main" id="{D2BE28B3-482A-46C0-94FF-9DBB8ECD68A6}"/>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5" name="Text Box 389">
          <a:extLst>
            <a:ext uri="{FF2B5EF4-FFF2-40B4-BE49-F238E27FC236}">
              <a16:creationId xmlns:a16="http://schemas.microsoft.com/office/drawing/2014/main" id="{2450E67C-5C43-4D13-BC3C-28DD6EBF2327}"/>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6" name="Text Box 390">
          <a:extLst>
            <a:ext uri="{FF2B5EF4-FFF2-40B4-BE49-F238E27FC236}">
              <a16:creationId xmlns:a16="http://schemas.microsoft.com/office/drawing/2014/main" id="{E1E8B56D-3390-42B5-8A7E-243302E92290}"/>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7" name="Text Box 391">
          <a:extLst>
            <a:ext uri="{FF2B5EF4-FFF2-40B4-BE49-F238E27FC236}">
              <a16:creationId xmlns:a16="http://schemas.microsoft.com/office/drawing/2014/main" id="{A981354A-D208-48E7-8C69-F14BA127E253}"/>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8" name="Text Box 392">
          <a:extLst>
            <a:ext uri="{FF2B5EF4-FFF2-40B4-BE49-F238E27FC236}">
              <a16:creationId xmlns:a16="http://schemas.microsoft.com/office/drawing/2014/main" id="{3F90AA9F-785E-4C81-8C80-6DFEAC6C524A}"/>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09" name="Text Box 1249">
          <a:extLst>
            <a:ext uri="{FF2B5EF4-FFF2-40B4-BE49-F238E27FC236}">
              <a16:creationId xmlns:a16="http://schemas.microsoft.com/office/drawing/2014/main" id="{5ECC180C-9757-4C86-8FED-DEF306665E8F}"/>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443</xdr:row>
      <xdr:rowOff>0</xdr:rowOff>
    </xdr:from>
    <xdr:ext cx="733425" cy="95250"/>
    <xdr:sp macro="" textlink="">
      <xdr:nvSpPr>
        <xdr:cNvPr id="210" name="Text Box 1250">
          <a:extLst>
            <a:ext uri="{FF2B5EF4-FFF2-40B4-BE49-F238E27FC236}">
              <a16:creationId xmlns:a16="http://schemas.microsoft.com/office/drawing/2014/main" id="{ECB2374B-D4B7-4385-858E-1A5620CA1F6D}"/>
            </a:ext>
          </a:extLst>
        </xdr:cNvPr>
        <xdr:cNvSpPr txBox="1">
          <a:spLocks noChangeArrowheads="1"/>
        </xdr:cNvSpPr>
      </xdr:nvSpPr>
      <xdr:spPr bwMode="auto">
        <a:xfrm>
          <a:off x="451485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1" name="Text Box 390">
          <a:extLst>
            <a:ext uri="{FF2B5EF4-FFF2-40B4-BE49-F238E27FC236}">
              <a16:creationId xmlns:a16="http://schemas.microsoft.com/office/drawing/2014/main" id="{3E97C46C-CCD6-46A9-A819-82380A9B32FC}"/>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2" name="Text Box 391">
          <a:extLst>
            <a:ext uri="{FF2B5EF4-FFF2-40B4-BE49-F238E27FC236}">
              <a16:creationId xmlns:a16="http://schemas.microsoft.com/office/drawing/2014/main" id="{F4B41034-BBC3-4DF6-98DD-467E94AEC0A5}"/>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3" name="Text Box 392">
          <a:extLst>
            <a:ext uri="{FF2B5EF4-FFF2-40B4-BE49-F238E27FC236}">
              <a16:creationId xmlns:a16="http://schemas.microsoft.com/office/drawing/2014/main" id="{DB3C5C74-DDF8-4CF4-BC68-19BB45594005}"/>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4" name="Text Box 1249">
          <a:extLst>
            <a:ext uri="{FF2B5EF4-FFF2-40B4-BE49-F238E27FC236}">
              <a16:creationId xmlns:a16="http://schemas.microsoft.com/office/drawing/2014/main" id="{A59CB253-CFBA-4B29-9310-EE94CDE36734}"/>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5" name="Text Box 1250">
          <a:extLst>
            <a:ext uri="{FF2B5EF4-FFF2-40B4-BE49-F238E27FC236}">
              <a16:creationId xmlns:a16="http://schemas.microsoft.com/office/drawing/2014/main" id="{EEBE3E39-9B56-4D30-A1DB-78CB7A9B418F}"/>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6" name="Text Box 389">
          <a:extLst>
            <a:ext uri="{FF2B5EF4-FFF2-40B4-BE49-F238E27FC236}">
              <a16:creationId xmlns:a16="http://schemas.microsoft.com/office/drawing/2014/main" id="{8B60D0D6-27E3-41CB-9C7B-26D19E82BE7B}"/>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7" name="Text Box 390">
          <a:extLst>
            <a:ext uri="{FF2B5EF4-FFF2-40B4-BE49-F238E27FC236}">
              <a16:creationId xmlns:a16="http://schemas.microsoft.com/office/drawing/2014/main" id="{BCE9E7AE-43B9-49FC-AC03-C1D7BF1CA14E}"/>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8" name="Text Box 391">
          <a:extLst>
            <a:ext uri="{FF2B5EF4-FFF2-40B4-BE49-F238E27FC236}">
              <a16:creationId xmlns:a16="http://schemas.microsoft.com/office/drawing/2014/main" id="{0A331DFA-4FAA-451E-B7DB-22EB6091EE25}"/>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19" name="Text Box 392">
          <a:extLst>
            <a:ext uri="{FF2B5EF4-FFF2-40B4-BE49-F238E27FC236}">
              <a16:creationId xmlns:a16="http://schemas.microsoft.com/office/drawing/2014/main" id="{6F60E6C2-9274-4AF6-B2C6-5FDFF79B4540}"/>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20" name="Text Box 1249">
          <a:extLst>
            <a:ext uri="{FF2B5EF4-FFF2-40B4-BE49-F238E27FC236}">
              <a16:creationId xmlns:a16="http://schemas.microsoft.com/office/drawing/2014/main" id="{0E7E4909-3A18-4F23-A5A4-C1BCEDEA107C}"/>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442</xdr:row>
      <xdr:rowOff>0</xdr:rowOff>
    </xdr:from>
    <xdr:ext cx="1095375" cy="95250"/>
    <xdr:sp macro="" textlink="">
      <xdr:nvSpPr>
        <xdr:cNvPr id="221" name="Text Box 1250">
          <a:extLst>
            <a:ext uri="{FF2B5EF4-FFF2-40B4-BE49-F238E27FC236}">
              <a16:creationId xmlns:a16="http://schemas.microsoft.com/office/drawing/2014/main" id="{C3337A0A-A9B1-44A7-BFA7-75FBD8B7A4C7}"/>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2" name="Text Box 389">
          <a:extLst>
            <a:ext uri="{FF2B5EF4-FFF2-40B4-BE49-F238E27FC236}">
              <a16:creationId xmlns:a16="http://schemas.microsoft.com/office/drawing/2014/main" id="{E275E810-AE34-49F9-84C2-5A700F58A146}"/>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3" name="Text Box 390">
          <a:extLst>
            <a:ext uri="{FF2B5EF4-FFF2-40B4-BE49-F238E27FC236}">
              <a16:creationId xmlns:a16="http://schemas.microsoft.com/office/drawing/2014/main" id="{8D30E16C-0F2B-44FD-9F0D-D624AD8E5B36}"/>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4" name="Text Box 391">
          <a:extLst>
            <a:ext uri="{FF2B5EF4-FFF2-40B4-BE49-F238E27FC236}">
              <a16:creationId xmlns:a16="http://schemas.microsoft.com/office/drawing/2014/main" id="{A8336483-7EA4-4BD0-9930-39ED0369E4B5}"/>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5" name="Text Box 392">
          <a:extLst>
            <a:ext uri="{FF2B5EF4-FFF2-40B4-BE49-F238E27FC236}">
              <a16:creationId xmlns:a16="http://schemas.microsoft.com/office/drawing/2014/main" id="{8A2C6776-83F1-468A-BD9B-7E8F4BEF5085}"/>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6" name="Text Box 1249">
          <a:extLst>
            <a:ext uri="{FF2B5EF4-FFF2-40B4-BE49-F238E27FC236}">
              <a16:creationId xmlns:a16="http://schemas.microsoft.com/office/drawing/2014/main" id="{73C14790-2F5C-40AF-AFEA-28C6098ACE32}"/>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7" name="Text Box 1250">
          <a:extLst>
            <a:ext uri="{FF2B5EF4-FFF2-40B4-BE49-F238E27FC236}">
              <a16:creationId xmlns:a16="http://schemas.microsoft.com/office/drawing/2014/main" id="{15806A23-96D1-4CA7-AAE9-AB3FBE5A192F}"/>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8" name="Text Box 389">
          <a:extLst>
            <a:ext uri="{FF2B5EF4-FFF2-40B4-BE49-F238E27FC236}">
              <a16:creationId xmlns:a16="http://schemas.microsoft.com/office/drawing/2014/main" id="{D80BE959-129D-49E8-A833-5001785857DE}"/>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29" name="Text Box 390">
          <a:extLst>
            <a:ext uri="{FF2B5EF4-FFF2-40B4-BE49-F238E27FC236}">
              <a16:creationId xmlns:a16="http://schemas.microsoft.com/office/drawing/2014/main" id="{18EFD018-5020-4F39-B97C-830C3EA3CB7F}"/>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30" name="Text Box 391">
          <a:extLst>
            <a:ext uri="{FF2B5EF4-FFF2-40B4-BE49-F238E27FC236}">
              <a16:creationId xmlns:a16="http://schemas.microsoft.com/office/drawing/2014/main" id="{928DBEF4-1A91-4308-B690-EBB2E3A9C5F2}"/>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31" name="Text Box 392">
          <a:extLst>
            <a:ext uri="{FF2B5EF4-FFF2-40B4-BE49-F238E27FC236}">
              <a16:creationId xmlns:a16="http://schemas.microsoft.com/office/drawing/2014/main" id="{7EE67AD8-9604-4178-AA80-4520AEE9DFA7}"/>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32" name="Text Box 1249">
          <a:extLst>
            <a:ext uri="{FF2B5EF4-FFF2-40B4-BE49-F238E27FC236}">
              <a16:creationId xmlns:a16="http://schemas.microsoft.com/office/drawing/2014/main" id="{FB4F4F40-15DF-478A-AD15-D66ADDBAEDD6}"/>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442</xdr:row>
      <xdr:rowOff>0</xdr:rowOff>
    </xdr:from>
    <xdr:ext cx="1095375" cy="95250"/>
    <xdr:sp macro="" textlink="">
      <xdr:nvSpPr>
        <xdr:cNvPr id="233" name="Text Box 1250">
          <a:extLst>
            <a:ext uri="{FF2B5EF4-FFF2-40B4-BE49-F238E27FC236}">
              <a16:creationId xmlns:a16="http://schemas.microsoft.com/office/drawing/2014/main" id="{50422A80-3AFC-42ED-9230-B803C226026A}"/>
            </a:ext>
          </a:extLst>
        </xdr:cNvPr>
        <xdr:cNvSpPr txBox="1">
          <a:spLocks noChangeArrowheads="1"/>
        </xdr:cNvSpPr>
      </xdr:nvSpPr>
      <xdr:spPr bwMode="auto">
        <a:xfrm>
          <a:off x="4514850" y="1565148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161925</xdr:colOff>
      <xdr:row>444</xdr:row>
      <xdr:rowOff>0</xdr:rowOff>
    </xdr:from>
    <xdr:ext cx="1095375" cy="95250"/>
    <xdr:sp macro="" textlink="">
      <xdr:nvSpPr>
        <xdr:cNvPr id="234" name="Text Box 390">
          <a:extLst>
            <a:ext uri="{FF2B5EF4-FFF2-40B4-BE49-F238E27FC236}">
              <a16:creationId xmlns:a16="http://schemas.microsoft.com/office/drawing/2014/main" id="{92EE37CA-BAF3-47D8-B7E2-FFAA37E251C6}"/>
            </a:ext>
          </a:extLst>
        </xdr:cNvPr>
        <xdr:cNvSpPr txBox="1">
          <a:spLocks noChangeArrowheads="1"/>
        </xdr:cNvSpPr>
      </xdr:nvSpPr>
      <xdr:spPr bwMode="auto">
        <a:xfrm>
          <a:off x="200025" y="157314900"/>
          <a:ext cx="10953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35" name="Text Box 390">
          <a:extLst>
            <a:ext uri="{FF2B5EF4-FFF2-40B4-BE49-F238E27FC236}">
              <a16:creationId xmlns:a16="http://schemas.microsoft.com/office/drawing/2014/main" id="{54E61A3B-01B6-4748-9F14-CB4D18461433}"/>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36" name="Text Box 391">
          <a:extLst>
            <a:ext uri="{FF2B5EF4-FFF2-40B4-BE49-F238E27FC236}">
              <a16:creationId xmlns:a16="http://schemas.microsoft.com/office/drawing/2014/main" id="{55637AE6-6527-4054-BA26-C975E2CE2209}"/>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37" name="Text Box 392">
          <a:extLst>
            <a:ext uri="{FF2B5EF4-FFF2-40B4-BE49-F238E27FC236}">
              <a16:creationId xmlns:a16="http://schemas.microsoft.com/office/drawing/2014/main" id="{FD060B47-AF64-46BD-8B0F-43D0D8179B3D}"/>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38" name="Text Box 1249">
          <a:extLst>
            <a:ext uri="{FF2B5EF4-FFF2-40B4-BE49-F238E27FC236}">
              <a16:creationId xmlns:a16="http://schemas.microsoft.com/office/drawing/2014/main" id="{EDB81408-BF1A-4A6B-9F59-75F9BBDADA5E}"/>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39" name="Text Box 1250">
          <a:extLst>
            <a:ext uri="{FF2B5EF4-FFF2-40B4-BE49-F238E27FC236}">
              <a16:creationId xmlns:a16="http://schemas.microsoft.com/office/drawing/2014/main" id="{AAE7DD96-64C7-4CAC-853A-146B9B608B48}"/>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40" name="Text Box 389">
          <a:extLst>
            <a:ext uri="{FF2B5EF4-FFF2-40B4-BE49-F238E27FC236}">
              <a16:creationId xmlns:a16="http://schemas.microsoft.com/office/drawing/2014/main" id="{15C0BEF7-2B4D-4424-A2A2-CE174371BBCF}"/>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41" name="Text Box 390">
          <a:extLst>
            <a:ext uri="{FF2B5EF4-FFF2-40B4-BE49-F238E27FC236}">
              <a16:creationId xmlns:a16="http://schemas.microsoft.com/office/drawing/2014/main" id="{BEEB64CC-03AE-4FCB-89D5-0E1E0A6560CF}"/>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42" name="Text Box 391">
          <a:extLst>
            <a:ext uri="{FF2B5EF4-FFF2-40B4-BE49-F238E27FC236}">
              <a16:creationId xmlns:a16="http://schemas.microsoft.com/office/drawing/2014/main" id="{23786FDB-18D0-488D-B335-AD496A7BB18E}"/>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43" name="Text Box 392">
          <a:extLst>
            <a:ext uri="{FF2B5EF4-FFF2-40B4-BE49-F238E27FC236}">
              <a16:creationId xmlns:a16="http://schemas.microsoft.com/office/drawing/2014/main" id="{4D0F3E60-2280-4208-BAFE-5E932263D20F}"/>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3190875</xdr:colOff>
      <xdr:row>443</xdr:row>
      <xdr:rowOff>0</xdr:rowOff>
    </xdr:from>
    <xdr:ext cx="733425" cy="95250"/>
    <xdr:sp macro="" textlink="">
      <xdr:nvSpPr>
        <xdr:cNvPr id="244" name="Text Box 1249">
          <a:extLst>
            <a:ext uri="{FF2B5EF4-FFF2-40B4-BE49-F238E27FC236}">
              <a16:creationId xmlns:a16="http://schemas.microsoft.com/office/drawing/2014/main" id="{E3CD6295-E025-46C9-ADEA-1257B3B3E47B}"/>
            </a:ext>
          </a:extLst>
        </xdr:cNvPr>
        <xdr:cNvSpPr txBox="1">
          <a:spLocks noChangeArrowheads="1"/>
        </xdr:cNvSpPr>
      </xdr:nvSpPr>
      <xdr:spPr bwMode="auto">
        <a:xfrm>
          <a:off x="38100" y="15691485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45" name="Text Box 389">
          <a:extLst>
            <a:ext uri="{FF2B5EF4-FFF2-40B4-BE49-F238E27FC236}">
              <a16:creationId xmlns:a16="http://schemas.microsoft.com/office/drawing/2014/main" id="{16DBE93B-8603-4FA5-90DA-E7BE2326BE4E}"/>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46" name="Text Box 390">
          <a:extLst>
            <a:ext uri="{FF2B5EF4-FFF2-40B4-BE49-F238E27FC236}">
              <a16:creationId xmlns:a16="http://schemas.microsoft.com/office/drawing/2014/main" id="{4B05BC35-58B3-4F2D-ABFA-88AA964B1FDD}"/>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47" name="Text Box 391">
          <a:extLst>
            <a:ext uri="{FF2B5EF4-FFF2-40B4-BE49-F238E27FC236}">
              <a16:creationId xmlns:a16="http://schemas.microsoft.com/office/drawing/2014/main" id="{0E9C029C-0F44-41BD-A45B-A32FBF88050B}"/>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48" name="Text Box 392">
          <a:extLst>
            <a:ext uri="{FF2B5EF4-FFF2-40B4-BE49-F238E27FC236}">
              <a16:creationId xmlns:a16="http://schemas.microsoft.com/office/drawing/2014/main" id="{CD87EA8D-B5BD-4AE0-8964-79DD6BF10657}"/>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49" name="Text Box 1249">
          <a:extLst>
            <a:ext uri="{FF2B5EF4-FFF2-40B4-BE49-F238E27FC236}">
              <a16:creationId xmlns:a16="http://schemas.microsoft.com/office/drawing/2014/main" id="{B0483B2A-86B1-42DC-B6AA-9CEF882E7468}"/>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0" name="Text Box 1250">
          <a:extLst>
            <a:ext uri="{FF2B5EF4-FFF2-40B4-BE49-F238E27FC236}">
              <a16:creationId xmlns:a16="http://schemas.microsoft.com/office/drawing/2014/main" id="{EB651334-7FBC-4855-BD7A-43E535F3DFAE}"/>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1" name="Text Box 389">
          <a:extLst>
            <a:ext uri="{FF2B5EF4-FFF2-40B4-BE49-F238E27FC236}">
              <a16:creationId xmlns:a16="http://schemas.microsoft.com/office/drawing/2014/main" id="{9A7AA98D-5F8B-442D-AA4E-3C1BFDA08D75}"/>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2" name="Text Box 390">
          <a:extLst>
            <a:ext uri="{FF2B5EF4-FFF2-40B4-BE49-F238E27FC236}">
              <a16:creationId xmlns:a16="http://schemas.microsoft.com/office/drawing/2014/main" id="{E7A9E013-807B-4A8C-B79F-1C3098BFEF9F}"/>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3" name="Text Box 391">
          <a:extLst>
            <a:ext uri="{FF2B5EF4-FFF2-40B4-BE49-F238E27FC236}">
              <a16:creationId xmlns:a16="http://schemas.microsoft.com/office/drawing/2014/main" id="{ECF7B5E9-DA9C-4DBC-82E1-61BB4DBCBE8D}"/>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4" name="Text Box 392">
          <a:extLst>
            <a:ext uri="{FF2B5EF4-FFF2-40B4-BE49-F238E27FC236}">
              <a16:creationId xmlns:a16="http://schemas.microsoft.com/office/drawing/2014/main" id="{036B52CB-F0E7-4A0B-9E01-D6AC382DF295}"/>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5" name="Text Box 1249">
          <a:extLst>
            <a:ext uri="{FF2B5EF4-FFF2-40B4-BE49-F238E27FC236}">
              <a16:creationId xmlns:a16="http://schemas.microsoft.com/office/drawing/2014/main" id="{3506F092-DAAA-4528-9DD2-5E1C1FDB9F01}"/>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3190875</xdr:colOff>
      <xdr:row>448</xdr:row>
      <xdr:rowOff>0</xdr:rowOff>
    </xdr:from>
    <xdr:ext cx="733425" cy="95250"/>
    <xdr:sp macro="" textlink="">
      <xdr:nvSpPr>
        <xdr:cNvPr id="256" name="Text Box 1250">
          <a:extLst>
            <a:ext uri="{FF2B5EF4-FFF2-40B4-BE49-F238E27FC236}">
              <a16:creationId xmlns:a16="http://schemas.microsoft.com/office/drawing/2014/main" id="{DFC74A98-6675-4308-9349-0B6CDACCF8D6}"/>
            </a:ext>
          </a:extLst>
        </xdr:cNvPr>
        <xdr:cNvSpPr txBox="1">
          <a:spLocks noChangeArrowheads="1"/>
        </xdr:cNvSpPr>
      </xdr:nvSpPr>
      <xdr:spPr bwMode="auto">
        <a:xfrm>
          <a:off x="4514850" y="158419800"/>
          <a:ext cx="7334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3648075</xdr:colOff>
      <xdr:row>759</xdr:row>
      <xdr:rowOff>0</xdr:rowOff>
    </xdr:from>
    <xdr:to>
      <xdr:col>3</xdr:col>
      <xdr:colOff>85725</xdr:colOff>
      <xdr:row>761</xdr:row>
      <xdr:rowOff>66675</xdr:rowOff>
    </xdr:to>
    <xdr:sp macro="" textlink="">
      <xdr:nvSpPr>
        <xdr:cNvPr id="257" name="Text Box 869">
          <a:extLst>
            <a:ext uri="{FF2B5EF4-FFF2-40B4-BE49-F238E27FC236}">
              <a16:creationId xmlns:a16="http://schemas.microsoft.com/office/drawing/2014/main" id="{C8D20C22-95C4-4AC8-9EAB-81BC1307DB97}"/>
            </a:ext>
          </a:extLst>
        </xdr:cNvPr>
        <xdr:cNvSpPr txBox="1">
          <a:spLocks noChangeArrowheads="1"/>
        </xdr:cNvSpPr>
      </xdr:nvSpPr>
      <xdr:spPr bwMode="auto">
        <a:xfrm>
          <a:off x="4000500" y="282778200"/>
          <a:ext cx="857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3648075</xdr:colOff>
      <xdr:row>759</xdr:row>
      <xdr:rowOff>0</xdr:rowOff>
    </xdr:from>
    <xdr:to>
      <xdr:col>3</xdr:col>
      <xdr:colOff>85725</xdr:colOff>
      <xdr:row>761</xdr:row>
      <xdr:rowOff>66675</xdr:rowOff>
    </xdr:to>
    <xdr:sp macro="" textlink="">
      <xdr:nvSpPr>
        <xdr:cNvPr id="258" name="Text Box 870">
          <a:extLst>
            <a:ext uri="{FF2B5EF4-FFF2-40B4-BE49-F238E27FC236}">
              <a16:creationId xmlns:a16="http://schemas.microsoft.com/office/drawing/2014/main" id="{B88D290C-F384-472A-845E-D4D24CB287C1}"/>
            </a:ext>
          </a:extLst>
        </xdr:cNvPr>
        <xdr:cNvSpPr txBox="1">
          <a:spLocks noChangeArrowheads="1"/>
        </xdr:cNvSpPr>
      </xdr:nvSpPr>
      <xdr:spPr bwMode="auto">
        <a:xfrm>
          <a:off x="4000500" y="282778200"/>
          <a:ext cx="857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3648075</xdr:colOff>
      <xdr:row>759</xdr:row>
      <xdr:rowOff>0</xdr:rowOff>
    </xdr:from>
    <xdr:to>
      <xdr:col>3</xdr:col>
      <xdr:colOff>85725</xdr:colOff>
      <xdr:row>761</xdr:row>
      <xdr:rowOff>66675</xdr:rowOff>
    </xdr:to>
    <xdr:sp macro="" textlink="">
      <xdr:nvSpPr>
        <xdr:cNvPr id="259" name="Text Box 871">
          <a:extLst>
            <a:ext uri="{FF2B5EF4-FFF2-40B4-BE49-F238E27FC236}">
              <a16:creationId xmlns:a16="http://schemas.microsoft.com/office/drawing/2014/main" id="{FB518E03-ED90-406B-930A-F2AA4E3F4833}"/>
            </a:ext>
          </a:extLst>
        </xdr:cNvPr>
        <xdr:cNvSpPr txBox="1">
          <a:spLocks noChangeArrowheads="1"/>
        </xdr:cNvSpPr>
      </xdr:nvSpPr>
      <xdr:spPr bwMode="auto">
        <a:xfrm>
          <a:off x="4000500" y="282778200"/>
          <a:ext cx="857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3648075</xdr:colOff>
      <xdr:row>759</xdr:row>
      <xdr:rowOff>0</xdr:rowOff>
    </xdr:from>
    <xdr:to>
      <xdr:col>3</xdr:col>
      <xdr:colOff>85725</xdr:colOff>
      <xdr:row>761</xdr:row>
      <xdr:rowOff>66675</xdr:rowOff>
    </xdr:to>
    <xdr:sp macro="" textlink="">
      <xdr:nvSpPr>
        <xdr:cNvPr id="260" name="Text Box 872">
          <a:extLst>
            <a:ext uri="{FF2B5EF4-FFF2-40B4-BE49-F238E27FC236}">
              <a16:creationId xmlns:a16="http://schemas.microsoft.com/office/drawing/2014/main" id="{872386AF-D4F5-42BD-BEF6-D16F7550533D}"/>
            </a:ext>
          </a:extLst>
        </xdr:cNvPr>
        <xdr:cNvSpPr txBox="1">
          <a:spLocks noChangeArrowheads="1"/>
        </xdr:cNvSpPr>
      </xdr:nvSpPr>
      <xdr:spPr bwMode="auto">
        <a:xfrm>
          <a:off x="4000500" y="282778200"/>
          <a:ext cx="857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3648075</xdr:colOff>
      <xdr:row>759</xdr:row>
      <xdr:rowOff>0</xdr:rowOff>
    </xdr:from>
    <xdr:to>
      <xdr:col>3</xdr:col>
      <xdr:colOff>85725</xdr:colOff>
      <xdr:row>761</xdr:row>
      <xdr:rowOff>47625</xdr:rowOff>
    </xdr:to>
    <xdr:sp macro="" textlink="">
      <xdr:nvSpPr>
        <xdr:cNvPr id="261" name="Text Box 869">
          <a:extLst>
            <a:ext uri="{FF2B5EF4-FFF2-40B4-BE49-F238E27FC236}">
              <a16:creationId xmlns:a16="http://schemas.microsoft.com/office/drawing/2014/main" id="{B6E19CCE-4F37-401D-9B6A-4246134EAE86}"/>
            </a:ext>
          </a:extLst>
        </xdr:cNvPr>
        <xdr:cNvSpPr txBox="1">
          <a:spLocks noChangeArrowheads="1"/>
        </xdr:cNvSpPr>
      </xdr:nvSpPr>
      <xdr:spPr bwMode="auto">
        <a:xfrm>
          <a:off x="4000500" y="282778200"/>
          <a:ext cx="857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3648075</xdr:colOff>
      <xdr:row>759</xdr:row>
      <xdr:rowOff>0</xdr:rowOff>
    </xdr:from>
    <xdr:to>
      <xdr:col>3</xdr:col>
      <xdr:colOff>85725</xdr:colOff>
      <xdr:row>761</xdr:row>
      <xdr:rowOff>47625</xdr:rowOff>
    </xdr:to>
    <xdr:sp macro="" textlink="">
      <xdr:nvSpPr>
        <xdr:cNvPr id="262" name="Text Box 870">
          <a:extLst>
            <a:ext uri="{FF2B5EF4-FFF2-40B4-BE49-F238E27FC236}">
              <a16:creationId xmlns:a16="http://schemas.microsoft.com/office/drawing/2014/main" id="{64475D3A-208A-4CBE-AD63-36937F8AAB18}"/>
            </a:ext>
          </a:extLst>
        </xdr:cNvPr>
        <xdr:cNvSpPr txBox="1">
          <a:spLocks noChangeArrowheads="1"/>
        </xdr:cNvSpPr>
      </xdr:nvSpPr>
      <xdr:spPr bwMode="auto">
        <a:xfrm>
          <a:off x="4000500" y="282778200"/>
          <a:ext cx="857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3648075</xdr:colOff>
      <xdr:row>759</xdr:row>
      <xdr:rowOff>0</xdr:rowOff>
    </xdr:from>
    <xdr:to>
      <xdr:col>3</xdr:col>
      <xdr:colOff>85725</xdr:colOff>
      <xdr:row>761</xdr:row>
      <xdr:rowOff>47625</xdr:rowOff>
    </xdr:to>
    <xdr:sp macro="" textlink="">
      <xdr:nvSpPr>
        <xdr:cNvPr id="263" name="Text Box 871">
          <a:extLst>
            <a:ext uri="{FF2B5EF4-FFF2-40B4-BE49-F238E27FC236}">
              <a16:creationId xmlns:a16="http://schemas.microsoft.com/office/drawing/2014/main" id="{EB484F9E-050D-41CA-8B89-9F874955F34B}"/>
            </a:ext>
          </a:extLst>
        </xdr:cNvPr>
        <xdr:cNvSpPr txBox="1">
          <a:spLocks noChangeArrowheads="1"/>
        </xdr:cNvSpPr>
      </xdr:nvSpPr>
      <xdr:spPr bwMode="auto">
        <a:xfrm>
          <a:off x="4000500" y="282778200"/>
          <a:ext cx="857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3190875</xdr:colOff>
      <xdr:row>465</xdr:row>
      <xdr:rowOff>0</xdr:rowOff>
    </xdr:from>
    <xdr:ext cx="76200" cy="381000"/>
    <xdr:sp macro="" textlink="">
      <xdr:nvSpPr>
        <xdr:cNvPr id="264" name="Text Box 418">
          <a:extLst>
            <a:ext uri="{FF2B5EF4-FFF2-40B4-BE49-F238E27FC236}">
              <a16:creationId xmlns:a16="http://schemas.microsoft.com/office/drawing/2014/main" id="{AD3C16C5-39E8-412C-9799-EAAF0EA46928}"/>
            </a:ext>
          </a:extLst>
        </xdr:cNvPr>
        <xdr:cNvSpPr txBox="1">
          <a:spLocks noChangeArrowheads="1"/>
        </xdr:cNvSpPr>
      </xdr:nvSpPr>
      <xdr:spPr bwMode="auto">
        <a:xfrm>
          <a:off x="3676650" y="1674399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465</xdr:row>
      <xdr:rowOff>0</xdr:rowOff>
    </xdr:from>
    <xdr:ext cx="76200" cy="381000"/>
    <xdr:sp macro="" textlink="">
      <xdr:nvSpPr>
        <xdr:cNvPr id="265" name="Text Box 419">
          <a:extLst>
            <a:ext uri="{FF2B5EF4-FFF2-40B4-BE49-F238E27FC236}">
              <a16:creationId xmlns:a16="http://schemas.microsoft.com/office/drawing/2014/main" id="{41C5E898-7558-4556-BABC-E1243BC7988B}"/>
            </a:ext>
          </a:extLst>
        </xdr:cNvPr>
        <xdr:cNvSpPr txBox="1">
          <a:spLocks noChangeArrowheads="1"/>
        </xdr:cNvSpPr>
      </xdr:nvSpPr>
      <xdr:spPr bwMode="auto">
        <a:xfrm>
          <a:off x="3676650" y="1674399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465</xdr:row>
      <xdr:rowOff>0</xdr:rowOff>
    </xdr:from>
    <xdr:ext cx="76200" cy="381000"/>
    <xdr:sp macro="" textlink="">
      <xdr:nvSpPr>
        <xdr:cNvPr id="266" name="Text Box 420">
          <a:extLst>
            <a:ext uri="{FF2B5EF4-FFF2-40B4-BE49-F238E27FC236}">
              <a16:creationId xmlns:a16="http://schemas.microsoft.com/office/drawing/2014/main" id="{47A7E4ED-E81E-4E36-AC9F-1E25A43E385C}"/>
            </a:ext>
          </a:extLst>
        </xdr:cNvPr>
        <xdr:cNvSpPr txBox="1">
          <a:spLocks noChangeArrowheads="1"/>
        </xdr:cNvSpPr>
      </xdr:nvSpPr>
      <xdr:spPr bwMode="auto">
        <a:xfrm>
          <a:off x="3676650" y="1674399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465</xdr:row>
      <xdr:rowOff>0</xdr:rowOff>
    </xdr:from>
    <xdr:ext cx="76200" cy="381000"/>
    <xdr:sp macro="" textlink="">
      <xdr:nvSpPr>
        <xdr:cNvPr id="267" name="Text Box 421">
          <a:extLst>
            <a:ext uri="{FF2B5EF4-FFF2-40B4-BE49-F238E27FC236}">
              <a16:creationId xmlns:a16="http://schemas.microsoft.com/office/drawing/2014/main" id="{47FDFE47-728F-428D-9EE1-0C7919523B7C}"/>
            </a:ext>
          </a:extLst>
        </xdr:cNvPr>
        <xdr:cNvSpPr txBox="1">
          <a:spLocks noChangeArrowheads="1"/>
        </xdr:cNvSpPr>
      </xdr:nvSpPr>
      <xdr:spPr bwMode="auto">
        <a:xfrm>
          <a:off x="3676650" y="1674399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465</xdr:row>
      <xdr:rowOff>0</xdr:rowOff>
    </xdr:from>
    <xdr:ext cx="76200" cy="381000"/>
    <xdr:sp macro="" textlink="">
      <xdr:nvSpPr>
        <xdr:cNvPr id="268" name="Text Box 865">
          <a:extLst>
            <a:ext uri="{FF2B5EF4-FFF2-40B4-BE49-F238E27FC236}">
              <a16:creationId xmlns:a16="http://schemas.microsoft.com/office/drawing/2014/main" id="{C71D516C-464E-4191-BF6D-2CEEAB633BA0}"/>
            </a:ext>
          </a:extLst>
        </xdr:cNvPr>
        <xdr:cNvSpPr txBox="1">
          <a:spLocks noChangeArrowheads="1"/>
        </xdr:cNvSpPr>
      </xdr:nvSpPr>
      <xdr:spPr bwMode="auto">
        <a:xfrm>
          <a:off x="3676650" y="1674399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465</xdr:row>
      <xdr:rowOff>0</xdr:rowOff>
    </xdr:from>
    <xdr:ext cx="76200" cy="381000"/>
    <xdr:sp macro="" textlink="">
      <xdr:nvSpPr>
        <xdr:cNvPr id="269" name="Text Box 866">
          <a:extLst>
            <a:ext uri="{FF2B5EF4-FFF2-40B4-BE49-F238E27FC236}">
              <a16:creationId xmlns:a16="http://schemas.microsoft.com/office/drawing/2014/main" id="{F0C43202-8289-4CFE-858A-EE733E873C9E}"/>
            </a:ext>
          </a:extLst>
        </xdr:cNvPr>
        <xdr:cNvSpPr txBox="1">
          <a:spLocks noChangeArrowheads="1"/>
        </xdr:cNvSpPr>
      </xdr:nvSpPr>
      <xdr:spPr bwMode="auto">
        <a:xfrm>
          <a:off x="3676650" y="1674399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392</xdr:row>
      <xdr:rowOff>0</xdr:rowOff>
    </xdr:from>
    <xdr:ext cx="76200" cy="381000"/>
    <xdr:sp macro="" textlink="">
      <xdr:nvSpPr>
        <xdr:cNvPr id="270" name="Text Box 418">
          <a:extLst>
            <a:ext uri="{FF2B5EF4-FFF2-40B4-BE49-F238E27FC236}">
              <a16:creationId xmlns:a16="http://schemas.microsoft.com/office/drawing/2014/main" id="{30A7B055-BBB5-4E0A-A5FD-5D4AEF4BFA88}"/>
            </a:ext>
          </a:extLst>
        </xdr:cNvPr>
        <xdr:cNvSpPr txBox="1">
          <a:spLocks noChangeArrowheads="1"/>
        </xdr:cNvSpPr>
      </xdr:nvSpPr>
      <xdr:spPr bwMode="auto">
        <a:xfrm>
          <a:off x="3676650" y="1387506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392</xdr:row>
      <xdr:rowOff>0</xdr:rowOff>
    </xdr:from>
    <xdr:ext cx="76200" cy="381000"/>
    <xdr:sp macro="" textlink="">
      <xdr:nvSpPr>
        <xdr:cNvPr id="271" name="Text Box 419">
          <a:extLst>
            <a:ext uri="{FF2B5EF4-FFF2-40B4-BE49-F238E27FC236}">
              <a16:creationId xmlns:a16="http://schemas.microsoft.com/office/drawing/2014/main" id="{CFCC8CEF-56E1-420F-8C99-DEDC2B9D711E}"/>
            </a:ext>
          </a:extLst>
        </xdr:cNvPr>
        <xdr:cNvSpPr txBox="1">
          <a:spLocks noChangeArrowheads="1"/>
        </xdr:cNvSpPr>
      </xdr:nvSpPr>
      <xdr:spPr bwMode="auto">
        <a:xfrm>
          <a:off x="3676650" y="1387506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392</xdr:row>
      <xdr:rowOff>0</xdr:rowOff>
    </xdr:from>
    <xdr:ext cx="76200" cy="381000"/>
    <xdr:sp macro="" textlink="">
      <xdr:nvSpPr>
        <xdr:cNvPr id="272" name="Text Box 420">
          <a:extLst>
            <a:ext uri="{FF2B5EF4-FFF2-40B4-BE49-F238E27FC236}">
              <a16:creationId xmlns:a16="http://schemas.microsoft.com/office/drawing/2014/main" id="{8B7ECC9F-5C1A-4DB9-AC6F-886EA07276E5}"/>
            </a:ext>
          </a:extLst>
        </xdr:cNvPr>
        <xdr:cNvSpPr txBox="1">
          <a:spLocks noChangeArrowheads="1"/>
        </xdr:cNvSpPr>
      </xdr:nvSpPr>
      <xdr:spPr bwMode="auto">
        <a:xfrm>
          <a:off x="3676650" y="1387506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392</xdr:row>
      <xdr:rowOff>0</xdr:rowOff>
    </xdr:from>
    <xdr:ext cx="76200" cy="381000"/>
    <xdr:sp macro="" textlink="">
      <xdr:nvSpPr>
        <xdr:cNvPr id="273" name="Text Box 421">
          <a:extLst>
            <a:ext uri="{FF2B5EF4-FFF2-40B4-BE49-F238E27FC236}">
              <a16:creationId xmlns:a16="http://schemas.microsoft.com/office/drawing/2014/main" id="{F4B53A20-FB76-4C14-8A40-8BBB1F08F301}"/>
            </a:ext>
          </a:extLst>
        </xdr:cNvPr>
        <xdr:cNvSpPr txBox="1">
          <a:spLocks noChangeArrowheads="1"/>
        </xdr:cNvSpPr>
      </xdr:nvSpPr>
      <xdr:spPr bwMode="auto">
        <a:xfrm>
          <a:off x="3676650" y="1387506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392</xdr:row>
      <xdr:rowOff>0</xdr:rowOff>
    </xdr:from>
    <xdr:ext cx="76200" cy="381000"/>
    <xdr:sp macro="" textlink="">
      <xdr:nvSpPr>
        <xdr:cNvPr id="274" name="Text Box 865">
          <a:extLst>
            <a:ext uri="{FF2B5EF4-FFF2-40B4-BE49-F238E27FC236}">
              <a16:creationId xmlns:a16="http://schemas.microsoft.com/office/drawing/2014/main" id="{D3993659-7EDC-4F32-B8AB-2BB1FC2B07D7}"/>
            </a:ext>
          </a:extLst>
        </xdr:cNvPr>
        <xdr:cNvSpPr txBox="1">
          <a:spLocks noChangeArrowheads="1"/>
        </xdr:cNvSpPr>
      </xdr:nvSpPr>
      <xdr:spPr bwMode="auto">
        <a:xfrm>
          <a:off x="3676650" y="1387506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3190875</xdr:colOff>
      <xdr:row>392</xdr:row>
      <xdr:rowOff>0</xdr:rowOff>
    </xdr:from>
    <xdr:ext cx="76200" cy="381000"/>
    <xdr:sp macro="" textlink="">
      <xdr:nvSpPr>
        <xdr:cNvPr id="275" name="Text Box 866">
          <a:extLst>
            <a:ext uri="{FF2B5EF4-FFF2-40B4-BE49-F238E27FC236}">
              <a16:creationId xmlns:a16="http://schemas.microsoft.com/office/drawing/2014/main" id="{DD1389FC-9D61-4515-893F-F9C7F880A4D2}"/>
            </a:ext>
          </a:extLst>
        </xdr:cNvPr>
        <xdr:cNvSpPr txBox="1">
          <a:spLocks noChangeArrowheads="1"/>
        </xdr:cNvSpPr>
      </xdr:nvSpPr>
      <xdr:spPr bwMode="auto">
        <a:xfrm>
          <a:off x="3676650" y="138750675"/>
          <a:ext cx="76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kabarole%20water\Users\maheswarreddy\Downloads\Reservoir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kabarole%20water\Users\maheswarreddy\Documents\Documents%20copy\ARUA%20Water%20Tender\Priced%20BOqs_for_BULUGANYA%20_GFS%20copy1.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D:\AJM\2017\Anthony\NPA%20BOQ\Applications\Microsoft%20Excel.app\F:\Ray's%20PC\ICM%20PROJECTS\2012%20Projects\Commisioned%20Projects\head%20quarters\Financial%20Appraisal\Apraisal%20No.1-%20Resubmitted%20to%20pius\EADB%20NILE%20AV.%20Financial%20Appraisal%201.xls?BEA7FD72" TargetMode="External"/><Relationship Id="rId1" Type="http://schemas.openxmlformats.org/officeDocument/2006/relationships/externalLinkPath" Target="file:///\\BEA7FD72\EADB%20NILE%20AV.%20Financial%20Appraisal%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Users\Mean-Machine\Desktop\EADB%20HO%20PENULTIMATE%20VALUATION%20for%20sig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kabarole%20water\Users\maheswarreddy\Documents\Documents%20copy\ARUA%20Water%20Tender\MTSP%20without%20EU%20grant%204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kabarole%20water\Users\maheswarreddy\Documents\Documents%20copy\ARUA%20Water%20Tender\Reservoir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windows\TEMP\BUDADIRI%20ENGINEER'S%20ESTIMAT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SGEOP/Desktop/WORK/Office/2020%20Projects/Miscellaneous/Ngabo%20Apartments/Measurement%20sheets/Measurement%20sheets%20-%20Serviced%20Ap'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ting rates"/>
      <sheetName val="list"/>
      <sheetName val="Sheet1"/>
      <sheetName val="Sheet2"/>
    </sheetNames>
    <sheetDataSet>
      <sheetData sheetId="0" refreshError="1"/>
      <sheetData sheetId="1" refreshError="1">
        <row r="8">
          <cell r="AG8">
            <v>1</v>
          </cell>
          <cell r="AH8" t="str">
            <v>Brick Masonry Reservoir Tank, 10 cum</v>
          </cell>
          <cell r="AI8">
            <v>156.14040375000002</v>
          </cell>
          <cell r="AJ8">
            <v>3.9035100937500005</v>
          </cell>
          <cell r="AK8">
            <v>4.2246891999999994</v>
          </cell>
          <cell r="AL8">
            <v>2.1123445999999997</v>
          </cell>
          <cell r="AM8">
            <v>2.6404307500000002</v>
          </cell>
          <cell r="AN8">
            <v>3.1685169000000002</v>
          </cell>
          <cell r="AO8">
            <v>0.52808615000000003</v>
          </cell>
          <cell r="AP8">
            <v>2.9044738250000006</v>
          </cell>
          <cell r="AQ8">
            <v>2.9044738250000006</v>
          </cell>
          <cell r="AR8">
            <v>56.62606108333334</v>
          </cell>
          <cell r="AS8" t="str">
            <v>M.S. reinforcement of plain hot rolled m.s. rods to BS4449 for slab, use 8mm bars at 150 c.c. spacing</v>
          </cell>
          <cell r="AV8">
            <v>65.119970245833329</v>
          </cell>
          <cell r="AW8">
            <v>1.4156515270833336</v>
          </cell>
          <cell r="AX8">
            <v>0.33975636650000007</v>
          </cell>
          <cell r="AY8">
            <v>0.67951273300000015</v>
          </cell>
          <cell r="AZ8">
            <v>1.2902140500000001</v>
          </cell>
          <cell r="BA8" t="str">
            <v>C20 reinforced concrete cement (standard mix in accordance to BS CP 114) for floor, thickness = 120mm</v>
          </cell>
          <cell r="BB8">
            <v>7.7412843000000002</v>
          </cell>
          <cell r="BC8">
            <v>0.64510702500000006</v>
          </cell>
          <cell r="BD8">
            <v>1.2902140500000001</v>
          </cell>
          <cell r="BE8">
            <v>1.4192354550000001</v>
          </cell>
          <cell r="BF8">
            <v>2.8384709100000003</v>
          </cell>
          <cell r="BG8">
            <v>4.45837753125</v>
          </cell>
          <cell r="BH8" t="str">
            <v>Brick masonry works in (1:3) for walls, as per cross sectoin on drawing</v>
          </cell>
          <cell r="BI8">
            <v>6.6875662968749996</v>
          </cell>
          <cell r="BJ8">
            <v>1.3375132593749999</v>
          </cell>
          <cell r="BL8">
            <v>2229.1887656250001</v>
          </cell>
          <cell r="BM8">
            <v>6.2417285437499999</v>
          </cell>
          <cell r="BN8">
            <v>6.2417285437499999</v>
          </cell>
          <cell r="BO8">
            <v>1.4021888906250002</v>
          </cell>
          <cell r="BP8">
            <v>8.4131333437500011</v>
          </cell>
          <cell r="BQ8">
            <v>0.70109444531250009</v>
          </cell>
          <cell r="BR8">
            <v>1.4021888906250002</v>
          </cell>
          <cell r="BS8">
            <v>1.5424077796875004</v>
          </cell>
          <cell r="BT8">
            <v>3.0848155593750008</v>
          </cell>
          <cell r="BU8">
            <v>32.821606625000008</v>
          </cell>
          <cell r="BV8" t="str">
            <v>M.S. reinforcement of plain hot rolled m.s. rods to BS4449 for slab, use 10 rings of 8mm bars as per cross section on drawings</v>
          </cell>
          <cell r="BY8">
            <v>32.821606625000008</v>
          </cell>
          <cell r="BZ8">
            <v>0.82054016562500021</v>
          </cell>
          <cell r="CA8">
            <v>0.19692963975000005</v>
          </cell>
          <cell r="CB8">
            <v>0.3938592795000001</v>
          </cell>
          <cell r="CC8">
            <v>1</v>
          </cell>
          <cell r="CD8">
            <v>2</v>
          </cell>
          <cell r="CE8">
            <v>22.579531250000002</v>
          </cell>
          <cell r="CF8">
            <v>9.4834031250000006</v>
          </cell>
          <cell r="CG8">
            <v>1.1289765625000001</v>
          </cell>
          <cell r="CH8">
            <v>0.56448828125000006</v>
          </cell>
          <cell r="CI8">
            <v>4.5159062500000005</v>
          </cell>
          <cell r="CJ8">
            <v>9.0318125000000009</v>
          </cell>
          <cell r="CK8">
            <v>22.579531250000002</v>
          </cell>
          <cell r="CL8">
            <v>1.1289765625000001</v>
          </cell>
          <cell r="CM8">
            <v>2.2579531250000002</v>
          </cell>
          <cell r="CN8">
            <v>2.2579531250000002</v>
          </cell>
          <cell r="CO8">
            <v>0</v>
          </cell>
          <cell r="CP8">
            <v>0</v>
          </cell>
          <cell r="CQ8">
            <v>0</v>
          </cell>
          <cell r="CR8">
            <v>0</v>
          </cell>
          <cell r="CS8">
            <v>0</v>
          </cell>
          <cell r="CT8">
            <v>4.9085937500000005</v>
          </cell>
          <cell r="CU8">
            <v>4.9085937500000005</v>
          </cell>
          <cell r="CV8">
            <v>9.8171875000000011</v>
          </cell>
          <cell r="CW8">
            <v>24.542968750000004</v>
          </cell>
          <cell r="CX8">
            <v>4.9085937500000005</v>
          </cell>
          <cell r="CY8">
            <v>1.2271484375000001</v>
          </cell>
          <cell r="CZ8">
            <v>2.4542968750000003</v>
          </cell>
          <cell r="DA8">
            <v>45.044397750000002</v>
          </cell>
          <cell r="DB8" t="str">
            <v>M.S. reinforcement of plain hot rolled m.s. rods to BS4449 for slab, use 8mm bars at 150 c.c. spacing</v>
          </cell>
          <cell r="DE8">
            <v>45.044397750000002</v>
          </cell>
          <cell r="DF8">
            <v>1.1261099437500002</v>
          </cell>
          <cell r="DG8">
            <v>0.27026638650000001</v>
          </cell>
          <cell r="DH8">
            <v>0.54053277300000002</v>
          </cell>
          <cell r="DI8">
            <v>1</v>
          </cell>
          <cell r="DJ8">
            <v>1</v>
          </cell>
          <cell r="DK8">
            <v>1.7160000000000002</v>
          </cell>
          <cell r="DL8">
            <v>0.25</v>
          </cell>
          <cell r="DM8">
            <v>2</v>
          </cell>
          <cell r="DN8">
            <v>1.25</v>
          </cell>
          <cell r="DO8">
            <v>0.25</v>
          </cell>
          <cell r="DP8">
            <v>1</v>
          </cell>
          <cell r="DQ8">
            <v>2</v>
          </cell>
          <cell r="DR8">
            <v>0.8</v>
          </cell>
          <cell r="DS8">
            <v>0.6</v>
          </cell>
          <cell r="DT8">
            <v>0.2</v>
          </cell>
          <cell r="DU8">
            <v>0.5</v>
          </cell>
          <cell r="DV8">
            <v>0.4</v>
          </cell>
          <cell r="DW8">
            <v>1.02632805</v>
          </cell>
          <cell r="DX8" t="str">
            <v>C20 reinforced concrete cement (standard mix in accordance to BS CP 114) for slab, thickness = 120mm</v>
          </cell>
          <cell r="DY8">
            <v>6.1579683000000003</v>
          </cell>
          <cell r="DZ8">
            <v>0.51316402500000002</v>
          </cell>
          <cell r="EA8">
            <v>1.02632805</v>
          </cell>
          <cell r="EB8">
            <v>1.1289608550000001</v>
          </cell>
          <cell r="EC8">
            <v>2.2579217100000002</v>
          </cell>
          <cell r="ED8">
            <v>35.341875000000002</v>
          </cell>
          <cell r="EE8" t="str">
            <v>Plastering outside tank in (1:3) cement-sand plaster in 2 layers of 12.5mm, total thickness = 25mm.</v>
          </cell>
          <cell r="EF8">
            <v>5.6448828125000006</v>
          </cell>
          <cell r="EG8">
            <v>0.67738593750000009</v>
          </cell>
          <cell r="EH8">
            <v>5.6448828125000006</v>
          </cell>
          <cell r="EI8">
            <v>5.6448828125000006</v>
          </cell>
          <cell r="EJ8">
            <v>0.84493783999999994</v>
          </cell>
          <cell r="EK8">
            <v>0.92943162400000001</v>
          </cell>
          <cell r="EL8">
            <v>25.446149999999999</v>
          </cell>
          <cell r="EM8">
            <v>32.4</v>
          </cell>
          <cell r="EN8">
            <v>0.32400000000000001</v>
          </cell>
          <cell r="EO8">
            <v>2.673</v>
          </cell>
          <cell r="EP8">
            <v>25.446149999999999</v>
          </cell>
          <cell r="EQ8">
            <v>8</v>
          </cell>
          <cell r="ER8">
            <v>0.31807687499999998</v>
          </cell>
          <cell r="ES8">
            <v>0.84820499999999999</v>
          </cell>
          <cell r="ET8">
            <v>0.84820499999999999</v>
          </cell>
          <cell r="EU8">
            <v>0.84820499999999999</v>
          </cell>
          <cell r="EV8">
            <v>1.69641</v>
          </cell>
          <cell r="EW8">
            <v>1</v>
          </cell>
        </row>
        <row r="9">
          <cell r="AG9">
            <v>2</v>
          </cell>
          <cell r="AH9" t="str">
            <v>Brick Masonry Reservoir Tank, 20 cum</v>
          </cell>
          <cell r="AI9">
            <v>179.07335375</v>
          </cell>
          <cell r="AJ9">
            <v>4.4768338437499997</v>
          </cell>
          <cell r="AK9">
            <v>7.1496613124999993</v>
          </cell>
          <cell r="AL9">
            <v>3.5748306562499996</v>
          </cell>
          <cell r="AM9">
            <v>4.0855207499999997</v>
          </cell>
          <cell r="AN9">
            <v>4.9026248999999993</v>
          </cell>
          <cell r="AO9">
            <v>0.81710415000000003</v>
          </cell>
          <cell r="AP9">
            <v>4.4940728249999999</v>
          </cell>
          <cell r="AQ9">
            <v>4.4940728249999999</v>
          </cell>
          <cell r="AR9">
            <v>142.72389498333337</v>
          </cell>
          <cell r="AS9" t="str">
            <v>M.S. reinforcement of plain hot rolled m.s. rods to BS4449 for slab, use 10mm bars at 150 c.c. spacing</v>
          </cell>
          <cell r="AU9">
            <v>164.13247923083335</v>
          </cell>
          <cell r="AW9">
            <v>3.5680973745833344</v>
          </cell>
          <cell r="AX9">
            <v>0.85634336990000026</v>
          </cell>
          <cell r="AY9">
            <v>1.7126867398000005</v>
          </cell>
          <cell r="AZ9">
            <v>2.6023400625000006</v>
          </cell>
          <cell r="BA9" t="str">
            <v>C20 reinforced concrete cement (standard mix in accordance to BS CP 114) for floor, thickness = 150mm</v>
          </cell>
          <cell r="BB9">
            <v>15.614040375000004</v>
          </cell>
          <cell r="BC9">
            <v>1.3011700312500003</v>
          </cell>
          <cell r="BD9">
            <v>2.6023400625000006</v>
          </cell>
          <cell r="BE9">
            <v>2.8625740687500008</v>
          </cell>
          <cell r="BF9">
            <v>5.7251481375000015</v>
          </cell>
          <cell r="BG9">
            <v>8.2424320874999992</v>
          </cell>
          <cell r="BH9" t="str">
            <v>Brick masonry works in (1:3) for walls, as per cross sectoin on drawing</v>
          </cell>
          <cell r="BI9">
            <v>12.363648131249999</v>
          </cell>
          <cell r="BJ9">
            <v>2.4727296262499996</v>
          </cell>
          <cell r="BL9">
            <v>4121.2160437499997</v>
          </cell>
          <cell r="BM9">
            <v>11.539404922499997</v>
          </cell>
          <cell r="BN9">
            <v>11.539404922499997</v>
          </cell>
          <cell r="BO9">
            <v>1.9752573937500002</v>
          </cell>
          <cell r="BP9">
            <v>11.8515443625</v>
          </cell>
          <cell r="BQ9">
            <v>0.9876286968750001</v>
          </cell>
          <cell r="BR9">
            <v>1.9752573937500002</v>
          </cell>
          <cell r="BS9">
            <v>2.1727831331250003</v>
          </cell>
          <cell r="BT9">
            <v>4.3455662662500005</v>
          </cell>
          <cell r="BU9">
            <v>54.276637950000016</v>
          </cell>
          <cell r="BV9" t="str">
            <v>M.S. reinforcement of plain hot rolled m.s. rods to BS4449 for slab, use 12 rings of 8mm bars as per cross section on drawings</v>
          </cell>
          <cell r="BY9">
            <v>54.276637950000016</v>
          </cell>
          <cell r="BZ9">
            <v>1.3569159487500004</v>
          </cell>
          <cell r="CA9">
            <v>0.32565982770000013</v>
          </cell>
          <cell r="CB9">
            <v>0.65131965540000025</v>
          </cell>
          <cell r="CC9">
            <v>1</v>
          </cell>
          <cell r="CD9">
            <v>2</v>
          </cell>
          <cell r="CE9">
            <v>34.909918750000003</v>
          </cell>
          <cell r="CF9">
            <v>14.662165875000001</v>
          </cell>
          <cell r="CG9">
            <v>1.7454959375000003</v>
          </cell>
          <cell r="CH9">
            <v>0.87274796875000016</v>
          </cell>
          <cell r="CI9">
            <v>6.9819837500000013</v>
          </cell>
          <cell r="CJ9">
            <v>13.963967500000003</v>
          </cell>
          <cell r="CK9">
            <v>34.909918750000003</v>
          </cell>
          <cell r="CL9">
            <v>1.7454959375000003</v>
          </cell>
          <cell r="CM9">
            <v>3.4909918750000006</v>
          </cell>
          <cell r="CN9">
            <v>3.4909918750000006</v>
          </cell>
          <cell r="CO9">
            <v>0</v>
          </cell>
          <cell r="CP9">
            <v>0</v>
          </cell>
          <cell r="CQ9">
            <v>0</v>
          </cell>
          <cell r="CR9">
            <v>0</v>
          </cell>
          <cell r="CS9">
            <v>0</v>
          </cell>
          <cell r="CT9">
            <v>9.6208437500000006</v>
          </cell>
          <cell r="CU9">
            <v>9.6208437500000006</v>
          </cell>
          <cell r="CV9">
            <v>19.241687500000001</v>
          </cell>
          <cell r="CW9">
            <v>48.104218750000001</v>
          </cell>
          <cell r="CX9">
            <v>9.6208437500000006</v>
          </cell>
          <cell r="CY9">
            <v>2.4052109375000001</v>
          </cell>
          <cell r="CZ9">
            <v>4.8104218750000003</v>
          </cell>
          <cell r="DA9">
            <v>119.46422898333333</v>
          </cell>
          <cell r="DB9" t="str">
            <v>M.S. reinforcement of plain hot rolled m.s. rods to BS4449 for slab, use 10mm bars at 150 c.c. spacing</v>
          </cell>
          <cell r="DD9">
            <v>119.46422898333333</v>
          </cell>
          <cell r="DF9">
            <v>2.9866057245833333</v>
          </cell>
          <cell r="DG9">
            <v>0.71678537389999997</v>
          </cell>
          <cell r="DH9">
            <v>1.4335707477999999</v>
          </cell>
          <cell r="DI9">
            <v>1</v>
          </cell>
          <cell r="DJ9">
            <v>1</v>
          </cell>
          <cell r="DK9">
            <v>1.7160000000000002</v>
          </cell>
          <cell r="DL9">
            <v>0.25</v>
          </cell>
          <cell r="DM9">
            <v>2</v>
          </cell>
          <cell r="DN9">
            <v>1.25</v>
          </cell>
          <cell r="DO9">
            <v>0.25</v>
          </cell>
          <cell r="DP9">
            <v>1</v>
          </cell>
          <cell r="DQ9">
            <v>2</v>
          </cell>
          <cell r="DR9">
            <v>0.8</v>
          </cell>
          <cell r="DS9">
            <v>0.6</v>
          </cell>
          <cell r="DT9">
            <v>0.2</v>
          </cell>
          <cell r="DU9">
            <v>0.5</v>
          </cell>
          <cell r="DV9">
            <v>0.4</v>
          </cell>
          <cell r="DW9">
            <v>2.1782375624999997</v>
          </cell>
          <cell r="DX9" t="str">
            <v>C20 reinforced concrete cement (standard mix in accordance to BS CP 114) for slab, thickness = 150mm</v>
          </cell>
          <cell r="DY9">
            <v>13.069425374999998</v>
          </cell>
          <cell r="DZ9">
            <v>1.0891187812499998</v>
          </cell>
          <cell r="EA9">
            <v>2.1782375624999997</v>
          </cell>
          <cell r="EB9">
            <v>2.3960613187499997</v>
          </cell>
          <cell r="EC9">
            <v>4.7921226374999994</v>
          </cell>
          <cell r="ED9">
            <v>50.578150000000001</v>
          </cell>
          <cell r="EE9" t="str">
            <v>Plastering outside tank in (1:3) cement-sand plaster in 2 layers of 12.5mm, total thickness = 25mm.</v>
          </cell>
          <cell r="EF9">
            <v>12.6445375</v>
          </cell>
          <cell r="EG9">
            <v>1.5173444999999999</v>
          </cell>
          <cell r="EH9">
            <v>12.6445375</v>
          </cell>
          <cell r="EI9">
            <v>12.6445375</v>
          </cell>
          <cell r="EJ9">
            <v>1.4299322624999999</v>
          </cell>
          <cell r="EK9">
            <v>1.5729254887500002</v>
          </cell>
          <cell r="EL9">
            <v>28.58765</v>
          </cell>
          <cell r="EM9">
            <v>36.4</v>
          </cell>
          <cell r="EN9">
            <v>0.36399999999999999</v>
          </cell>
          <cell r="EO9">
            <v>3.0030000000000001</v>
          </cell>
          <cell r="EP9">
            <v>28.58765</v>
          </cell>
          <cell r="EQ9">
            <v>10</v>
          </cell>
          <cell r="ER9">
            <v>0.357345625</v>
          </cell>
          <cell r="ES9">
            <v>0.95292166666666667</v>
          </cell>
          <cell r="ET9">
            <v>0.95292166666666667</v>
          </cell>
          <cell r="EU9">
            <v>0.95292166666666667</v>
          </cell>
          <cell r="EV9">
            <v>1.9058433333333333</v>
          </cell>
          <cell r="EW9">
            <v>1</v>
          </cell>
        </row>
        <row r="10">
          <cell r="AG10">
            <v>3</v>
          </cell>
          <cell r="AH10" t="str">
            <v>Brick Masonry Reservoir Tank, 30 cum</v>
          </cell>
          <cell r="AI10">
            <v>191.12886</v>
          </cell>
          <cell r="AJ10">
            <v>4.7782214999999999</v>
          </cell>
          <cell r="AK10">
            <v>9.1128631999999996</v>
          </cell>
          <cell r="AL10">
            <v>4.5564315999999998</v>
          </cell>
          <cell r="AM10">
            <v>4.925872</v>
          </cell>
          <cell r="AN10">
            <v>5.9110464</v>
          </cell>
          <cell r="AO10">
            <v>0.98517440000000001</v>
          </cell>
          <cell r="AP10">
            <v>5.4184592</v>
          </cell>
          <cell r="AQ10">
            <v>5.4184592</v>
          </cell>
          <cell r="AR10">
            <v>209.64712288000004</v>
          </cell>
          <cell r="AS10" t="str">
            <v>M.S. reinforcement of plain hot rolled m.s. rods to BS4449 for slab, use 10mm bars at 125 c.c. spacing</v>
          </cell>
          <cell r="AU10">
            <v>241.09419131200002</v>
          </cell>
          <cell r="AW10">
            <v>5.2411780720000012</v>
          </cell>
          <cell r="AX10">
            <v>1.2578827372800003</v>
          </cell>
          <cell r="AY10">
            <v>2.5157654745600007</v>
          </cell>
          <cell r="AZ10">
            <v>3.610211800000001</v>
          </cell>
          <cell r="BA10" t="str">
            <v>C20 reinforced concrete cement (standard mix in accordance to BS CP 114) for floor, thickness = 170mm</v>
          </cell>
          <cell r="BB10">
            <v>21.661270800000004</v>
          </cell>
          <cell r="BC10">
            <v>1.8051059000000005</v>
          </cell>
          <cell r="BD10">
            <v>3.610211800000001</v>
          </cell>
          <cell r="BE10">
            <v>3.9712329800000012</v>
          </cell>
          <cell r="BF10">
            <v>7.9424659600000025</v>
          </cell>
          <cell r="BG10">
            <v>12.315936600000002</v>
          </cell>
          <cell r="BH10" t="str">
            <v>Brick masonry works in (1:3) for walls, as per cross sectoin on drawing</v>
          </cell>
          <cell r="BI10">
            <v>18.473904900000004</v>
          </cell>
          <cell r="BJ10">
            <v>3.6947809800000004</v>
          </cell>
          <cell r="BL10">
            <v>6157.9683000000014</v>
          </cell>
          <cell r="BM10">
            <v>17.242311240000003</v>
          </cell>
          <cell r="BN10">
            <v>17.242311240000003</v>
          </cell>
          <cell r="BO10">
            <v>2.6368572937500003</v>
          </cell>
          <cell r="BP10">
            <v>15.821143762500002</v>
          </cell>
          <cell r="BQ10">
            <v>1.3184286468750002</v>
          </cell>
          <cell r="BR10">
            <v>2.6368572937500003</v>
          </cell>
          <cell r="BS10">
            <v>2.9005430231250005</v>
          </cell>
          <cell r="BT10">
            <v>5.8010860462500009</v>
          </cell>
          <cell r="BU10">
            <v>88.715598727500009</v>
          </cell>
          <cell r="BV10" t="str">
            <v>M.S. reinforcement of plain hot rolled m.s. rods to BS4449 for slab, use 11 rings of 8mm bars and 4 rings of 10mm bars as per cross section on drawings</v>
          </cell>
          <cell r="BX10">
            <v>32.13710519</v>
          </cell>
          <cell r="BY10">
            <v>56.578493537500002</v>
          </cell>
          <cell r="BZ10">
            <v>2.2178899681875004</v>
          </cell>
          <cell r="CA10">
            <v>0.53229359236500007</v>
          </cell>
          <cell r="CB10">
            <v>1.0645871847300001</v>
          </cell>
          <cell r="CC10">
            <v>1</v>
          </cell>
          <cell r="CD10">
            <v>2</v>
          </cell>
          <cell r="CE10">
            <v>46.494200000000006</v>
          </cell>
          <cell r="CF10">
            <v>19.527564000000002</v>
          </cell>
          <cell r="CG10">
            <v>2.3247100000000005</v>
          </cell>
          <cell r="CH10">
            <v>1.1623550000000002</v>
          </cell>
          <cell r="CI10">
            <v>9.298840000000002</v>
          </cell>
          <cell r="CJ10">
            <v>18.597680000000004</v>
          </cell>
          <cell r="CK10">
            <v>46.494200000000006</v>
          </cell>
          <cell r="CL10">
            <v>2.3247100000000005</v>
          </cell>
          <cell r="CM10">
            <v>4.649420000000001</v>
          </cell>
          <cell r="CN10">
            <v>4.649420000000001</v>
          </cell>
          <cell r="CO10">
            <v>1</v>
          </cell>
          <cell r="CP10">
            <v>3.25</v>
          </cell>
          <cell r="CQ10">
            <v>0.25</v>
          </cell>
          <cell r="CR10">
            <v>1</v>
          </cell>
          <cell r="CS10">
            <v>1</v>
          </cell>
          <cell r="CT10">
            <v>12.566000000000001</v>
          </cell>
          <cell r="CU10">
            <v>12.566000000000001</v>
          </cell>
          <cell r="CV10">
            <v>25.132000000000001</v>
          </cell>
          <cell r="CW10">
            <v>62.830000000000005</v>
          </cell>
          <cell r="CX10">
            <v>12.566000000000001</v>
          </cell>
          <cell r="CY10">
            <v>3.1415000000000002</v>
          </cell>
          <cell r="CZ10">
            <v>6.2830000000000004</v>
          </cell>
          <cell r="DA10">
            <v>127.59588205714287</v>
          </cell>
          <cell r="DB10" t="str">
            <v>M.S. reinforcement of plain hot rolled m.s. rods to BS4449 for slab, use 10mm bars at 175 c.c. spacing</v>
          </cell>
          <cell r="DD10">
            <v>127.59588205714287</v>
          </cell>
          <cell r="DF10">
            <v>3.1898970514285718</v>
          </cell>
          <cell r="DG10">
            <v>0.76557529234285726</v>
          </cell>
          <cell r="DH10">
            <v>1.5311505846857145</v>
          </cell>
          <cell r="DI10">
            <v>1</v>
          </cell>
          <cell r="DJ10">
            <v>1</v>
          </cell>
          <cell r="DK10">
            <v>1.7160000000000002</v>
          </cell>
          <cell r="DL10">
            <v>0.25</v>
          </cell>
          <cell r="DM10">
            <v>2</v>
          </cell>
          <cell r="DN10">
            <v>1.25</v>
          </cell>
          <cell r="DO10">
            <v>0.25</v>
          </cell>
          <cell r="DP10">
            <v>1</v>
          </cell>
          <cell r="DQ10">
            <v>2</v>
          </cell>
          <cell r="DR10">
            <v>0.8</v>
          </cell>
          <cell r="DS10">
            <v>0.6</v>
          </cell>
          <cell r="DT10">
            <v>0.2</v>
          </cell>
          <cell r="DU10">
            <v>0.5</v>
          </cell>
          <cell r="DV10">
            <v>0.4</v>
          </cell>
          <cell r="DW10">
            <v>2.1714047999999999</v>
          </cell>
          <cell r="DX10" t="str">
            <v>C20 reinforced concrete cement (standard mix in accordance to BS CP 114) for slab, thickness = 120mm</v>
          </cell>
          <cell r="DY10">
            <v>13.0284288</v>
          </cell>
          <cell r="DZ10">
            <v>1.0857024</v>
          </cell>
          <cell r="EA10">
            <v>2.1714047999999999</v>
          </cell>
          <cell r="EB10">
            <v>2.3885452800000002</v>
          </cell>
          <cell r="EC10">
            <v>4.7770905600000004</v>
          </cell>
          <cell r="ED10">
            <v>67.856400000000008</v>
          </cell>
          <cell r="EE10" t="str">
            <v>Plastering outside tank in (1:3) cement-sand plaster in 2 layers of 12.5mm, total thickness = 25mm.</v>
          </cell>
          <cell r="EF10">
            <v>16.964100000000002</v>
          </cell>
          <cell r="EG10">
            <v>2.0356920000000001</v>
          </cell>
          <cell r="EH10">
            <v>16.964100000000002</v>
          </cell>
          <cell r="EI10">
            <v>16.964100000000002</v>
          </cell>
          <cell r="EJ10">
            <v>1.82257264</v>
          </cell>
          <cell r="EK10">
            <v>2.0048299040000002</v>
          </cell>
          <cell r="EL10">
            <v>30.1584</v>
          </cell>
          <cell r="EM10">
            <v>38.4</v>
          </cell>
          <cell r="EN10">
            <v>0.38400000000000001</v>
          </cell>
          <cell r="EO10">
            <v>3.1680000000000001</v>
          </cell>
          <cell r="EP10">
            <v>30.1584</v>
          </cell>
          <cell r="EQ10">
            <v>10</v>
          </cell>
          <cell r="ER10">
            <v>0.37697999999999998</v>
          </cell>
          <cell r="ES10">
            <v>1.00528</v>
          </cell>
          <cell r="ET10">
            <v>1.00528</v>
          </cell>
          <cell r="EU10">
            <v>1.00528</v>
          </cell>
          <cell r="EV10">
            <v>2.0105599999999999</v>
          </cell>
          <cell r="EW10">
            <v>1</v>
          </cell>
        </row>
        <row r="11">
          <cell r="AG11">
            <v>4</v>
          </cell>
          <cell r="AH11" t="str">
            <v>Brick Masonry Reservoir Tank, 40 cum</v>
          </cell>
          <cell r="AI11">
            <v>203.57705375000003</v>
          </cell>
          <cell r="AJ11">
            <v>5.0894263437500014</v>
          </cell>
          <cell r="AK11">
            <v>11.105045425</v>
          </cell>
          <cell r="AL11">
            <v>5.5525227125000001</v>
          </cell>
          <cell r="AM11">
            <v>5.8447607499999998</v>
          </cell>
          <cell r="AN11">
            <v>7.0137128999999998</v>
          </cell>
          <cell r="AO11">
            <v>1.16895215</v>
          </cell>
          <cell r="AP11">
            <v>6.4292368250000003</v>
          </cell>
          <cell r="AQ11">
            <v>6.4292368250000003</v>
          </cell>
          <cell r="AR11">
            <v>314.87772847500003</v>
          </cell>
          <cell r="AS11" t="str">
            <v>M.S. reinforcement of plain hot rolled m.s. rods to BS4449 for slab, use 10mm bars at 100 c.c. spacing</v>
          </cell>
          <cell r="AU11">
            <v>362.10938774624998</v>
          </cell>
          <cell r="AW11">
            <v>7.871943211875001</v>
          </cell>
          <cell r="AX11">
            <v>1.8892663708500002</v>
          </cell>
          <cell r="AY11">
            <v>3.7785327417000003</v>
          </cell>
          <cell r="AZ11">
            <v>4.5930300750000006</v>
          </cell>
          <cell r="BA11" t="str">
            <v>C20 reinforced concrete cement (standard mix in accordance to BS CP 114) for floor, thickness = 180mm</v>
          </cell>
          <cell r="BB11">
            <v>27.558180450000002</v>
          </cell>
          <cell r="BC11">
            <v>2.2965150375000003</v>
          </cell>
          <cell r="BD11">
            <v>4.5930300750000006</v>
          </cell>
          <cell r="BE11">
            <v>5.0523330825000015</v>
          </cell>
          <cell r="BF11">
            <v>10.104666165000003</v>
          </cell>
          <cell r="BG11">
            <v>15.274051537500005</v>
          </cell>
          <cell r="BH11" t="str">
            <v>Brick masonry works in (1:3) for walls, as per cross sectoin on drawing</v>
          </cell>
          <cell r="BI11">
            <v>22.911077306250007</v>
          </cell>
          <cell r="BJ11">
            <v>4.5822154612500015</v>
          </cell>
          <cell r="BL11">
            <v>7637.0257687500025</v>
          </cell>
          <cell r="BM11">
            <v>21.383672152500008</v>
          </cell>
          <cell r="BN11">
            <v>21.383672152500008</v>
          </cell>
          <cell r="BO11">
            <v>2.9549341687500004</v>
          </cell>
          <cell r="BP11">
            <v>17.729605012500002</v>
          </cell>
          <cell r="BQ11">
            <v>1.4774670843750002</v>
          </cell>
          <cell r="BR11">
            <v>2.9549341687500004</v>
          </cell>
          <cell r="BS11">
            <v>3.2504275856250007</v>
          </cell>
          <cell r="BT11">
            <v>6.5008551712500013</v>
          </cell>
          <cell r="BU11">
            <v>99.417118477499997</v>
          </cell>
          <cell r="BV11" t="str">
            <v>M.S. reinforcement of plain hot rolled m.s. rods to BS4449 for slab, use 11 rings of 8mm bars and 4 rings of 10mm bars as per cross section on drawings</v>
          </cell>
          <cell r="BX11">
            <v>36.013716189999997</v>
          </cell>
          <cell r="BY11">
            <v>63.403402287500001</v>
          </cell>
          <cell r="BZ11">
            <v>2.4854279619374999</v>
          </cell>
          <cell r="CA11">
            <v>0.59650271086499995</v>
          </cell>
          <cell r="CB11">
            <v>1.1930054217299999</v>
          </cell>
          <cell r="CC11">
            <v>1</v>
          </cell>
          <cell r="CD11">
            <v>2</v>
          </cell>
          <cell r="CE11">
            <v>54.073068750000004</v>
          </cell>
          <cell r="CF11">
            <v>22.710688875000002</v>
          </cell>
          <cell r="CG11">
            <v>2.7036534375000003</v>
          </cell>
          <cell r="CH11">
            <v>1.3518267187500002</v>
          </cell>
          <cell r="CI11">
            <v>10.814613750000001</v>
          </cell>
          <cell r="CJ11">
            <v>21.629227500000002</v>
          </cell>
          <cell r="CK11">
            <v>54.073068750000004</v>
          </cell>
          <cell r="CL11">
            <v>2.7036534375000003</v>
          </cell>
          <cell r="CM11">
            <v>5.4073068750000006</v>
          </cell>
          <cell r="CN11">
            <v>5.4073068750000006</v>
          </cell>
          <cell r="CO11">
            <v>1</v>
          </cell>
          <cell r="CP11">
            <v>3.25</v>
          </cell>
          <cell r="CQ11">
            <v>0.25</v>
          </cell>
          <cell r="CR11">
            <v>1</v>
          </cell>
          <cell r="CS11">
            <v>1</v>
          </cell>
          <cell r="CT11">
            <v>15.90384375</v>
          </cell>
          <cell r="CU11">
            <v>15.90384375</v>
          </cell>
          <cell r="CV11">
            <v>31.8076875</v>
          </cell>
          <cell r="CW11">
            <v>79.519218749999993</v>
          </cell>
          <cell r="CX11">
            <v>15.90384375</v>
          </cell>
          <cell r="CY11">
            <v>3.9759609375</v>
          </cell>
          <cell r="CZ11">
            <v>7.951921875</v>
          </cell>
          <cell r="DA11">
            <v>181.49000498333336</v>
          </cell>
          <cell r="DB11" t="str">
            <v>M.S. reinforcement of plain hot rolled m.s. rods to BS4449 for slab, use 10mm bars at 150 c.c. spacing</v>
          </cell>
          <cell r="DD11">
            <v>181.49000498333336</v>
          </cell>
          <cell r="DF11">
            <v>4.5372501245833341</v>
          </cell>
          <cell r="DG11">
            <v>1.0889400299000003</v>
          </cell>
          <cell r="DH11">
            <v>2.1778800598000005</v>
          </cell>
          <cell r="DI11">
            <v>2</v>
          </cell>
          <cell r="DJ11">
            <v>1</v>
          </cell>
          <cell r="DK11">
            <v>3.4320000000000004</v>
          </cell>
          <cell r="DL11">
            <v>0.5</v>
          </cell>
          <cell r="DM11">
            <v>4</v>
          </cell>
          <cell r="DN11">
            <v>2.5</v>
          </cell>
          <cell r="DO11">
            <v>0.5</v>
          </cell>
          <cell r="DP11">
            <v>2</v>
          </cell>
          <cell r="DQ11">
            <v>2</v>
          </cell>
          <cell r="DR11">
            <v>0.8</v>
          </cell>
          <cell r="DS11">
            <v>0.6</v>
          </cell>
          <cell r="DT11">
            <v>0.2</v>
          </cell>
          <cell r="DU11">
            <v>0.5</v>
          </cell>
          <cell r="DV11">
            <v>0.4</v>
          </cell>
          <cell r="DW11">
            <v>2.8679538875000001</v>
          </cell>
          <cell r="DX11" t="str">
            <v>C20 reinforced concrete cement (standard mix in accordance to BS CP 114) for slab, thickness = 130mm</v>
          </cell>
          <cell r="DY11">
            <v>17.207723325</v>
          </cell>
          <cell r="DZ11">
            <v>1.4339769437500001</v>
          </cell>
          <cell r="EA11">
            <v>2.8679538875000001</v>
          </cell>
          <cell r="EB11">
            <v>3.1547492762500005</v>
          </cell>
          <cell r="EC11">
            <v>6.3094985525000009</v>
          </cell>
          <cell r="ED11">
            <v>76.338450000000009</v>
          </cell>
          <cell r="EE11" t="str">
            <v>Plastering outside tank in (1:3) cement-sand plaster in 2 layers of 12.5mm, total thickness = 25mm.</v>
          </cell>
          <cell r="EF11">
            <v>19.084612500000002</v>
          </cell>
          <cell r="EG11">
            <v>2.2901535000000002</v>
          </cell>
          <cell r="EH11">
            <v>19.084612500000002</v>
          </cell>
          <cell r="EI11">
            <v>19.084612500000002</v>
          </cell>
          <cell r="EJ11">
            <v>2.2210090849999999</v>
          </cell>
          <cell r="EK11">
            <v>2.4431099935000002</v>
          </cell>
          <cell r="EL11">
            <v>31.729150000000001</v>
          </cell>
          <cell r="EM11">
            <v>40.4</v>
          </cell>
          <cell r="EN11">
            <v>0.40399999999999997</v>
          </cell>
          <cell r="EO11">
            <v>3.3330000000000002</v>
          </cell>
          <cell r="EP11">
            <v>31.729150000000001</v>
          </cell>
          <cell r="EQ11">
            <v>11</v>
          </cell>
          <cell r="ER11">
            <v>0.39661437500000007</v>
          </cell>
          <cell r="ES11">
            <v>1.0576383333333335</v>
          </cell>
          <cell r="ET11">
            <v>1.0576383333333335</v>
          </cell>
          <cell r="EU11">
            <v>1.0576383333333335</v>
          </cell>
          <cell r="EV11">
            <v>2.1152766666666669</v>
          </cell>
          <cell r="EW11">
            <v>1</v>
          </cell>
        </row>
        <row r="12">
          <cell r="AG12">
            <v>5</v>
          </cell>
          <cell r="AH12" t="str">
            <v>Brick Masonry Reservoir Tank, 50 cum</v>
          </cell>
          <cell r="AI12">
            <v>216.41793500000006</v>
          </cell>
          <cell r="AJ12">
            <v>5.4104483750000014</v>
          </cell>
          <cell r="AK12">
            <v>13.684374</v>
          </cell>
          <cell r="AL12">
            <v>6.842187</v>
          </cell>
          <cell r="AM12">
            <v>6.842187</v>
          </cell>
          <cell r="AN12">
            <v>8.2106244000000004</v>
          </cell>
          <cell r="AO12">
            <v>1.3684374000000001</v>
          </cell>
          <cell r="AP12">
            <v>7.5264057000000006</v>
          </cell>
          <cell r="AQ12">
            <v>7.5264057000000006</v>
          </cell>
          <cell r="AR12">
            <v>372.54231710000005</v>
          </cell>
          <cell r="AS12" t="str">
            <v>M.S. reinforcement of plain hot rolled m.s. rods to BS4449 for slab, use 10mm bars at 100 c.c. spacing</v>
          </cell>
          <cell r="AU12">
            <v>428.42366466500005</v>
          </cell>
          <cell r="AW12">
            <v>9.3135579275000016</v>
          </cell>
          <cell r="AX12">
            <v>2.2352539026000002</v>
          </cell>
          <cell r="AY12">
            <v>4.4705078052000005</v>
          </cell>
          <cell r="AZ12">
            <v>6.0379630000000013</v>
          </cell>
          <cell r="BA12" t="str">
            <v>C20 reinforced concrete cement (standard mix in accordance to BS CP 114) for floor, thickness = 200mm</v>
          </cell>
          <cell r="BB12">
            <v>36.227778000000008</v>
          </cell>
          <cell r="BC12">
            <v>3.0189815000000007</v>
          </cell>
          <cell r="BD12">
            <v>6.0379630000000013</v>
          </cell>
          <cell r="BE12">
            <v>6.6417593000000021</v>
          </cell>
          <cell r="BF12">
            <v>13.283518600000004</v>
          </cell>
          <cell r="BG12">
            <v>18.893766375000002</v>
          </cell>
          <cell r="BH12" t="str">
            <v>Brick masonry works in (1:3) for walls, as per cross sectoin on drawing</v>
          </cell>
          <cell r="BI12">
            <v>28.340649562500005</v>
          </cell>
          <cell r="BJ12">
            <v>5.6681299125000004</v>
          </cell>
          <cell r="BL12">
            <v>9446.8831875000014</v>
          </cell>
          <cell r="BM12">
            <v>26.451272925000001</v>
          </cell>
          <cell r="BN12">
            <v>26.451272925000001</v>
          </cell>
          <cell r="BO12">
            <v>3.3336223593749996</v>
          </cell>
          <cell r="BP12">
            <v>20.001734156249999</v>
          </cell>
          <cell r="BQ12">
            <v>1.6668111796874998</v>
          </cell>
          <cell r="BR12">
            <v>3.3336223593749996</v>
          </cell>
          <cell r="BS12">
            <v>3.6669845953125</v>
          </cell>
          <cell r="BT12">
            <v>7.333969190625</v>
          </cell>
          <cell r="BU12">
            <v>110.11863822749999</v>
          </cell>
          <cell r="BV12" t="str">
            <v>M.S. reinforcement of plain hot rolled m.s. rods to BS4449 for slab, use 11 rings of 8mm bars and 4 rings of 10mm bars as per cross section on drawings</v>
          </cell>
          <cell r="BX12">
            <v>39.890327189999994</v>
          </cell>
          <cell r="BY12">
            <v>70.228311037499992</v>
          </cell>
          <cell r="BZ12">
            <v>2.7529659556874999</v>
          </cell>
          <cell r="CA12">
            <v>0.66071182936499995</v>
          </cell>
          <cell r="CB12">
            <v>1.3214236587299999</v>
          </cell>
          <cell r="CC12">
            <v>1</v>
          </cell>
          <cell r="CD12">
            <v>2</v>
          </cell>
          <cell r="CE12">
            <v>62.830000000000013</v>
          </cell>
          <cell r="CF12">
            <v>26.388600000000004</v>
          </cell>
          <cell r="CG12">
            <v>3.1415000000000006</v>
          </cell>
          <cell r="CH12">
            <v>1.5707500000000003</v>
          </cell>
          <cell r="CI12">
            <v>12.566000000000003</v>
          </cell>
          <cell r="CJ12">
            <v>25.132000000000005</v>
          </cell>
          <cell r="CK12">
            <v>62.830000000000013</v>
          </cell>
          <cell r="CL12">
            <v>3.1415000000000006</v>
          </cell>
          <cell r="CM12">
            <v>6.2830000000000013</v>
          </cell>
          <cell r="CN12">
            <v>6.2830000000000013</v>
          </cell>
          <cell r="CO12">
            <v>1</v>
          </cell>
          <cell r="CP12">
            <v>3.25</v>
          </cell>
          <cell r="CQ12">
            <v>0.25</v>
          </cell>
          <cell r="CR12">
            <v>1</v>
          </cell>
          <cell r="CS12">
            <v>1</v>
          </cell>
          <cell r="CT12">
            <v>19.634375000000002</v>
          </cell>
          <cell r="CU12">
            <v>19.634375000000002</v>
          </cell>
          <cell r="CV12">
            <v>39.268750000000004</v>
          </cell>
          <cell r="CW12">
            <v>98.171875000000014</v>
          </cell>
          <cell r="CX12">
            <v>19.634375000000002</v>
          </cell>
          <cell r="CY12">
            <v>4.9085937500000005</v>
          </cell>
          <cell r="CZ12">
            <v>9.8171875000000011</v>
          </cell>
          <cell r="DA12">
            <v>217.34865673333337</v>
          </cell>
          <cell r="DB12" t="str">
            <v>M.S. reinforcement of plain hot rolled m.s. rods to BS4449 for slab, use 10mm bars at 150 c.c. spacing</v>
          </cell>
          <cell r="DD12">
            <v>217.34865673333337</v>
          </cell>
          <cell r="DF12">
            <v>5.4337164183333346</v>
          </cell>
          <cell r="DG12">
            <v>1.3040919404000002</v>
          </cell>
          <cell r="DH12">
            <v>2.6081838808000004</v>
          </cell>
          <cell r="DI12">
            <v>2</v>
          </cell>
          <cell r="DJ12">
            <v>1</v>
          </cell>
          <cell r="DK12">
            <v>3.4320000000000004</v>
          </cell>
          <cell r="DL12">
            <v>0.5</v>
          </cell>
          <cell r="DM12">
            <v>4</v>
          </cell>
          <cell r="DN12">
            <v>2.5</v>
          </cell>
          <cell r="DO12">
            <v>0.5</v>
          </cell>
          <cell r="DP12">
            <v>2</v>
          </cell>
          <cell r="DQ12">
            <v>2</v>
          </cell>
          <cell r="DR12">
            <v>0.8</v>
          </cell>
          <cell r="DS12">
            <v>0.6</v>
          </cell>
          <cell r="DT12">
            <v>0.2</v>
          </cell>
          <cell r="DU12">
            <v>0.5</v>
          </cell>
          <cell r="DV12">
            <v>0.4</v>
          </cell>
          <cell r="DW12">
            <v>3.6988021000000009</v>
          </cell>
          <cell r="DX12" t="str">
            <v>C20 reinforced concrete cement (standard mix in accordance to BS CP 114) for slab, thickness = 140mm</v>
          </cell>
          <cell r="DY12">
            <v>22.192812600000003</v>
          </cell>
          <cell r="DZ12">
            <v>1.8494010500000004</v>
          </cell>
          <cell r="EA12">
            <v>3.6988021000000009</v>
          </cell>
          <cell r="EB12">
            <v>4.0686823100000016</v>
          </cell>
          <cell r="EC12">
            <v>8.1373646200000032</v>
          </cell>
          <cell r="ED12">
            <v>86.391250000000014</v>
          </cell>
          <cell r="EE12" t="str">
            <v>Plastering outside tank in (1:3) cement-sand plaster in 2 layers of 12.5mm, total thickness = 25mm.</v>
          </cell>
          <cell r="EF12">
            <v>21.597812500000003</v>
          </cell>
          <cell r="EG12">
            <v>2.5917375000000002</v>
          </cell>
          <cell r="EH12">
            <v>21.597812500000003</v>
          </cell>
          <cell r="EI12">
            <v>21.597812500000003</v>
          </cell>
          <cell r="EJ12">
            <v>2.7368748000000003</v>
          </cell>
          <cell r="EK12">
            <v>3.0105622800000007</v>
          </cell>
          <cell r="EL12">
            <v>33.299900000000001</v>
          </cell>
          <cell r="EM12">
            <v>42.4</v>
          </cell>
          <cell r="EN12">
            <v>0.42399999999999999</v>
          </cell>
          <cell r="EO12">
            <v>3.4980000000000002</v>
          </cell>
          <cell r="EP12">
            <v>33.299900000000001</v>
          </cell>
          <cell r="EQ12">
            <v>11</v>
          </cell>
          <cell r="ER12">
            <v>0.41624875</v>
          </cell>
          <cell r="ES12">
            <v>1.1099966666666667</v>
          </cell>
          <cell r="ET12">
            <v>1.1099966666666667</v>
          </cell>
          <cell r="EU12">
            <v>1.1099966666666667</v>
          </cell>
          <cell r="EV12">
            <v>2.2199933333333335</v>
          </cell>
          <cell r="EW12">
            <v>1</v>
          </cell>
        </row>
        <row r="13">
          <cell r="AG13">
            <v>6</v>
          </cell>
          <cell r="AH13" t="str">
            <v>Brick Masonry Reservoir Tank, 60 cum</v>
          </cell>
          <cell r="AI13">
            <v>229.65150375000005</v>
          </cell>
          <cell r="AJ13">
            <v>5.7412875937500019</v>
          </cell>
          <cell r="AK13">
            <v>16.232209037499999</v>
          </cell>
          <cell r="AL13">
            <v>8.1161045187499994</v>
          </cell>
          <cell r="AM13">
            <v>7.9181507499999997</v>
          </cell>
          <cell r="AN13">
            <v>9.5017809</v>
          </cell>
          <cell r="AO13">
            <v>1.5836301500000001</v>
          </cell>
          <cell r="AP13">
            <v>8.7099658250000012</v>
          </cell>
          <cell r="AQ13">
            <v>8.7099658250000012</v>
          </cell>
          <cell r="AR13">
            <v>500.90991312000006</v>
          </cell>
          <cell r="AS13" t="str">
            <v>M.S. reinforcement of plain hot rolled m.s. rods to BS4449 for slab, use 12mm bars at 125 c.c. spacing</v>
          </cell>
          <cell r="AT13">
            <v>576.04640008800004</v>
          </cell>
          <cell r="AW13">
            <v>12.522747828000002</v>
          </cell>
          <cell r="AX13">
            <v>3.0054594787200002</v>
          </cell>
          <cell r="AY13">
            <v>6.0109189574400004</v>
          </cell>
          <cell r="AZ13">
            <v>7.4036515875000006</v>
          </cell>
          <cell r="BA13" t="str">
            <v>C20 reinforced concrete cement (standard mix in accordance to BS CP 114) for floor, thickness = 210mm</v>
          </cell>
          <cell r="BB13">
            <v>44.421909525000004</v>
          </cell>
          <cell r="BC13">
            <v>3.7018257937500003</v>
          </cell>
          <cell r="BD13">
            <v>7.4036515875000006</v>
          </cell>
          <cell r="BE13">
            <v>8.144016746250001</v>
          </cell>
          <cell r="BF13">
            <v>16.288033492500002</v>
          </cell>
          <cell r="BG13">
            <v>22.144512037500004</v>
          </cell>
          <cell r="BH13" t="str">
            <v>Brick masonry works in (1:3) for walls, as per cross sectoin on drawing</v>
          </cell>
          <cell r="BI13">
            <v>33.216768056250004</v>
          </cell>
          <cell r="BJ13">
            <v>6.6433536112500011</v>
          </cell>
          <cell r="BL13">
            <v>11072.256018750002</v>
          </cell>
          <cell r="BM13">
            <v>31.002316852500002</v>
          </cell>
          <cell r="BN13">
            <v>31.002316852500002</v>
          </cell>
          <cell r="BO13">
            <v>3.59108791875</v>
          </cell>
          <cell r="BP13">
            <v>21.546527512499999</v>
          </cell>
          <cell r="BQ13">
            <v>1.795543959375</v>
          </cell>
          <cell r="BR13">
            <v>3.59108791875</v>
          </cell>
          <cell r="BS13">
            <v>3.9501967106250002</v>
          </cell>
          <cell r="BT13">
            <v>7.9003934212500004</v>
          </cell>
          <cell r="BU13">
            <v>120.8201579775</v>
          </cell>
          <cell r="BV13" t="str">
            <v>M.S. reinforcement of plain hot rolled m.s. rods to BS4449 for slab, use 11 rings of 8mm bars and 4 rings of 10mm bars as per cross section on drawings</v>
          </cell>
          <cell r="BX13">
            <v>43.766938189999998</v>
          </cell>
          <cell r="BY13">
            <v>77.053219787499998</v>
          </cell>
          <cell r="BZ13">
            <v>3.0205039494375003</v>
          </cell>
          <cell r="CA13">
            <v>0.72492094786500005</v>
          </cell>
          <cell r="CB13">
            <v>1.4498418957300001</v>
          </cell>
          <cell r="CC13">
            <v>1</v>
          </cell>
          <cell r="CD13">
            <v>2</v>
          </cell>
          <cell r="CE13">
            <v>70.408868750000011</v>
          </cell>
          <cell r="CF13">
            <v>29.571724875000005</v>
          </cell>
          <cell r="CG13">
            <v>3.5204434375000009</v>
          </cell>
          <cell r="CH13">
            <v>1.7602217187500004</v>
          </cell>
          <cell r="CI13">
            <v>14.081773750000004</v>
          </cell>
          <cell r="CJ13">
            <v>28.163547500000007</v>
          </cell>
          <cell r="CK13">
            <v>70.408868750000011</v>
          </cell>
          <cell r="CL13">
            <v>3.5204434375000009</v>
          </cell>
          <cell r="CM13">
            <v>7.0408868750000018</v>
          </cell>
          <cell r="CN13">
            <v>7.0408868750000018</v>
          </cell>
          <cell r="CO13">
            <v>1</v>
          </cell>
          <cell r="CP13">
            <v>3.25</v>
          </cell>
          <cell r="CQ13">
            <v>0.25</v>
          </cell>
          <cell r="CR13">
            <v>1</v>
          </cell>
          <cell r="CS13">
            <v>1</v>
          </cell>
          <cell r="CT13">
            <v>23.757593750000002</v>
          </cell>
          <cell r="CU13">
            <v>23.757593750000002</v>
          </cell>
          <cell r="CV13">
            <v>47.515187500000003</v>
          </cell>
          <cell r="CW13">
            <v>118.78796875</v>
          </cell>
          <cell r="CX13">
            <v>23.757593750000002</v>
          </cell>
          <cell r="CY13">
            <v>5.9393984375000004</v>
          </cell>
          <cell r="CZ13">
            <v>11.878796875000001</v>
          </cell>
          <cell r="DA13">
            <v>316.34653680000002</v>
          </cell>
          <cell r="DB13" t="str">
            <v>M.S. reinforcement of plain hot rolled m.s. rods to BS4449 for slab, use 12mm bars at 175 c.c. spacing</v>
          </cell>
          <cell r="DC13">
            <v>316.34653680000002</v>
          </cell>
          <cell r="DF13">
            <v>7.9086634200000008</v>
          </cell>
          <cell r="DG13">
            <v>1.8980792208000001</v>
          </cell>
          <cell r="DH13">
            <v>3.7961584416000003</v>
          </cell>
          <cell r="DI13">
            <v>2</v>
          </cell>
          <cell r="DJ13">
            <v>1</v>
          </cell>
          <cell r="DK13">
            <v>3.4320000000000004</v>
          </cell>
          <cell r="DL13">
            <v>0.5</v>
          </cell>
          <cell r="DM13">
            <v>4</v>
          </cell>
          <cell r="DN13">
            <v>2.5</v>
          </cell>
          <cell r="DO13">
            <v>0.5</v>
          </cell>
          <cell r="DP13">
            <v>2</v>
          </cell>
          <cell r="DQ13">
            <v>2</v>
          </cell>
          <cell r="DR13">
            <v>0.8</v>
          </cell>
          <cell r="DS13">
            <v>0.6</v>
          </cell>
          <cell r="DT13">
            <v>0.2</v>
          </cell>
          <cell r="DU13">
            <v>0.5</v>
          </cell>
          <cell r="DV13">
            <v>0.4</v>
          </cell>
          <cell r="DW13">
            <v>4.6757300624999996</v>
          </cell>
          <cell r="DX13" t="str">
            <v>C20 reinforced concrete cement (standard mix in accordance to BS CP 114) for slab, thickness = 150mm</v>
          </cell>
          <cell r="DY13">
            <v>28.054380374999997</v>
          </cell>
          <cell r="DZ13">
            <v>2.3378650312499998</v>
          </cell>
          <cell r="EA13">
            <v>4.6757300624999996</v>
          </cell>
          <cell r="EB13">
            <v>5.1433030687499999</v>
          </cell>
          <cell r="EC13">
            <v>10.2866061375</v>
          </cell>
          <cell r="ED13">
            <v>93.302550000000011</v>
          </cell>
          <cell r="EE13" t="str">
            <v>Plastering outside tank in (1:3) cement-sand plaster in 2 layers of 12.5mm, total thickness = 25mm.</v>
          </cell>
          <cell r="EF13">
            <v>23.325637500000003</v>
          </cell>
          <cell r="EG13">
            <v>2.7990765000000004</v>
          </cell>
          <cell r="EH13">
            <v>23.325637500000003</v>
          </cell>
          <cell r="EI13">
            <v>23.325637500000003</v>
          </cell>
          <cell r="EJ13">
            <v>3.2464418075000001</v>
          </cell>
          <cell r="EK13">
            <v>3.5710859882500006</v>
          </cell>
          <cell r="EL13">
            <v>34.870649999999998</v>
          </cell>
          <cell r="EM13">
            <v>44.399999999999991</v>
          </cell>
          <cell r="EN13">
            <v>0.44399999999999995</v>
          </cell>
          <cell r="EO13">
            <v>3.6629999999999994</v>
          </cell>
          <cell r="EP13">
            <v>34.870649999999998</v>
          </cell>
          <cell r="EQ13">
            <v>12</v>
          </cell>
          <cell r="ER13">
            <v>0.43588312499999998</v>
          </cell>
          <cell r="ES13">
            <v>1.162355</v>
          </cell>
          <cell r="ET13">
            <v>1.162355</v>
          </cell>
          <cell r="EU13">
            <v>1.162355</v>
          </cell>
          <cell r="EV13">
            <v>2.3247100000000001</v>
          </cell>
          <cell r="EW13">
            <v>1</v>
          </cell>
        </row>
        <row r="14">
          <cell r="AG14">
            <v>7</v>
          </cell>
          <cell r="AH14" t="str">
            <v>Brick Masonry Reservoir Tank, 80 cum</v>
          </cell>
          <cell r="AI14">
            <v>243.27776000000006</v>
          </cell>
          <cell r="AJ14">
            <v>6.0819440000000018</v>
          </cell>
          <cell r="AK14">
            <v>19.506201800000003</v>
          </cell>
          <cell r="AL14">
            <v>9.7531009000000015</v>
          </cell>
          <cell r="AM14">
            <v>9.0726520000000015</v>
          </cell>
          <cell r="AN14">
            <v>10.887182400000002</v>
          </cell>
          <cell r="AO14">
            <v>1.8145304000000004</v>
          </cell>
          <cell r="AP14">
            <v>9.9799172000000027</v>
          </cell>
          <cell r="AQ14">
            <v>9.9799172000000027</v>
          </cell>
          <cell r="AR14">
            <v>723.07779840000012</v>
          </cell>
          <cell r="AS14" t="str">
            <v>M.S. reinforcement of plain hot rolled m.s. rods to BS4449 for slab, use 12mm bars at 100 c.c. spacing</v>
          </cell>
          <cell r="AT14">
            <v>831.53946816000007</v>
          </cell>
          <cell r="AW14">
            <v>18.076944960000002</v>
          </cell>
          <cell r="AX14">
            <v>4.3384667904000009</v>
          </cell>
          <cell r="AY14">
            <v>8.6769335808000019</v>
          </cell>
          <cell r="AZ14">
            <v>9.3641832000000012</v>
          </cell>
          <cell r="BA14" t="str">
            <v>C20 reinforced concrete cement (standard mix in accordance to BS CP 114) for floor, thickness = 230mm</v>
          </cell>
          <cell r="BB14">
            <v>56.18509920000001</v>
          </cell>
          <cell r="BC14">
            <v>4.6820916000000006</v>
          </cell>
          <cell r="BD14">
            <v>9.3641832000000012</v>
          </cell>
          <cell r="BE14">
            <v>10.300601520000003</v>
          </cell>
          <cell r="BF14">
            <v>20.601203040000005</v>
          </cell>
          <cell r="BG14">
            <v>28.952064000000007</v>
          </cell>
          <cell r="BH14" t="str">
            <v>Brick masonry works in (1:3) for walls, as per cross sectoin on drawing</v>
          </cell>
          <cell r="BI14">
            <v>43.428096000000011</v>
          </cell>
          <cell r="BJ14">
            <v>8.6856192000000014</v>
          </cell>
          <cell r="BL14">
            <v>14476.032000000003</v>
          </cell>
          <cell r="BM14">
            <v>40.532889600000004</v>
          </cell>
          <cell r="BN14">
            <v>40.532889600000004</v>
          </cell>
          <cell r="BO14">
            <v>4.343516437499999</v>
          </cell>
          <cell r="BP14">
            <v>26.061098624999993</v>
          </cell>
          <cell r="BQ14">
            <v>2.1717582187499995</v>
          </cell>
          <cell r="BR14">
            <v>4.343516437499999</v>
          </cell>
          <cell r="BS14">
            <v>4.7778680812499994</v>
          </cell>
          <cell r="BT14">
            <v>9.5557361624999988</v>
          </cell>
          <cell r="BU14">
            <v>167.25433962</v>
          </cell>
          <cell r="BV14" t="str">
            <v>M.S. reinforcement of plain hot rolled m.s. rods to BS4449 for slab, use 11 rings of 8mm bars and 8 rings of 10mm bars as per cross section on drawings</v>
          </cell>
          <cell r="BX14">
            <v>95.287098379999989</v>
          </cell>
          <cell r="BY14">
            <v>83.878128537500004</v>
          </cell>
          <cell r="BZ14">
            <v>4.1813584905000001</v>
          </cell>
          <cell r="CA14">
            <v>1.0035260377199999</v>
          </cell>
          <cell r="CB14">
            <v>2.0070520754399999</v>
          </cell>
          <cell r="CC14">
            <v>1</v>
          </cell>
          <cell r="CD14">
            <v>2</v>
          </cell>
          <cell r="CE14">
            <v>84.820499999999996</v>
          </cell>
          <cell r="CF14">
            <v>35.624609999999997</v>
          </cell>
          <cell r="CG14">
            <v>4.2410249999999996</v>
          </cell>
          <cell r="CH14">
            <v>2.1205124999999998</v>
          </cell>
          <cell r="CI14">
            <v>16.964099999999998</v>
          </cell>
          <cell r="CJ14">
            <v>33.928199999999997</v>
          </cell>
          <cell r="CK14">
            <v>84.820499999999996</v>
          </cell>
          <cell r="CL14">
            <v>4.2410249999999996</v>
          </cell>
          <cell r="CM14">
            <v>8.4820499999999992</v>
          </cell>
          <cell r="CN14">
            <v>8.4820499999999992</v>
          </cell>
          <cell r="CO14">
            <v>1</v>
          </cell>
          <cell r="CP14">
            <v>3.25</v>
          </cell>
          <cell r="CQ14">
            <v>0.25</v>
          </cell>
          <cell r="CR14">
            <v>1</v>
          </cell>
          <cell r="CS14">
            <v>1</v>
          </cell>
          <cell r="CT14">
            <v>28.273500000000002</v>
          </cell>
          <cell r="CU14">
            <v>28.273500000000002</v>
          </cell>
          <cell r="CV14">
            <v>56.547000000000004</v>
          </cell>
          <cell r="CW14">
            <v>141.36750000000001</v>
          </cell>
          <cell r="CX14">
            <v>28.273500000000002</v>
          </cell>
          <cell r="CY14">
            <v>7.0683750000000005</v>
          </cell>
          <cell r="CZ14">
            <v>14.136750000000001</v>
          </cell>
          <cell r="DA14">
            <v>429.97836159999997</v>
          </cell>
          <cell r="DB14" t="str">
            <v>M.S. reinforcement of plain hot rolled m.s. rods to BS4449 for slab, use 12mm bars at 150 c.c. spacing</v>
          </cell>
          <cell r="DC14">
            <v>429.97836159999997</v>
          </cell>
          <cell r="DF14">
            <v>10.74945904</v>
          </cell>
          <cell r="DG14">
            <v>2.5798701695999999</v>
          </cell>
          <cell r="DH14">
            <v>5.1597403391999999</v>
          </cell>
          <cell r="DI14">
            <v>2</v>
          </cell>
          <cell r="DJ14">
            <v>1</v>
          </cell>
          <cell r="DK14">
            <v>3.4320000000000004</v>
          </cell>
          <cell r="DL14">
            <v>0.5</v>
          </cell>
          <cell r="DM14">
            <v>4</v>
          </cell>
          <cell r="DN14">
            <v>2.5</v>
          </cell>
          <cell r="DO14">
            <v>0.5</v>
          </cell>
          <cell r="DP14">
            <v>2</v>
          </cell>
          <cell r="DQ14">
            <v>2</v>
          </cell>
          <cell r="DR14">
            <v>0.8</v>
          </cell>
          <cell r="DS14">
            <v>0.6</v>
          </cell>
          <cell r="DT14">
            <v>0.2</v>
          </cell>
          <cell r="DU14">
            <v>0.5</v>
          </cell>
          <cell r="DV14">
            <v>0.4</v>
          </cell>
          <cell r="DW14">
            <v>6.1736757999999998</v>
          </cell>
          <cell r="DX14" t="str">
            <v>C20 reinforced concrete cement (standard mix in accordance to BS CP 114) for slab, thickness = 170mm</v>
          </cell>
          <cell r="DY14">
            <v>37.042054800000003</v>
          </cell>
          <cell r="DZ14">
            <v>3.0868378999999999</v>
          </cell>
          <cell r="EA14">
            <v>6.1736757999999998</v>
          </cell>
          <cell r="EB14">
            <v>6.7910433800000005</v>
          </cell>
          <cell r="EC14">
            <v>13.582086760000001</v>
          </cell>
          <cell r="ED14">
            <v>113.09399999999999</v>
          </cell>
          <cell r="EE14" t="str">
            <v>Plastering outside tank in (1:3) cement-sand plaster in 2 layers of 12.5mm, total thickness = 25mm.</v>
          </cell>
          <cell r="EF14">
            <v>28.273499999999999</v>
          </cell>
          <cell r="EG14">
            <v>3.3928199999999995</v>
          </cell>
          <cell r="EH14">
            <v>28.273499999999999</v>
          </cell>
          <cell r="EI14">
            <v>28.273499999999999</v>
          </cell>
          <cell r="EJ14">
            <v>3.901240360000001</v>
          </cell>
          <cell r="EK14">
            <v>4.2913643960000014</v>
          </cell>
          <cell r="EL14">
            <v>36.441400000000002</v>
          </cell>
          <cell r="EM14">
            <v>46.4</v>
          </cell>
          <cell r="EN14">
            <v>0.46399999999999997</v>
          </cell>
          <cell r="EO14">
            <v>3.8279999999999998</v>
          </cell>
          <cell r="EP14">
            <v>36.441400000000002</v>
          </cell>
          <cell r="EQ14">
            <v>12</v>
          </cell>
          <cell r="ER14">
            <v>0.45551750000000002</v>
          </cell>
          <cell r="ES14">
            <v>1.2147133333333333</v>
          </cell>
          <cell r="ET14">
            <v>1.2147133333333333</v>
          </cell>
          <cell r="EU14">
            <v>1.2147133333333333</v>
          </cell>
          <cell r="EV14">
            <v>2.4294266666666666</v>
          </cell>
          <cell r="EW14">
            <v>1</v>
          </cell>
        </row>
        <row r="15">
          <cell r="AG15">
            <v>8</v>
          </cell>
          <cell r="AH15" t="str">
            <v>Brick Masonry Reservoir Tank, 100 cum</v>
          </cell>
          <cell r="AI15">
            <v>257.29670375000006</v>
          </cell>
          <cell r="AJ15">
            <v>6.4324175937500021</v>
          </cell>
          <cell r="AK15">
            <v>22.672519650000002</v>
          </cell>
          <cell r="AL15">
            <v>11.336259825000001</v>
          </cell>
          <cell r="AM15">
            <v>10.305690750000002</v>
          </cell>
          <cell r="AN15">
            <v>12.366828900000002</v>
          </cell>
          <cell r="AO15">
            <v>2.0611381500000006</v>
          </cell>
          <cell r="AP15">
            <v>11.336259825000003</v>
          </cell>
          <cell r="AQ15">
            <v>11.336259825000003</v>
          </cell>
          <cell r="AR15">
            <v>826.99233540000012</v>
          </cell>
          <cell r="AS15" t="str">
            <v>M.S. reinforcement of plain hot rolled m.s. rods to BS4449 for slab, use 12mm bars at 100 c.c. spacing</v>
          </cell>
          <cell r="AT15">
            <v>951.04118571000004</v>
          </cell>
          <cell r="AW15">
            <v>20.674808385000006</v>
          </cell>
          <cell r="AX15">
            <v>4.9619540124000006</v>
          </cell>
          <cell r="AY15">
            <v>9.9239080248000011</v>
          </cell>
          <cell r="AZ15">
            <v>11.175572100000002</v>
          </cell>
          <cell r="BA15" t="str">
            <v>C20 reinforced concrete cement (standard mix in accordance to BS CP 114) for floor, thickness = 240mm</v>
          </cell>
          <cell r="BB15">
            <v>67.053432600000008</v>
          </cell>
          <cell r="BC15">
            <v>5.5877860500000009</v>
          </cell>
          <cell r="BD15">
            <v>11.175572100000002</v>
          </cell>
          <cell r="BE15">
            <v>12.293129310000003</v>
          </cell>
          <cell r="BF15">
            <v>24.586258620000006</v>
          </cell>
          <cell r="BG15">
            <v>35.896035600000005</v>
          </cell>
          <cell r="BH15" t="str">
            <v>Brick masonry works in (1:3) for walls, as per cross sectoin on drawing</v>
          </cell>
          <cell r="BI15">
            <v>53.844053400000007</v>
          </cell>
          <cell r="BJ15">
            <v>10.768810680000001</v>
          </cell>
          <cell r="BL15">
            <v>17948.017800000001</v>
          </cell>
          <cell r="BM15">
            <v>50.254449840000007</v>
          </cell>
          <cell r="BN15">
            <v>50.254449840000007</v>
          </cell>
          <cell r="BO15">
            <v>5.0100641999999995</v>
          </cell>
          <cell r="BP15">
            <v>30.060385199999999</v>
          </cell>
          <cell r="BQ15">
            <v>2.5050320999999998</v>
          </cell>
          <cell r="BR15">
            <v>5.0100641999999995</v>
          </cell>
          <cell r="BS15">
            <v>5.5110706199999999</v>
          </cell>
          <cell r="BT15">
            <v>11.02214124</v>
          </cell>
          <cell r="BU15">
            <v>207.64628582249998</v>
          </cell>
          <cell r="BV15" t="str">
            <v>M.S. reinforcement of plain hot rolled m.s. rods to BS4449 for slab, use 8 rings of 8mm bars and 11 rings of 10mm bars as per cross section on drawings</v>
          </cell>
          <cell r="BX15">
            <v>141.68044052249999</v>
          </cell>
          <cell r="BY15">
            <v>65.965845299999998</v>
          </cell>
          <cell r="BZ15">
            <v>5.1911571455624994</v>
          </cell>
          <cell r="CA15">
            <v>1.245877714935</v>
          </cell>
          <cell r="CB15">
            <v>2.49175542987</v>
          </cell>
          <cell r="CC15">
            <v>1</v>
          </cell>
          <cell r="CD15">
            <v>2</v>
          </cell>
          <cell r="CE15">
            <v>98.525293750000003</v>
          </cell>
          <cell r="CF15">
            <v>41.380623374999999</v>
          </cell>
          <cell r="CG15">
            <v>4.9262646875000007</v>
          </cell>
          <cell r="CH15">
            <v>2.4631323437500003</v>
          </cell>
          <cell r="CI15">
            <v>19.705058750000003</v>
          </cell>
          <cell r="CJ15">
            <v>39.410117500000005</v>
          </cell>
          <cell r="CK15">
            <v>98.525293750000003</v>
          </cell>
          <cell r="CL15">
            <v>4.9262646875000007</v>
          </cell>
          <cell r="CM15">
            <v>9.8525293750000014</v>
          </cell>
          <cell r="CN15">
            <v>9.8525293750000014</v>
          </cell>
          <cell r="CO15">
            <v>1</v>
          </cell>
          <cell r="CP15">
            <v>3.25</v>
          </cell>
          <cell r="CQ15">
            <v>0.25</v>
          </cell>
          <cell r="CR15">
            <v>1</v>
          </cell>
          <cell r="CS15">
            <v>1</v>
          </cell>
          <cell r="CT15">
            <v>33.18209375</v>
          </cell>
          <cell r="CU15">
            <v>33.18209375</v>
          </cell>
          <cell r="CV15">
            <v>66.3641875</v>
          </cell>
          <cell r="CW15">
            <v>165.91046875000001</v>
          </cell>
          <cell r="CX15">
            <v>33.18209375</v>
          </cell>
          <cell r="CY15">
            <v>8.2955234375</v>
          </cell>
          <cell r="CZ15">
            <v>16.591046875</v>
          </cell>
          <cell r="DA15">
            <v>594.64222032000009</v>
          </cell>
          <cell r="DB15" t="str">
            <v>M.S. reinforcement of plain hot rolled m.s. rods to BS4449 for slab, use 12mm bars at 125 c.c. spacing</v>
          </cell>
          <cell r="DC15">
            <v>594.64222032000009</v>
          </cell>
          <cell r="DF15">
            <v>14.866055508000002</v>
          </cell>
          <cell r="DG15">
            <v>3.5678533219200008</v>
          </cell>
          <cell r="DH15">
            <v>7.1357066438400016</v>
          </cell>
          <cell r="DI15">
            <v>2</v>
          </cell>
          <cell r="DJ15">
            <v>1</v>
          </cell>
          <cell r="DK15">
            <v>3.4320000000000004</v>
          </cell>
          <cell r="DL15">
            <v>0.5</v>
          </cell>
          <cell r="DM15">
            <v>4</v>
          </cell>
          <cell r="DN15">
            <v>2.5</v>
          </cell>
          <cell r="DO15">
            <v>0.5</v>
          </cell>
          <cell r="DP15">
            <v>2</v>
          </cell>
          <cell r="DQ15">
            <v>2</v>
          </cell>
          <cell r="DR15">
            <v>0.8</v>
          </cell>
          <cell r="DS15">
            <v>0.6</v>
          </cell>
          <cell r="DT15">
            <v>0.2</v>
          </cell>
          <cell r="DU15">
            <v>0.5</v>
          </cell>
          <cell r="DV15">
            <v>0.4</v>
          </cell>
          <cell r="DW15">
            <v>7.533474075</v>
          </cell>
          <cell r="DX15" t="str">
            <v>C20 reinforced concrete cement (standard mix in accordance to BS CP 114) for slab, thickness = 180mm</v>
          </cell>
          <cell r="DY15">
            <v>45.200844449999998</v>
          </cell>
          <cell r="DZ15">
            <v>3.7667370375</v>
          </cell>
          <cell r="EA15">
            <v>7.533474075</v>
          </cell>
          <cell r="EB15">
            <v>8.2868214825000006</v>
          </cell>
          <cell r="EC15">
            <v>16.573642965000001</v>
          </cell>
          <cell r="ED15">
            <v>130.68640000000002</v>
          </cell>
          <cell r="EE15" t="str">
            <v>Plastering outside tank in (1:3) cement-sand plaster in 2 layers of 12.5mm, total thickness = 25mm.</v>
          </cell>
          <cell r="EF15">
            <v>32.671600000000005</v>
          </cell>
          <cell r="EG15">
            <v>3.9205920000000005</v>
          </cell>
          <cell r="EH15">
            <v>32.671600000000005</v>
          </cell>
          <cell r="EI15">
            <v>32.671600000000005</v>
          </cell>
          <cell r="EJ15">
            <v>4.5345039300000005</v>
          </cell>
          <cell r="EK15">
            <v>4.9879543230000012</v>
          </cell>
          <cell r="EL15">
            <v>38.012149999999998</v>
          </cell>
          <cell r="EM15">
            <v>48.4</v>
          </cell>
          <cell r="EN15">
            <v>0.48399999999999999</v>
          </cell>
          <cell r="EO15">
            <v>3.9929999999999999</v>
          </cell>
          <cell r="EP15">
            <v>38.012149999999998</v>
          </cell>
          <cell r="EQ15">
            <v>13</v>
          </cell>
          <cell r="ER15">
            <v>0.475151875</v>
          </cell>
          <cell r="ES15">
            <v>1.2670716666666666</v>
          </cell>
          <cell r="ET15">
            <v>1.2670716666666666</v>
          </cell>
          <cell r="EU15">
            <v>1.2670716666666666</v>
          </cell>
          <cell r="EV15">
            <v>2.5341433333333332</v>
          </cell>
          <cell r="EW15">
            <v>1</v>
          </cell>
        </row>
        <row r="16">
          <cell r="AG16">
            <v>11</v>
          </cell>
          <cell r="AH16" t="str">
            <v>Stone Masonry Reservoir Tank, 10 cum</v>
          </cell>
          <cell r="AI16">
            <v>156.14040375000002</v>
          </cell>
          <cell r="AJ16">
            <v>3.9035100937500005</v>
          </cell>
          <cell r="AK16">
            <v>4.2246891999999994</v>
          </cell>
          <cell r="AL16">
            <v>2.1123445999999997</v>
          </cell>
          <cell r="AM16">
            <v>2.6404307500000002</v>
          </cell>
          <cell r="AN16">
            <v>3.1685169000000002</v>
          </cell>
          <cell r="AO16">
            <v>0.52808615000000003</v>
          </cell>
          <cell r="AP16">
            <v>2.9044738250000006</v>
          </cell>
          <cell r="AQ16">
            <v>2.9044738250000006</v>
          </cell>
          <cell r="AR16">
            <v>56.62606108333334</v>
          </cell>
          <cell r="AS16" t="str">
            <v>M.S. reinforcement of plain hot rolled m.s. rods to BS4449 for slab, use 8mm bars at 150 c.c. spacing</v>
          </cell>
          <cell r="AV16">
            <v>65.119970245833329</v>
          </cell>
          <cell r="AW16">
            <v>1.4156515270833336</v>
          </cell>
          <cell r="AX16">
            <v>0.33975636650000007</v>
          </cell>
          <cell r="AY16">
            <v>0.67951273300000015</v>
          </cell>
          <cell r="AZ16">
            <v>1.2902140500000001</v>
          </cell>
          <cell r="BA16" t="str">
            <v>C20 reinforced concrete cement (standard mix in accordance to BS CP 114) for floor, thickness = 120mm</v>
          </cell>
          <cell r="BB16">
            <v>7.7412843000000002</v>
          </cell>
          <cell r="BC16">
            <v>0.64510702500000006</v>
          </cell>
          <cell r="BD16">
            <v>1.2902140500000001</v>
          </cell>
          <cell r="BE16">
            <v>1.4192354550000001</v>
          </cell>
          <cell r="BF16">
            <v>2.8384709100000003</v>
          </cell>
          <cell r="BG16">
            <v>4.45837753125</v>
          </cell>
          <cell r="BH16" t="str">
            <v>Stone masonry works in (1:3) for walls, as per cross sectoin on drawing</v>
          </cell>
          <cell r="BI16">
            <v>7.8021606796874998</v>
          </cell>
          <cell r="BJ16">
            <v>1.3375132593749999</v>
          </cell>
          <cell r="BK16">
            <v>4.9042152843750006</v>
          </cell>
          <cell r="BL16">
            <v>0</v>
          </cell>
          <cell r="BM16">
            <v>11.23511137875</v>
          </cell>
          <cell r="BN16">
            <v>11.23511137875</v>
          </cell>
          <cell r="BO16">
            <v>1.4021888906250002</v>
          </cell>
          <cell r="BP16">
            <v>8.4131333437500011</v>
          </cell>
          <cell r="BQ16">
            <v>0.70109444531250009</v>
          </cell>
          <cell r="BR16">
            <v>1.4021888906250002</v>
          </cell>
          <cell r="BS16">
            <v>1.5424077796875004</v>
          </cell>
          <cell r="BT16">
            <v>3.0848155593750008</v>
          </cell>
          <cell r="BU16">
            <v>32.821606625000008</v>
          </cell>
          <cell r="BV16" t="str">
            <v>M.S. reinforcement of plain hot rolled m.s. rods to BS4449 for slab, use 10 rings of 8mm bars as per cross section on drawings</v>
          </cell>
          <cell r="BY16">
            <v>32.821606625000008</v>
          </cell>
          <cell r="BZ16">
            <v>0.82054016562500021</v>
          </cell>
          <cell r="CA16">
            <v>0.19692963975000005</v>
          </cell>
          <cell r="CB16">
            <v>0.3938592795000001</v>
          </cell>
          <cell r="CC16">
            <v>1</v>
          </cell>
          <cell r="CD16">
            <v>2</v>
          </cell>
          <cell r="CE16">
            <v>22.579531250000002</v>
          </cell>
          <cell r="CF16">
            <v>9.4834031250000006</v>
          </cell>
          <cell r="CG16">
            <v>1.1289765625000001</v>
          </cell>
          <cell r="CH16">
            <v>0.56448828125000006</v>
          </cell>
          <cell r="CI16">
            <v>4.5159062500000005</v>
          </cell>
          <cell r="CJ16">
            <v>9.0318125000000009</v>
          </cell>
          <cell r="CK16">
            <v>22.579531250000002</v>
          </cell>
          <cell r="CL16">
            <v>1.1289765625000001</v>
          </cell>
          <cell r="CM16">
            <v>2.2579531250000002</v>
          </cell>
          <cell r="CN16">
            <v>2.2579531250000002</v>
          </cell>
          <cell r="CO16">
            <v>0</v>
          </cell>
          <cell r="CP16">
            <v>0</v>
          </cell>
          <cell r="CQ16">
            <v>0</v>
          </cell>
          <cell r="CR16">
            <v>0</v>
          </cell>
          <cell r="CS16">
            <v>0</v>
          </cell>
          <cell r="CT16">
            <v>4.9085937500000005</v>
          </cell>
          <cell r="CU16">
            <v>4.9085937500000005</v>
          </cell>
          <cell r="CV16">
            <v>9.8171875000000011</v>
          </cell>
          <cell r="CW16">
            <v>24.542968750000004</v>
          </cell>
          <cell r="CX16">
            <v>4.9085937500000005</v>
          </cell>
          <cell r="CY16">
            <v>1.2271484375000001</v>
          </cell>
          <cell r="CZ16">
            <v>2.4542968750000003</v>
          </cell>
          <cell r="DA16">
            <v>45.044397750000002</v>
          </cell>
          <cell r="DB16" t="str">
            <v>M.S. reinforcement of plain hot rolled m.s. rods to BS4449 for slab, use 8mm bars at 150 c.c. spacing</v>
          </cell>
          <cell r="DE16">
            <v>45.044397750000002</v>
          </cell>
          <cell r="DF16">
            <v>1.1261099437500002</v>
          </cell>
          <cell r="DG16">
            <v>0.27026638650000001</v>
          </cell>
          <cell r="DH16">
            <v>0.54053277300000002</v>
          </cell>
          <cell r="DI16">
            <v>1</v>
          </cell>
          <cell r="DJ16">
            <v>1</v>
          </cell>
          <cell r="DK16">
            <v>1.7160000000000002</v>
          </cell>
          <cell r="DL16">
            <v>0.25</v>
          </cell>
          <cell r="DM16">
            <v>2</v>
          </cell>
          <cell r="DN16">
            <v>1.25</v>
          </cell>
          <cell r="DO16">
            <v>0.25</v>
          </cell>
          <cell r="DP16">
            <v>1</v>
          </cell>
          <cell r="DQ16">
            <v>2</v>
          </cell>
          <cell r="DR16">
            <v>0.8</v>
          </cell>
          <cell r="DS16">
            <v>0.6</v>
          </cell>
          <cell r="DT16">
            <v>0.2</v>
          </cell>
          <cell r="DU16">
            <v>0.5</v>
          </cell>
          <cell r="DV16">
            <v>0.4</v>
          </cell>
          <cell r="DW16">
            <v>1.02632805</v>
          </cell>
          <cell r="DX16" t="str">
            <v>C20 reinforced concrete cement (standard mix in accordance to BS CP 114) for slab, thickness = 120mm</v>
          </cell>
          <cell r="DY16">
            <v>6.1579683000000003</v>
          </cell>
          <cell r="DZ16">
            <v>0.51316402500000002</v>
          </cell>
          <cell r="EA16">
            <v>1.02632805</v>
          </cell>
          <cell r="EB16">
            <v>1.1289608550000001</v>
          </cell>
          <cell r="EC16">
            <v>2.2579217100000002</v>
          </cell>
          <cell r="ED16">
            <v>35.341875000000002</v>
          </cell>
          <cell r="EE16" t="str">
            <v>Finishing exposed surfaces of tank</v>
          </cell>
          <cell r="EF16">
            <v>1.7670937500000001</v>
          </cell>
          <cell r="EG16">
            <v>0.176709375</v>
          </cell>
          <cell r="EH16">
            <v>5.6448828125000006</v>
          </cell>
          <cell r="EI16">
            <v>5.6448828125000006</v>
          </cell>
          <cell r="EJ16">
            <v>0.84493783999999994</v>
          </cell>
          <cell r="EK16">
            <v>0.92943162400000001</v>
          </cell>
          <cell r="EL16">
            <v>25.446149999999999</v>
          </cell>
          <cell r="EM16">
            <v>32.4</v>
          </cell>
          <cell r="EN16">
            <v>0.32400000000000001</v>
          </cell>
          <cell r="EO16">
            <v>2.673</v>
          </cell>
          <cell r="EP16">
            <v>25.446149999999999</v>
          </cell>
          <cell r="EQ16">
            <v>8</v>
          </cell>
          <cell r="ER16">
            <v>0.31807687499999998</v>
          </cell>
          <cell r="ES16">
            <v>0.84820499999999999</v>
          </cell>
          <cell r="ET16">
            <v>0.84820499999999999</v>
          </cell>
          <cell r="EU16">
            <v>0.84820499999999999</v>
          </cell>
          <cell r="EV16">
            <v>1.69641</v>
          </cell>
          <cell r="EW16">
            <v>1</v>
          </cell>
        </row>
        <row r="17">
          <cell r="AG17">
            <v>12</v>
          </cell>
          <cell r="AH17" t="str">
            <v>Stone Masonry Reservoir Tank, 20 cum</v>
          </cell>
          <cell r="AI17">
            <v>179.07335375</v>
          </cell>
          <cell r="AJ17">
            <v>4.4768338437499997</v>
          </cell>
          <cell r="AK17">
            <v>7.1496613124999993</v>
          </cell>
          <cell r="AL17">
            <v>3.5748306562499996</v>
          </cell>
          <cell r="AM17">
            <v>4.0855207499999997</v>
          </cell>
          <cell r="AN17">
            <v>4.9026248999999993</v>
          </cell>
          <cell r="AO17">
            <v>0.81710415000000003</v>
          </cell>
          <cell r="AP17">
            <v>4.4940728249999999</v>
          </cell>
          <cell r="AQ17">
            <v>4.4940728249999999</v>
          </cell>
          <cell r="AR17">
            <v>142.72389498333337</v>
          </cell>
          <cell r="AS17" t="str">
            <v>M.S. reinforcement of plain hot rolled m.s. rods to BS4449 for slab, use 10mm bars at 150 c.c. spacing</v>
          </cell>
          <cell r="AU17">
            <v>164.13247923083335</v>
          </cell>
          <cell r="AW17">
            <v>3.5680973745833344</v>
          </cell>
          <cell r="AX17">
            <v>0.85634336990000026</v>
          </cell>
          <cell r="AY17">
            <v>1.7126867398000005</v>
          </cell>
          <cell r="AZ17">
            <v>2.6023400625000006</v>
          </cell>
          <cell r="BA17" t="str">
            <v>C20 reinforced concrete cement (standard mix in accordance to BS CP 114) for floor, thickness = 150mm</v>
          </cell>
          <cell r="BB17">
            <v>15.614040375000004</v>
          </cell>
          <cell r="BC17">
            <v>1.3011700312500003</v>
          </cell>
          <cell r="BD17">
            <v>2.6023400625000006</v>
          </cell>
          <cell r="BE17">
            <v>2.8625740687500008</v>
          </cell>
          <cell r="BF17">
            <v>5.7251481375000015</v>
          </cell>
          <cell r="BG17">
            <v>8.2424320874999992</v>
          </cell>
          <cell r="BH17" t="str">
            <v>Stone masonry works in (1:3) for walls, as per cross sectoin on drawing</v>
          </cell>
          <cell r="BI17">
            <v>14.424256153124999</v>
          </cell>
          <cell r="BJ17">
            <v>2.4727296262499996</v>
          </cell>
          <cell r="BK17">
            <v>9.0666752962500006</v>
          </cell>
          <cell r="BL17">
            <v>0</v>
          </cell>
          <cell r="BM17">
            <v>20.770928860499996</v>
          </cell>
          <cell r="BN17">
            <v>20.770928860499996</v>
          </cell>
          <cell r="BO17">
            <v>1.9752573937500002</v>
          </cell>
          <cell r="BP17">
            <v>11.8515443625</v>
          </cell>
          <cell r="BQ17">
            <v>0.9876286968750001</v>
          </cell>
          <cell r="BR17">
            <v>1.9752573937500002</v>
          </cell>
          <cell r="BS17">
            <v>2.1727831331250003</v>
          </cell>
          <cell r="BT17">
            <v>4.3455662662500005</v>
          </cell>
          <cell r="BU17">
            <v>54.276637950000016</v>
          </cell>
          <cell r="BV17" t="str">
            <v>M.S. reinforcement of plain hot rolled m.s. rods to BS4449 for slab, use 12 rings of 8mm bars as per cross section on drawings</v>
          </cell>
          <cell r="BY17">
            <v>54.276637950000016</v>
          </cell>
          <cell r="BZ17">
            <v>1.3569159487500004</v>
          </cell>
          <cell r="CA17">
            <v>0.32565982770000013</v>
          </cell>
          <cell r="CB17">
            <v>0.65131965540000025</v>
          </cell>
          <cell r="CC17">
            <v>1</v>
          </cell>
          <cell r="CD17">
            <v>2</v>
          </cell>
          <cell r="CE17">
            <v>34.909918750000003</v>
          </cell>
          <cell r="CF17">
            <v>14.662165875000001</v>
          </cell>
          <cell r="CG17">
            <v>1.7454959375000003</v>
          </cell>
          <cell r="CH17">
            <v>0.87274796875000016</v>
          </cell>
          <cell r="CI17">
            <v>6.9819837500000013</v>
          </cell>
          <cell r="CJ17">
            <v>13.963967500000003</v>
          </cell>
          <cell r="CK17">
            <v>34.909918750000003</v>
          </cell>
          <cell r="CL17">
            <v>1.7454959375000003</v>
          </cell>
          <cell r="CM17">
            <v>3.4909918750000006</v>
          </cell>
          <cell r="CN17">
            <v>3.4909918750000006</v>
          </cell>
          <cell r="CO17">
            <v>0</v>
          </cell>
          <cell r="CP17">
            <v>0</v>
          </cell>
          <cell r="CQ17">
            <v>0</v>
          </cell>
          <cell r="CR17">
            <v>0</v>
          </cell>
          <cell r="CS17">
            <v>0</v>
          </cell>
          <cell r="CT17">
            <v>9.6208437500000006</v>
          </cell>
          <cell r="CU17">
            <v>9.6208437500000006</v>
          </cell>
          <cell r="CV17">
            <v>19.241687500000001</v>
          </cell>
          <cell r="CW17">
            <v>48.104218750000001</v>
          </cell>
          <cell r="CX17">
            <v>9.6208437500000006</v>
          </cell>
          <cell r="CY17">
            <v>2.4052109375000001</v>
          </cell>
          <cell r="CZ17">
            <v>4.8104218750000003</v>
          </cell>
          <cell r="DA17">
            <v>119.46422898333333</v>
          </cell>
          <cell r="DB17" t="str">
            <v>M.S. reinforcement of plain hot rolled m.s. rods to BS4449 for slab, use 10mm bars at 150 c.c. spacing</v>
          </cell>
          <cell r="DD17">
            <v>119.46422898333333</v>
          </cell>
          <cell r="DF17">
            <v>2.9866057245833333</v>
          </cell>
          <cell r="DG17">
            <v>0.71678537389999997</v>
          </cell>
          <cell r="DH17">
            <v>1.4335707477999999</v>
          </cell>
          <cell r="DI17">
            <v>1</v>
          </cell>
          <cell r="DJ17">
            <v>1</v>
          </cell>
          <cell r="DK17">
            <v>1.7160000000000002</v>
          </cell>
          <cell r="DL17">
            <v>0.25</v>
          </cell>
          <cell r="DM17">
            <v>2</v>
          </cell>
          <cell r="DN17">
            <v>1.25</v>
          </cell>
          <cell r="DO17">
            <v>0.25</v>
          </cell>
          <cell r="DP17">
            <v>1</v>
          </cell>
          <cell r="DQ17">
            <v>2</v>
          </cell>
          <cell r="DR17">
            <v>0.8</v>
          </cell>
          <cell r="DS17">
            <v>0.6</v>
          </cell>
          <cell r="DT17">
            <v>0.2</v>
          </cell>
          <cell r="DU17">
            <v>0.5</v>
          </cell>
          <cell r="DV17">
            <v>0.4</v>
          </cell>
          <cell r="DW17">
            <v>2.1782375624999997</v>
          </cell>
          <cell r="DX17" t="str">
            <v>C20 reinforced concrete cement (standard mix in accordance to BS CP 114) for slab, thickness = 150mm</v>
          </cell>
          <cell r="DY17">
            <v>13.069425374999998</v>
          </cell>
          <cell r="DZ17">
            <v>1.0891187812499998</v>
          </cell>
          <cell r="EA17">
            <v>2.1782375624999997</v>
          </cell>
          <cell r="EB17">
            <v>2.3960613187499997</v>
          </cell>
          <cell r="EC17">
            <v>4.7921226374999994</v>
          </cell>
          <cell r="ED17">
            <v>50.578150000000001</v>
          </cell>
          <cell r="EE17" t="str">
            <v>Finishing exposed surfaces of tank</v>
          </cell>
          <cell r="EF17">
            <v>2.5289075000000003</v>
          </cell>
          <cell r="EG17">
            <v>0.25289075</v>
          </cell>
          <cell r="EH17">
            <v>12.6445375</v>
          </cell>
          <cell r="EI17">
            <v>12.6445375</v>
          </cell>
          <cell r="EJ17">
            <v>1.4299322624999999</v>
          </cell>
          <cell r="EK17">
            <v>1.5729254887500002</v>
          </cell>
          <cell r="EL17">
            <v>28.58765</v>
          </cell>
          <cell r="EM17">
            <v>36.4</v>
          </cell>
          <cell r="EN17">
            <v>0.36399999999999999</v>
          </cell>
          <cell r="EO17">
            <v>3.0030000000000001</v>
          </cell>
          <cell r="EP17">
            <v>28.58765</v>
          </cell>
          <cell r="EQ17">
            <v>10</v>
          </cell>
          <cell r="ER17">
            <v>0.357345625</v>
          </cell>
          <cell r="ES17">
            <v>0.95292166666666667</v>
          </cell>
          <cell r="ET17">
            <v>0.95292166666666667</v>
          </cell>
          <cell r="EU17">
            <v>0.95292166666666667</v>
          </cell>
          <cell r="EV17">
            <v>1.9058433333333333</v>
          </cell>
          <cell r="EW17">
            <v>1</v>
          </cell>
        </row>
        <row r="18">
          <cell r="AG18">
            <v>13</v>
          </cell>
          <cell r="AH18" t="str">
            <v>Stone Masonry Reservoir Tank, 30 cum</v>
          </cell>
          <cell r="AI18">
            <v>191.12886</v>
          </cell>
          <cell r="AJ18">
            <v>4.7782214999999999</v>
          </cell>
          <cell r="AK18">
            <v>9.1128631999999996</v>
          </cell>
          <cell r="AL18">
            <v>4.5564315999999998</v>
          </cell>
          <cell r="AM18">
            <v>4.925872</v>
          </cell>
          <cell r="AN18">
            <v>5.9110464</v>
          </cell>
          <cell r="AO18">
            <v>0.98517440000000001</v>
          </cell>
          <cell r="AP18">
            <v>5.4184592</v>
          </cell>
          <cell r="AQ18">
            <v>5.4184592</v>
          </cell>
          <cell r="AR18">
            <v>209.64712288000004</v>
          </cell>
          <cell r="AS18" t="str">
            <v>M.S. reinforcement of plain hot rolled m.s. rods to BS4449 for slab, use 10mm bars at 125 c.c. spacing</v>
          </cell>
          <cell r="AU18">
            <v>241.09419131200002</v>
          </cell>
          <cell r="AW18">
            <v>5.2411780720000012</v>
          </cell>
          <cell r="AX18">
            <v>1.2578827372800003</v>
          </cell>
          <cell r="AY18">
            <v>2.5157654745600007</v>
          </cell>
          <cell r="AZ18">
            <v>3.610211800000001</v>
          </cell>
          <cell r="BA18" t="str">
            <v>C20 reinforced concrete cement (standard mix in accordance to BS CP 114) for floor, thickness = 170mm</v>
          </cell>
          <cell r="BB18">
            <v>21.661270800000004</v>
          </cell>
          <cell r="BC18">
            <v>1.8051059000000005</v>
          </cell>
          <cell r="BD18">
            <v>3.610211800000001</v>
          </cell>
          <cell r="BE18">
            <v>3.9712329800000012</v>
          </cell>
          <cell r="BF18">
            <v>7.9424659600000025</v>
          </cell>
          <cell r="BG18">
            <v>12.315936600000002</v>
          </cell>
          <cell r="BH18" t="str">
            <v>Stone masonry works in (1:3) for walls, as per cross sectoin on drawing</v>
          </cell>
          <cell r="BI18">
            <v>21.552889050000005</v>
          </cell>
          <cell r="BJ18">
            <v>3.6947809800000004</v>
          </cell>
          <cell r="BK18">
            <v>13.547530260000004</v>
          </cell>
          <cell r="BL18">
            <v>0</v>
          </cell>
          <cell r="BM18">
            <v>31.036160232000007</v>
          </cell>
          <cell r="BN18">
            <v>31.036160232000007</v>
          </cell>
          <cell r="BO18">
            <v>2.6368572937500003</v>
          </cell>
          <cell r="BP18">
            <v>15.821143762500002</v>
          </cell>
          <cell r="BQ18">
            <v>1.3184286468750002</v>
          </cell>
          <cell r="BR18">
            <v>2.6368572937500003</v>
          </cell>
          <cell r="BS18">
            <v>2.9005430231250005</v>
          </cell>
          <cell r="BT18">
            <v>5.8010860462500009</v>
          </cell>
          <cell r="BU18">
            <v>88.715598727500009</v>
          </cell>
          <cell r="BV18" t="str">
            <v>M.S. reinforcement of plain hot rolled m.s. rods to BS4449 for slab, use 11 rings of 8mm bars and 4 rings of 10mm bars as per cross section on drawings</v>
          </cell>
          <cell r="BX18">
            <v>32.13710519</v>
          </cell>
          <cell r="BY18">
            <v>56.578493537500002</v>
          </cell>
          <cell r="BZ18">
            <v>2.2178899681875004</v>
          </cell>
          <cell r="CA18">
            <v>0.53229359236500007</v>
          </cell>
          <cell r="CB18">
            <v>1.0645871847300001</v>
          </cell>
          <cell r="CC18">
            <v>1</v>
          </cell>
          <cell r="CD18">
            <v>2</v>
          </cell>
          <cell r="CE18">
            <v>46.494200000000006</v>
          </cell>
          <cell r="CF18">
            <v>19.527564000000002</v>
          </cell>
          <cell r="CG18">
            <v>2.3247100000000005</v>
          </cell>
          <cell r="CH18">
            <v>1.1623550000000002</v>
          </cell>
          <cell r="CI18">
            <v>9.298840000000002</v>
          </cell>
          <cell r="CJ18">
            <v>18.597680000000004</v>
          </cell>
          <cell r="CK18">
            <v>46.494200000000006</v>
          </cell>
          <cell r="CL18">
            <v>2.3247100000000005</v>
          </cell>
          <cell r="CM18">
            <v>4.649420000000001</v>
          </cell>
          <cell r="CN18">
            <v>4.649420000000001</v>
          </cell>
          <cell r="CO18">
            <v>1</v>
          </cell>
          <cell r="CP18">
            <v>3.25</v>
          </cell>
          <cell r="CQ18">
            <v>0.25</v>
          </cell>
          <cell r="CR18">
            <v>1</v>
          </cell>
          <cell r="CS18">
            <v>1</v>
          </cell>
          <cell r="CT18">
            <v>12.566000000000001</v>
          </cell>
          <cell r="CU18">
            <v>12.566000000000001</v>
          </cell>
          <cell r="CV18">
            <v>25.132000000000001</v>
          </cell>
          <cell r="CW18">
            <v>62.830000000000005</v>
          </cell>
          <cell r="CX18">
            <v>12.566000000000001</v>
          </cell>
          <cell r="CY18">
            <v>3.1415000000000002</v>
          </cell>
          <cell r="CZ18">
            <v>6.2830000000000004</v>
          </cell>
          <cell r="DA18">
            <v>127.59588205714287</v>
          </cell>
          <cell r="DB18" t="str">
            <v>M.S. reinforcement of plain hot rolled m.s. rods to BS4449 for slab, use 10mm bars at 175 c.c. spacing</v>
          </cell>
          <cell r="DD18">
            <v>127.59588205714287</v>
          </cell>
          <cell r="DF18">
            <v>3.1898970514285718</v>
          </cell>
          <cell r="DG18">
            <v>0.76557529234285726</v>
          </cell>
          <cell r="DH18">
            <v>1.5311505846857145</v>
          </cell>
          <cell r="DI18">
            <v>1</v>
          </cell>
          <cell r="DJ18">
            <v>1</v>
          </cell>
          <cell r="DK18">
            <v>1.7160000000000002</v>
          </cell>
          <cell r="DL18">
            <v>0.25</v>
          </cell>
          <cell r="DM18">
            <v>2</v>
          </cell>
          <cell r="DN18">
            <v>1.25</v>
          </cell>
          <cell r="DO18">
            <v>0.25</v>
          </cell>
          <cell r="DP18">
            <v>1</v>
          </cell>
          <cell r="DQ18">
            <v>2</v>
          </cell>
          <cell r="DR18">
            <v>0.8</v>
          </cell>
          <cell r="DS18">
            <v>0.6</v>
          </cell>
          <cell r="DT18">
            <v>0.2</v>
          </cell>
          <cell r="DU18">
            <v>0.5</v>
          </cell>
          <cell r="DV18">
            <v>0.4</v>
          </cell>
          <cell r="DW18">
            <v>2.1714047999999999</v>
          </cell>
          <cell r="DX18" t="str">
            <v>C20 reinforced concrete cement (standard mix in accordance to BS CP 114) for slab, thickness = 120mm</v>
          </cell>
          <cell r="DY18">
            <v>13.0284288</v>
          </cell>
          <cell r="DZ18">
            <v>1.0857024</v>
          </cell>
          <cell r="EA18">
            <v>2.1714047999999999</v>
          </cell>
          <cell r="EB18">
            <v>2.3885452800000002</v>
          </cell>
          <cell r="EC18">
            <v>4.7770905600000004</v>
          </cell>
          <cell r="ED18">
            <v>67.856400000000008</v>
          </cell>
          <cell r="EE18" t="str">
            <v>Finishing exposed surfaces of tank</v>
          </cell>
          <cell r="EF18">
            <v>3.3928200000000004</v>
          </cell>
          <cell r="EG18">
            <v>0.33928200000000003</v>
          </cell>
          <cell r="EH18">
            <v>16.964100000000002</v>
          </cell>
          <cell r="EI18">
            <v>16.964100000000002</v>
          </cell>
          <cell r="EJ18">
            <v>1.82257264</v>
          </cell>
          <cell r="EK18">
            <v>2.0048299040000002</v>
          </cell>
          <cell r="EL18">
            <v>30.1584</v>
          </cell>
          <cell r="EM18">
            <v>38.4</v>
          </cell>
          <cell r="EN18">
            <v>0.38400000000000001</v>
          </cell>
          <cell r="EO18">
            <v>3.1680000000000001</v>
          </cell>
          <cell r="EP18">
            <v>30.1584</v>
          </cell>
          <cell r="EQ18">
            <v>10</v>
          </cell>
          <cell r="ER18">
            <v>0.37697999999999998</v>
          </cell>
          <cell r="ES18">
            <v>1.00528</v>
          </cell>
          <cell r="ET18">
            <v>1.00528</v>
          </cell>
          <cell r="EU18">
            <v>1.00528</v>
          </cell>
          <cell r="EV18">
            <v>2.0105599999999999</v>
          </cell>
          <cell r="EW18">
            <v>1</v>
          </cell>
        </row>
        <row r="19">
          <cell r="AG19">
            <v>14</v>
          </cell>
          <cell r="AH19" t="str">
            <v>Stone Masonry Reservoir Tank, 40 cum</v>
          </cell>
          <cell r="AI19">
            <v>203.57705375000003</v>
          </cell>
          <cell r="AJ19">
            <v>5.0894263437500014</v>
          </cell>
          <cell r="AK19">
            <v>11.105045425</v>
          </cell>
          <cell r="AL19">
            <v>5.5525227125000001</v>
          </cell>
          <cell r="AM19">
            <v>5.8447607499999998</v>
          </cell>
          <cell r="AN19">
            <v>7.0137128999999998</v>
          </cell>
          <cell r="AO19">
            <v>1.16895215</v>
          </cell>
          <cell r="AP19">
            <v>6.4292368250000003</v>
          </cell>
          <cell r="AQ19">
            <v>6.4292368250000003</v>
          </cell>
          <cell r="AR19">
            <v>314.87772847500003</v>
          </cell>
          <cell r="AS19" t="str">
            <v>M.S. reinforcement of plain hot rolled m.s. rods to BS4449 for slab, use 10mm bars at 100 c.c. spacing</v>
          </cell>
          <cell r="AU19">
            <v>362.10938774624998</v>
          </cell>
          <cell r="AW19">
            <v>7.871943211875001</v>
          </cell>
          <cell r="AX19">
            <v>1.8892663708500002</v>
          </cell>
          <cell r="AY19">
            <v>3.7785327417000003</v>
          </cell>
          <cell r="AZ19">
            <v>4.5930300750000006</v>
          </cell>
          <cell r="BA19" t="str">
            <v>C20 reinforced concrete cement (standard mix in accordance to BS CP 114) for floor, thickness = 180mm</v>
          </cell>
          <cell r="BB19">
            <v>27.558180450000002</v>
          </cell>
          <cell r="BC19">
            <v>2.2965150375000003</v>
          </cell>
          <cell r="BD19">
            <v>4.5930300750000006</v>
          </cell>
          <cell r="BE19">
            <v>5.0523330825000015</v>
          </cell>
          <cell r="BF19">
            <v>10.104666165000003</v>
          </cell>
          <cell r="BG19">
            <v>15.274051537500005</v>
          </cell>
          <cell r="BH19" t="str">
            <v>Stone masonry works in (1:3) for walls, as per cross sectoin on drawing</v>
          </cell>
          <cell r="BI19">
            <v>26.729590190625011</v>
          </cell>
          <cell r="BJ19">
            <v>4.5822154612500015</v>
          </cell>
          <cell r="BK19">
            <v>16.801456691250007</v>
          </cell>
          <cell r="BL19">
            <v>0</v>
          </cell>
          <cell r="BM19">
            <v>38.490609874500016</v>
          </cell>
          <cell r="BN19">
            <v>38.490609874500016</v>
          </cell>
          <cell r="BO19">
            <v>2.9549341687500004</v>
          </cell>
          <cell r="BP19">
            <v>17.729605012500002</v>
          </cell>
          <cell r="BQ19">
            <v>1.4774670843750002</v>
          </cell>
          <cell r="BR19">
            <v>2.9549341687500004</v>
          </cell>
          <cell r="BS19">
            <v>3.2504275856250007</v>
          </cell>
          <cell r="BT19">
            <v>6.5008551712500013</v>
          </cell>
          <cell r="BU19">
            <v>99.417118477499997</v>
          </cell>
          <cell r="BV19" t="str">
            <v>M.S. reinforcement of plain hot rolled m.s. rods to BS4449 for slab, use 11 rings of 8mm bars and 4 rings of 10mm bars as per cross section on drawings</v>
          </cell>
          <cell r="BX19">
            <v>36.013716189999997</v>
          </cell>
          <cell r="BY19">
            <v>63.403402287500001</v>
          </cell>
          <cell r="BZ19">
            <v>2.4854279619374999</v>
          </cell>
          <cell r="CA19">
            <v>0.59650271086499995</v>
          </cell>
          <cell r="CB19">
            <v>1.1930054217299999</v>
          </cell>
          <cell r="CC19">
            <v>1</v>
          </cell>
          <cell r="CD19">
            <v>2</v>
          </cell>
          <cell r="CE19">
            <v>54.073068750000004</v>
          </cell>
          <cell r="CF19">
            <v>22.710688875000002</v>
          </cell>
          <cell r="CG19">
            <v>2.7036534375000003</v>
          </cell>
          <cell r="CH19">
            <v>1.3518267187500002</v>
          </cell>
          <cell r="CI19">
            <v>10.814613750000001</v>
          </cell>
          <cell r="CJ19">
            <v>21.629227500000002</v>
          </cell>
          <cell r="CK19">
            <v>54.073068750000004</v>
          </cell>
          <cell r="CL19">
            <v>2.7036534375000003</v>
          </cell>
          <cell r="CM19">
            <v>5.4073068750000006</v>
          </cell>
          <cell r="CN19">
            <v>5.4073068750000006</v>
          </cell>
          <cell r="CO19">
            <v>1</v>
          </cell>
          <cell r="CP19">
            <v>3.25</v>
          </cell>
          <cell r="CQ19">
            <v>0.25</v>
          </cell>
          <cell r="CR19">
            <v>1</v>
          </cell>
          <cell r="CS19">
            <v>1</v>
          </cell>
          <cell r="CT19">
            <v>15.90384375</v>
          </cell>
          <cell r="CU19">
            <v>15.90384375</v>
          </cell>
          <cell r="CV19">
            <v>31.8076875</v>
          </cell>
          <cell r="CW19">
            <v>79.519218749999993</v>
          </cell>
          <cell r="CX19">
            <v>15.90384375</v>
          </cell>
          <cell r="CY19">
            <v>3.9759609375</v>
          </cell>
          <cell r="CZ19">
            <v>7.951921875</v>
          </cell>
          <cell r="DA19">
            <v>181.49000498333336</v>
          </cell>
          <cell r="DB19" t="str">
            <v>M.S. reinforcement of plain hot rolled m.s. rods to BS4449 for slab, use 10mm bars at 150 c.c. spacing</v>
          </cell>
          <cell r="DD19">
            <v>181.49000498333336</v>
          </cell>
          <cell r="DF19">
            <v>4.5372501245833341</v>
          </cell>
          <cell r="DG19">
            <v>1.0889400299000003</v>
          </cell>
          <cell r="DH19">
            <v>2.1778800598000005</v>
          </cell>
          <cell r="DI19">
            <v>2</v>
          </cell>
          <cell r="DJ19">
            <v>1</v>
          </cell>
          <cell r="DK19">
            <v>3.4320000000000004</v>
          </cell>
          <cell r="DL19">
            <v>0.5</v>
          </cell>
          <cell r="DM19">
            <v>4</v>
          </cell>
          <cell r="DN19">
            <v>2.5</v>
          </cell>
          <cell r="DO19">
            <v>0.5</v>
          </cell>
          <cell r="DP19">
            <v>2</v>
          </cell>
          <cell r="DQ19">
            <v>2</v>
          </cell>
          <cell r="DR19">
            <v>0.8</v>
          </cell>
          <cell r="DS19">
            <v>0.6</v>
          </cell>
          <cell r="DT19">
            <v>0.2</v>
          </cell>
          <cell r="DU19">
            <v>0.5</v>
          </cell>
          <cell r="DV19">
            <v>0.4</v>
          </cell>
          <cell r="DW19">
            <v>2.8679538875000001</v>
          </cell>
          <cell r="DX19" t="str">
            <v>C20 reinforced concrete cement (standard mix in accordance to BS CP 114) for slab, thickness = 130mm</v>
          </cell>
          <cell r="DY19">
            <v>17.207723325</v>
          </cell>
          <cell r="DZ19">
            <v>1.4339769437500001</v>
          </cell>
          <cell r="EA19">
            <v>2.8679538875000001</v>
          </cell>
          <cell r="EB19">
            <v>3.1547492762500005</v>
          </cell>
          <cell r="EC19">
            <v>6.3094985525000009</v>
          </cell>
          <cell r="ED19">
            <v>76.338450000000009</v>
          </cell>
          <cell r="EE19" t="str">
            <v>Finishing exposed surfaces of tank</v>
          </cell>
          <cell r="EF19">
            <v>3.8169225000000004</v>
          </cell>
          <cell r="EG19">
            <v>0.38169225000000007</v>
          </cell>
          <cell r="EH19">
            <v>19.084612500000002</v>
          </cell>
          <cell r="EI19">
            <v>19.084612500000002</v>
          </cell>
          <cell r="EJ19">
            <v>2.2210090849999999</v>
          </cell>
          <cell r="EK19">
            <v>2.4431099935000002</v>
          </cell>
          <cell r="EL19">
            <v>31.729150000000001</v>
          </cell>
          <cell r="EM19">
            <v>40.4</v>
          </cell>
          <cell r="EN19">
            <v>0.40399999999999997</v>
          </cell>
          <cell r="EO19">
            <v>3.3330000000000002</v>
          </cell>
          <cell r="EP19">
            <v>31.729150000000001</v>
          </cell>
          <cell r="EQ19">
            <v>11</v>
          </cell>
          <cell r="ER19">
            <v>0.39661437500000007</v>
          </cell>
          <cell r="ES19">
            <v>1.0576383333333335</v>
          </cell>
          <cell r="ET19">
            <v>1.0576383333333335</v>
          </cell>
          <cell r="EU19">
            <v>1.0576383333333335</v>
          </cell>
          <cell r="EV19">
            <v>2.1152766666666669</v>
          </cell>
          <cell r="EW19">
            <v>1</v>
          </cell>
        </row>
        <row r="20">
          <cell r="AG20">
            <v>15</v>
          </cell>
          <cell r="AH20" t="str">
            <v>Stone Masonry Reservoir Tank, 50 cum</v>
          </cell>
          <cell r="AI20">
            <v>216.41793500000006</v>
          </cell>
          <cell r="AJ20">
            <v>5.4104483750000014</v>
          </cell>
          <cell r="AK20">
            <v>13.684374</v>
          </cell>
          <cell r="AL20">
            <v>6.842187</v>
          </cell>
          <cell r="AM20">
            <v>6.842187</v>
          </cell>
          <cell r="AN20">
            <v>8.2106244000000004</v>
          </cell>
          <cell r="AO20">
            <v>1.3684374000000001</v>
          </cell>
          <cell r="AP20">
            <v>7.5264057000000006</v>
          </cell>
          <cell r="AQ20">
            <v>7.5264057000000006</v>
          </cell>
          <cell r="AR20">
            <v>372.54231710000005</v>
          </cell>
          <cell r="AS20" t="str">
            <v>M.S. reinforcement of plain hot rolled m.s. rods to BS4449 for slab, use 10mm bars at 100 c.c. spacing</v>
          </cell>
          <cell r="AU20">
            <v>428.42366466500005</v>
          </cell>
          <cell r="AW20">
            <v>9.3135579275000016</v>
          </cell>
          <cell r="AX20">
            <v>2.2352539026000002</v>
          </cell>
          <cell r="AY20">
            <v>4.4705078052000005</v>
          </cell>
          <cell r="AZ20">
            <v>6.0379630000000013</v>
          </cell>
          <cell r="BA20" t="str">
            <v>C20 reinforced concrete cement (standard mix in accordance to BS CP 114) for floor, thickness = 200mm</v>
          </cell>
          <cell r="BB20">
            <v>36.227778000000008</v>
          </cell>
          <cell r="BC20">
            <v>3.0189815000000007</v>
          </cell>
          <cell r="BD20">
            <v>6.0379630000000013</v>
          </cell>
          <cell r="BE20">
            <v>6.6417593000000021</v>
          </cell>
          <cell r="BF20">
            <v>13.283518600000004</v>
          </cell>
          <cell r="BG20">
            <v>18.893766375000002</v>
          </cell>
          <cell r="BH20" t="str">
            <v>Stone masonry works in (1:3) for walls, as per cross sectoin on drawing</v>
          </cell>
          <cell r="BI20">
            <v>33.064091156250001</v>
          </cell>
          <cell r="BJ20">
            <v>5.6681299125000004</v>
          </cell>
          <cell r="BK20">
            <v>20.783143012500005</v>
          </cell>
          <cell r="BL20">
            <v>0</v>
          </cell>
          <cell r="BM20">
            <v>47.612291265000003</v>
          </cell>
          <cell r="BN20">
            <v>47.612291265000003</v>
          </cell>
          <cell r="BO20">
            <v>3.3336223593749996</v>
          </cell>
          <cell r="BP20">
            <v>20.001734156249999</v>
          </cell>
          <cell r="BQ20">
            <v>1.6668111796874998</v>
          </cell>
          <cell r="BR20">
            <v>3.3336223593749996</v>
          </cell>
          <cell r="BS20">
            <v>3.6669845953125</v>
          </cell>
          <cell r="BT20">
            <v>7.333969190625</v>
          </cell>
          <cell r="BU20">
            <v>110.11863822749999</v>
          </cell>
          <cell r="BV20" t="str">
            <v>M.S. reinforcement of plain hot rolled m.s. rods to BS4449 for slab, use 11 rings of 8mm bars and 4 rings of 10mm bars as per cross section on drawings</v>
          </cell>
          <cell r="BX20">
            <v>39.890327189999994</v>
          </cell>
          <cell r="BY20">
            <v>70.228311037499992</v>
          </cell>
          <cell r="BZ20">
            <v>2.7529659556874999</v>
          </cell>
          <cell r="CA20">
            <v>0.66071182936499995</v>
          </cell>
          <cell r="CB20">
            <v>1.3214236587299999</v>
          </cell>
          <cell r="CC20">
            <v>1</v>
          </cell>
          <cell r="CD20">
            <v>2</v>
          </cell>
          <cell r="CE20">
            <v>62.830000000000013</v>
          </cell>
          <cell r="CF20">
            <v>26.388600000000004</v>
          </cell>
          <cell r="CG20">
            <v>3.1415000000000006</v>
          </cell>
          <cell r="CH20">
            <v>1.5707500000000003</v>
          </cell>
          <cell r="CI20">
            <v>12.566000000000003</v>
          </cell>
          <cell r="CJ20">
            <v>25.132000000000005</v>
          </cell>
          <cell r="CK20">
            <v>62.830000000000013</v>
          </cell>
          <cell r="CL20">
            <v>3.1415000000000006</v>
          </cell>
          <cell r="CM20">
            <v>6.2830000000000013</v>
          </cell>
          <cell r="CN20">
            <v>6.2830000000000013</v>
          </cell>
          <cell r="CO20">
            <v>1</v>
          </cell>
          <cell r="CP20">
            <v>3.25</v>
          </cell>
          <cell r="CQ20">
            <v>0.25</v>
          </cell>
          <cell r="CR20">
            <v>1</v>
          </cell>
          <cell r="CS20">
            <v>1</v>
          </cell>
          <cell r="CT20">
            <v>19.634375000000002</v>
          </cell>
          <cell r="CU20">
            <v>19.634375000000002</v>
          </cell>
          <cell r="CV20">
            <v>39.268750000000004</v>
          </cell>
          <cell r="CW20">
            <v>98.171875000000014</v>
          </cell>
          <cell r="CX20">
            <v>19.634375000000002</v>
          </cell>
          <cell r="CY20">
            <v>4.9085937500000005</v>
          </cell>
          <cell r="CZ20">
            <v>9.8171875000000011</v>
          </cell>
          <cell r="DA20">
            <v>217.34865673333337</v>
          </cell>
          <cell r="DB20" t="str">
            <v>M.S. reinforcement of plain hot rolled m.s. rods to BS4449 for slab, use 10mm bars at 150 c.c. spacing</v>
          </cell>
          <cell r="DD20">
            <v>217.34865673333337</v>
          </cell>
          <cell r="DF20">
            <v>5.4337164183333346</v>
          </cell>
          <cell r="DG20">
            <v>1.3040919404000002</v>
          </cell>
          <cell r="DH20">
            <v>2.6081838808000004</v>
          </cell>
          <cell r="DI20">
            <v>2</v>
          </cell>
          <cell r="DJ20">
            <v>1</v>
          </cell>
          <cell r="DK20">
            <v>3.4320000000000004</v>
          </cell>
          <cell r="DL20">
            <v>0.5</v>
          </cell>
          <cell r="DM20">
            <v>4</v>
          </cell>
          <cell r="DN20">
            <v>2.5</v>
          </cell>
          <cell r="DO20">
            <v>0.5</v>
          </cell>
          <cell r="DP20">
            <v>2</v>
          </cell>
          <cell r="DQ20">
            <v>2</v>
          </cell>
          <cell r="DR20">
            <v>0.8</v>
          </cell>
          <cell r="DS20">
            <v>0.6</v>
          </cell>
          <cell r="DT20">
            <v>0.2</v>
          </cell>
          <cell r="DU20">
            <v>0.5</v>
          </cell>
          <cell r="DV20">
            <v>0.4</v>
          </cell>
          <cell r="DW20">
            <v>3.6988021000000009</v>
          </cell>
          <cell r="DX20" t="str">
            <v>C20 reinforced concrete cement (standard mix in accordance to BS CP 114) for slab, thickness = 140mm</v>
          </cell>
          <cell r="DY20">
            <v>22.192812600000003</v>
          </cell>
          <cell r="DZ20">
            <v>1.8494010500000004</v>
          </cell>
          <cell r="EA20">
            <v>3.6988021000000009</v>
          </cell>
          <cell r="EB20">
            <v>4.0686823100000016</v>
          </cell>
          <cell r="EC20">
            <v>8.1373646200000032</v>
          </cell>
          <cell r="ED20">
            <v>86.391250000000014</v>
          </cell>
          <cell r="EE20" t="str">
            <v>Finishing exposed surfaces of tank</v>
          </cell>
          <cell r="EF20">
            <v>4.3195625000000009</v>
          </cell>
          <cell r="EG20">
            <v>0.4319562500000001</v>
          </cell>
          <cell r="EH20">
            <v>21.597812500000003</v>
          </cell>
          <cell r="EI20">
            <v>21.597812500000003</v>
          </cell>
          <cell r="EJ20">
            <v>2.7368748000000003</v>
          </cell>
          <cell r="EK20">
            <v>3.0105622800000007</v>
          </cell>
          <cell r="EL20">
            <v>33.299900000000001</v>
          </cell>
          <cell r="EM20">
            <v>42.4</v>
          </cell>
          <cell r="EN20">
            <v>0.42399999999999999</v>
          </cell>
          <cell r="EO20">
            <v>3.4980000000000002</v>
          </cell>
          <cell r="EP20">
            <v>33.299900000000001</v>
          </cell>
          <cell r="EQ20">
            <v>11</v>
          </cell>
          <cell r="ER20">
            <v>0.41624875</v>
          </cell>
          <cell r="ES20">
            <v>1.1099966666666667</v>
          </cell>
          <cell r="ET20">
            <v>1.1099966666666667</v>
          </cell>
          <cell r="EU20">
            <v>1.1099966666666667</v>
          </cell>
          <cell r="EV20">
            <v>2.2199933333333335</v>
          </cell>
          <cell r="EW20">
            <v>1</v>
          </cell>
        </row>
        <row r="21">
          <cell r="AG21">
            <v>16</v>
          </cell>
          <cell r="AH21" t="str">
            <v>Stone Masonry Reservoir Tank, 60 cum</v>
          </cell>
          <cell r="AI21">
            <v>229.65150375000005</v>
          </cell>
          <cell r="AJ21">
            <v>5.7412875937500019</v>
          </cell>
          <cell r="AK21">
            <v>16.232209037499999</v>
          </cell>
          <cell r="AL21">
            <v>8.1161045187499994</v>
          </cell>
          <cell r="AM21">
            <v>7.9181507499999997</v>
          </cell>
          <cell r="AN21">
            <v>9.5017809</v>
          </cell>
          <cell r="AO21">
            <v>1.5836301500000001</v>
          </cell>
          <cell r="AP21">
            <v>8.7099658250000012</v>
          </cell>
          <cell r="AQ21">
            <v>8.7099658250000012</v>
          </cell>
          <cell r="AR21">
            <v>500.90991312000006</v>
          </cell>
          <cell r="AS21" t="str">
            <v>M.S. reinforcement of plain hot rolled m.s. rods to BS4449 for slab, use 12mm bars at 125 c.c. spacing</v>
          </cell>
          <cell r="AT21">
            <v>576.04640008800004</v>
          </cell>
          <cell r="AW21">
            <v>12.522747828000002</v>
          </cell>
          <cell r="AX21">
            <v>3.0054594787200002</v>
          </cell>
          <cell r="AY21">
            <v>6.0109189574400004</v>
          </cell>
          <cell r="AZ21">
            <v>7.4036515875000006</v>
          </cell>
          <cell r="BA21" t="str">
            <v>C20 reinforced concrete cement (standard mix in accordance to BS CP 114) for floor, thickness = 210mm</v>
          </cell>
          <cell r="BB21">
            <v>44.421909525000004</v>
          </cell>
          <cell r="BC21">
            <v>3.7018257937500003</v>
          </cell>
          <cell r="BD21">
            <v>7.4036515875000006</v>
          </cell>
          <cell r="BE21">
            <v>8.144016746250001</v>
          </cell>
          <cell r="BF21">
            <v>16.288033492500002</v>
          </cell>
          <cell r="BG21">
            <v>22.144512037500004</v>
          </cell>
          <cell r="BH21" t="str">
            <v>Stone masonry works in (1:3) for walls, as per cross sectoin on drawing</v>
          </cell>
          <cell r="BI21">
            <v>38.752896065625009</v>
          </cell>
          <cell r="BJ21">
            <v>6.6433536112500011</v>
          </cell>
          <cell r="BK21">
            <v>24.358963241250006</v>
          </cell>
          <cell r="BL21">
            <v>0</v>
          </cell>
          <cell r="BM21">
            <v>55.804170334500007</v>
          </cell>
          <cell r="BN21">
            <v>55.804170334500007</v>
          </cell>
          <cell r="BO21">
            <v>3.59108791875</v>
          </cell>
          <cell r="BP21">
            <v>21.546527512499999</v>
          </cell>
          <cell r="BQ21">
            <v>1.795543959375</v>
          </cell>
          <cell r="BR21">
            <v>3.59108791875</v>
          </cell>
          <cell r="BS21">
            <v>3.9501967106250002</v>
          </cell>
          <cell r="BT21">
            <v>7.9003934212500004</v>
          </cell>
          <cell r="BU21">
            <v>120.8201579775</v>
          </cell>
          <cell r="BV21" t="str">
            <v>M.S. reinforcement of plain hot rolled m.s. rods to BS4449 for slab, use 11 rings of 8mm bars and 4 rings of 10mm bars as per cross section on drawings</v>
          </cell>
          <cell r="BX21">
            <v>43.766938189999998</v>
          </cell>
          <cell r="BY21">
            <v>77.053219787499998</v>
          </cell>
          <cell r="BZ21">
            <v>3.0205039494375003</v>
          </cell>
          <cell r="CA21">
            <v>0.72492094786500005</v>
          </cell>
          <cell r="CB21">
            <v>1.4498418957300001</v>
          </cell>
          <cell r="CC21">
            <v>1</v>
          </cell>
          <cell r="CD21">
            <v>2</v>
          </cell>
          <cell r="CE21">
            <v>70.408868750000011</v>
          </cell>
          <cell r="CF21">
            <v>29.571724875000005</v>
          </cell>
          <cell r="CG21">
            <v>3.5204434375000009</v>
          </cell>
          <cell r="CH21">
            <v>1.7602217187500004</v>
          </cell>
          <cell r="CI21">
            <v>14.081773750000004</v>
          </cell>
          <cell r="CJ21">
            <v>28.163547500000007</v>
          </cell>
          <cell r="CK21">
            <v>70.408868750000011</v>
          </cell>
          <cell r="CL21">
            <v>3.5204434375000009</v>
          </cell>
          <cell r="CM21">
            <v>7.0408868750000018</v>
          </cell>
          <cell r="CN21">
            <v>7.0408868750000018</v>
          </cell>
          <cell r="CO21">
            <v>1</v>
          </cell>
          <cell r="CP21">
            <v>3.25</v>
          </cell>
          <cell r="CQ21">
            <v>0.25</v>
          </cell>
          <cell r="CR21">
            <v>1</v>
          </cell>
          <cell r="CS21">
            <v>1</v>
          </cell>
          <cell r="CT21">
            <v>23.757593750000002</v>
          </cell>
          <cell r="CU21">
            <v>23.757593750000002</v>
          </cell>
          <cell r="CV21">
            <v>47.515187500000003</v>
          </cell>
          <cell r="CW21">
            <v>118.78796875</v>
          </cell>
          <cell r="CX21">
            <v>23.757593750000002</v>
          </cell>
          <cell r="CY21">
            <v>5.9393984375000004</v>
          </cell>
          <cell r="CZ21">
            <v>11.878796875000001</v>
          </cell>
          <cell r="DA21">
            <v>316.34653680000002</v>
          </cell>
          <cell r="DB21" t="str">
            <v>M.S. reinforcement of plain hot rolled m.s. rods to BS4449 for slab, use 12mm bars at 175 c.c. spacing</v>
          </cell>
          <cell r="DC21">
            <v>316.34653680000002</v>
          </cell>
          <cell r="DF21">
            <v>7.9086634200000008</v>
          </cell>
          <cell r="DG21">
            <v>1.8980792208000001</v>
          </cell>
          <cell r="DH21">
            <v>3.7961584416000003</v>
          </cell>
          <cell r="DI21">
            <v>2</v>
          </cell>
          <cell r="DJ21">
            <v>1</v>
          </cell>
          <cell r="DK21">
            <v>3.4320000000000004</v>
          </cell>
          <cell r="DL21">
            <v>0.5</v>
          </cell>
          <cell r="DM21">
            <v>4</v>
          </cell>
          <cell r="DN21">
            <v>2.5</v>
          </cell>
          <cell r="DO21">
            <v>0.5</v>
          </cell>
          <cell r="DP21">
            <v>2</v>
          </cell>
          <cell r="DQ21">
            <v>2</v>
          </cell>
          <cell r="DR21">
            <v>0.8</v>
          </cell>
          <cell r="DS21">
            <v>0.6</v>
          </cell>
          <cell r="DT21">
            <v>0.2</v>
          </cell>
          <cell r="DU21">
            <v>0.5</v>
          </cell>
          <cell r="DV21">
            <v>0.4</v>
          </cell>
          <cell r="DW21">
            <v>4.6757300624999996</v>
          </cell>
          <cell r="DX21" t="str">
            <v>C20 reinforced concrete cement (standard mix in accordance to BS CP 114) for slab, thickness = 150mm</v>
          </cell>
          <cell r="DY21">
            <v>28.054380374999997</v>
          </cell>
          <cell r="DZ21">
            <v>2.3378650312499998</v>
          </cell>
          <cell r="EA21">
            <v>4.6757300624999996</v>
          </cell>
          <cell r="EB21">
            <v>5.1433030687499999</v>
          </cell>
          <cell r="EC21">
            <v>10.2866061375</v>
          </cell>
          <cell r="ED21">
            <v>93.302550000000011</v>
          </cell>
          <cell r="EE21" t="str">
            <v>Finishing exposed surfaces of tank</v>
          </cell>
          <cell r="EF21">
            <v>4.6651275000000005</v>
          </cell>
          <cell r="EG21">
            <v>0.46651275000000009</v>
          </cell>
          <cell r="EH21">
            <v>23.325637500000003</v>
          </cell>
          <cell r="EI21">
            <v>23.325637500000003</v>
          </cell>
          <cell r="EJ21">
            <v>3.2464418075000001</v>
          </cell>
          <cell r="EK21">
            <v>3.5710859882500006</v>
          </cell>
          <cell r="EL21">
            <v>34.870649999999998</v>
          </cell>
          <cell r="EM21">
            <v>44.399999999999991</v>
          </cell>
          <cell r="EN21">
            <v>0.44399999999999995</v>
          </cell>
          <cell r="EO21">
            <v>3.6629999999999994</v>
          </cell>
          <cell r="EP21">
            <v>34.870649999999998</v>
          </cell>
          <cell r="EQ21">
            <v>12</v>
          </cell>
          <cell r="ER21">
            <v>0.43588312499999998</v>
          </cell>
          <cell r="ES21">
            <v>1.162355</v>
          </cell>
          <cell r="ET21">
            <v>1.162355</v>
          </cell>
          <cell r="EU21">
            <v>1.162355</v>
          </cell>
          <cell r="EV21">
            <v>2.3247100000000001</v>
          </cell>
          <cell r="EW21">
            <v>1</v>
          </cell>
        </row>
        <row r="22">
          <cell r="AG22">
            <v>17</v>
          </cell>
          <cell r="AH22" t="str">
            <v>Stone Masonry Reservoir Tank, 80 cum</v>
          </cell>
          <cell r="AI22">
            <v>243.27776000000006</v>
          </cell>
          <cell r="AJ22">
            <v>6.0819440000000018</v>
          </cell>
          <cell r="AK22">
            <v>19.506201800000003</v>
          </cell>
          <cell r="AL22">
            <v>9.7531009000000015</v>
          </cell>
          <cell r="AM22">
            <v>9.0726520000000015</v>
          </cell>
          <cell r="AN22">
            <v>10.887182400000002</v>
          </cell>
          <cell r="AO22">
            <v>1.8145304000000004</v>
          </cell>
          <cell r="AP22">
            <v>9.9799172000000027</v>
          </cell>
          <cell r="AQ22">
            <v>9.9799172000000027</v>
          </cell>
          <cell r="AR22">
            <v>723.07779840000012</v>
          </cell>
          <cell r="AS22" t="str">
            <v>M.S. reinforcement of plain hot rolled m.s. rods to BS4449 for slab, use 12mm bars at 100 c.c. spacing</v>
          </cell>
          <cell r="AT22">
            <v>831.53946816000007</v>
          </cell>
          <cell r="AW22">
            <v>18.076944960000002</v>
          </cell>
          <cell r="AX22">
            <v>4.3384667904000009</v>
          </cell>
          <cell r="AY22">
            <v>8.6769335808000019</v>
          </cell>
          <cell r="AZ22">
            <v>9.3641832000000012</v>
          </cell>
          <cell r="BA22" t="str">
            <v>C20 reinforced concrete cement (standard mix in accordance to BS CP 114) for floor, thickness = 230mm</v>
          </cell>
          <cell r="BB22">
            <v>56.18509920000001</v>
          </cell>
          <cell r="BC22">
            <v>4.6820916000000006</v>
          </cell>
          <cell r="BD22">
            <v>9.3641832000000012</v>
          </cell>
          <cell r="BE22">
            <v>10.300601520000003</v>
          </cell>
          <cell r="BF22">
            <v>20.601203040000005</v>
          </cell>
          <cell r="BG22">
            <v>28.952064000000007</v>
          </cell>
          <cell r="BH22" t="str">
            <v>Stone masonry works in (1:3) for walls, as per cross sectoin on drawing</v>
          </cell>
          <cell r="BI22">
            <v>50.666112000000012</v>
          </cell>
          <cell r="BJ22">
            <v>8.6856192000000014</v>
          </cell>
          <cell r="BK22">
            <v>31.84727040000001</v>
          </cell>
          <cell r="BL22">
            <v>0</v>
          </cell>
          <cell r="BM22">
            <v>72.959201280000016</v>
          </cell>
          <cell r="BN22">
            <v>72.959201280000016</v>
          </cell>
          <cell r="BO22">
            <v>4.343516437499999</v>
          </cell>
          <cell r="BP22">
            <v>26.061098624999993</v>
          </cell>
          <cell r="BQ22">
            <v>2.1717582187499995</v>
          </cell>
          <cell r="BR22">
            <v>4.343516437499999</v>
          </cell>
          <cell r="BS22">
            <v>4.7778680812499994</v>
          </cell>
          <cell r="BT22">
            <v>9.5557361624999988</v>
          </cell>
          <cell r="BU22">
            <v>167.25433962</v>
          </cell>
          <cell r="BV22" t="str">
            <v>M.S. reinforcement of plain hot rolled m.s. rods to BS4449 for slab, use 11 rings of 8mm bars and 8 rings of 10mm bars as per cross section on drawings</v>
          </cell>
          <cell r="BX22">
            <v>95.287098379999989</v>
          </cell>
          <cell r="BY22">
            <v>83.878128537500004</v>
          </cell>
          <cell r="BZ22">
            <v>4.1813584905000001</v>
          </cell>
          <cell r="CA22">
            <v>1.0035260377199999</v>
          </cell>
          <cell r="CB22">
            <v>2.0070520754399999</v>
          </cell>
          <cell r="CC22">
            <v>1</v>
          </cell>
          <cell r="CD22">
            <v>2</v>
          </cell>
          <cell r="CE22">
            <v>84.820499999999996</v>
          </cell>
          <cell r="CF22">
            <v>35.624609999999997</v>
          </cell>
          <cell r="CG22">
            <v>4.2410249999999996</v>
          </cell>
          <cell r="CH22">
            <v>2.1205124999999998</v>
          </cell>
          <cell r="CI22">
            <v>16.964099999999998</v>
          </cell>
          <cell r="CJ22">
            <v>33.928199999999997</v>
          </cell>
          <cell r="CK22">
            <v>84.820499999999996</v>
          </cell>
          <cell r="CL22">
            <v>4.2410249999999996</v>
          </cell>
          <cell r="CM22">
            <v>8.4820499999999992</v>
          </cell>
          <cell r="CN22">
            <v>8.4820499999999992</v>
          </cell>
          <cell r="CO22">
            <v>1</v>
          </cell>
          <cell r="CP22">
            <v>3.25</v>
          </cell>
          <cell r="CQ22">
            <v>0.25</v>
          </cell>
          <cell r="CR22">
            <v>1</v>
          </cell>
          <cell r="CS22">
            <v>1</v>
          </cell>
          <cell r="CT22">
            <v>28.273500000000002</v>
          </cell>
          <cell r="CU22">
            <v>28.273500000000002</v>
          </cell>
          <cell r="CV22">
            <v>56.547000000000004</v>
          </cell>
          <cell r="CW22">
            <v>141.36750000000001</v>
          </cell>
          <cell r="CX22">
            <v>28.273500000000002</v>
          </cell>
          <cell r="CY22">
            <v>7.0683750000000005</v>
          </cell>
          <cell r="CZ22">
            <v>14.136750000000001</v>
          </cell>
          <cell r="DA22">
            <v>429.97836159999997</v>
          </cell>
          <cell r="DB22" t="str">
            <v>M.S. reinforcement of plain hot rolled m.s. rods to BS4449 for slab, use 12mm bars at 150 c.c. spacing</v>
          </cell>
          <cell r="DC22">
            <v>429.97836159999997</v>
          </cell>
          <cell r="DF22">
            <v>10.74945904</v>
          </cell>
          <cell r="DG22">
            <v>2.5798701695999999</v>
          </cell>
          <cell r="DH22">
            <v>5.1597403391999999</v>
          </cell>
          <cell r="DI22">
            <v>2</v>
          </cell>
          <cell r="DJ22">
            <v>1</v>
          </cell>
          <cell r="DK22">
            <v>3.4320000000000004</v>
          </cell>
          <cell r="DL22">
            <v>0.5</v>
          </cell>
          <cell r="DM22">
            <v>4</v>
          </cell>
          <cell r="DN22">
            <v>2.5</v>
          </cell>
          <cell r="DO22">
            <v>0.5</v>
          </cell>
          <cell r="DP22">
            <v>2</v>
          </cell>
          <cell r="DQ22">
            <v>2</v>
          </cell>
          <cell r="DR22">
            <v>0.8</v>
          </cell>
          <cell r="DS22">
            <v>0.6</v>
          </cell>
          <cell r="DT22">
            <v>0.2</v>
          </cell>
          <cell r="DU22">
            <v>0.5</v>
          </cell>
          <cell r="DV22">
            <v>0.4</v>
          </cell>
          <cell r="DW22">
            <v>6.1736757999999998</v>
          </cell>
          <cell r="DX22" t="str">
            <v>C20 reinforced concrete cement (standard mix in accordance to BS CP 114) for slab, thickness = 170mm</v>
          </cell>
          <cell r="DY22">
            <v>37.042054800000003</v>
          </cell>
          <cell r="DZ22">
            <v>3.0868378999999999</v>
          </cell>
          <cell r="EA22">
            <v>6.1736757999999998</v>
          </cell>
          <cell r="EB22">
            <v>6.7910433800000005</v>
          </cell>
          <cell r="EC22">
            <v>13.582086760000001</v>
          </cell>
          <cell r="ED22">
            <v>113.09399999999999</v>
          </cell>
          <cell r="EE22" t="str">
            <v>Finishing exposed surfaces of tank</v>
          </cell>
          <cell r="EF22">
            <v>5.6547000000000001</v>
          </cell>
          <cell r="EG22">
            <v>0.56547000000000003</v>
          </cell>
          <cell r="EH22">
            <v>28.273499999999999</v>
          </cell>
          <cell r="EI22">
            <v>28.273499999999999</v>
          </cell>
          <cell r="EJ22">
            <v>3.901240360000001</v>
          </cell>
          <cell r="EK22">
            <v>4.2913643960000014</v>
          </cell>
          <cell r="EL22">
            <v>36.441400000000002</v>
          </cell>
          <cell r="EM22">
            <v>46.4</v>
          </cell>
          <cell r="EN22">
            <v>0.46399999999999997</v>
          </cell>
          <cell r="EO22">
            <v>3.8279999999999998</v>
          </cell>
          <cell r="EP22">
            <v>36.441400000000002</v>
          </cell>
          <cell r="EQ22">
            <v>12</v>
          </cell>
          <cell r="ER22">
            <v>0.45551750000000002</v>
          </cell>
          <cell r="ES22">
            <v>1.2147133333333333</v>
          </cell>
          <cell r="ET22">
            <v>1.2147133333333333</v>
          </cell>
          <cell r="EU22">
            <v>1.2147133333333333</v>
          </cell>
          <cell r="EV22">
            <v>2.4294266666666666</v>
          </cell>
          <cell r="EW22">
            <v>1</v>
          </cell>
        </row>
        <row r="23">
          <cell r="AG23">
            <v>18</v>
          </cell>
          <cell r="AH23" t="str">
            <v>Stone Masonry Reservoir Tank, 100 cum</v>
          </cell>
          <cell r="AI23">
            <v>257.29670375000006</v>
          </cell>
          <cell r="AJ23">
            <v>6.4324175937500021</v>
          </cell>
          <cell r="AK23">
            <v>22.672519650000002</v>
          </cell>
          <cell r="AL23">
            <v>11.336259825000001</v>
          </cell>
          <cell r="AM23">
            <v>10.305690750000002</v>
          </cell>
          <cell r="AN23">
            <v>12.366828900000002</v>
          </cell>
          <cell r="AO23">
            <v>2.0611381500000006</v>
          </cell>
          <cell r="AP23">
            <v>11.336259825000003</v>
          </cell>
          <cell r="AQ23">
            <v>11.336259825000003</v>
          </cell>
          <cell r="AR23">
            <v>826.99233540000012</v>
          </cell>
          <cell r="AS23" t="str">
            <v>M.S. reinforcement of plain hot rolled m.s. rods to BS4449 for slab, use 12mm bars at 100 c.c. spacing</v>
          </cell>
          <cell r="AT23">
            <v>951.04118571000004</v>
          </cell>
          <cell r="AW23">
            <v>20.674808385000006</v>
          </cell>
          <cell r="AX23">
            <v>4.9619540124000006</v>
          </cell>
          <cell r="AY23">
            <v>9.9239080248000011</v>
          </cell>
          <cell r="AZ23">
            <v>11.175572100000002</v>
          </cell>
          <cell r="BA23" t="str">
            <v>C20 reinforced concrete cement (standard mix in accordance to BS CP 114) for floor, thickness = 240mm</v>
          </cell>
          <cell r="BB23">
            <v>67.053432600000008</v>
          </cell>
          <cell r="BC23">
            <v>5.5877860500000009</v>
          </cell>
          <cell r="BD23">
            <v>11.175572100000002</v>
          </cell>
          <cell r="BE23">
            <v>12.293129310000003</v>
          </cell>
          <cell r="BF23">
            <v>24.586258620000006</v>
          </cell>
          <cell r="BG23">
            <v>35.896035600000005</v>
          </cell>
          <cell r="BH23" t="str">
            <v>Stone masonry works in (1:3) for walls, as per cross sectoin on drawing</v>
          </cell>
          <cell r="BI23">
            <v>62.818062300000008</v>
          </cell>
          <cell r="BJ23">
            <v>10.768810680000001</v>
          </cell>
          <cell r="BK23">
            <v>39.485639160000005</v>
          </cell>
          <cell r="BL23">
            <v>0</v>
          </cell>
          <cell r="BM23">
            <v>90.45800971200002</v>
          </cell>
          <cell r="BN23">
            <v>90.45800971200002</v>
          </cell>
          <cell r="BO23">
            <v>5.0100641999999995</v>
          </cell>
          <cell r="BP23">
            <v>30.060385199999999</v>
          </cell>
          <cell r="BQ23">
            <v>2.5050320999999998</v>
          </cell>
          <cell r="BR23">
            <v>5.0100641999999995</v>
          </cell>
          <cell r="BS23">
            <v>5.5110706199999999</v>
          </cell>
          <cell r="BT23">
            <v>11.02214124</v>
          </cell>
          <cell r="BU23">
            <v>207.64628582249998</v>
          </cell>
          <cell r="BV23" t="str">
            <v>M.S. reinforcement of plain hot rolled m.s. rods to BS4449 for slab, use 8 rings of 8mm bars and 11 rings of 10mm bars as per cross section on drawings</v>
          </cell>
          <cell r="BX23">
            <v>141.68044052249999</v>
          </cell>
          <cell r="BY23">
            <v>65.965845299999998</v>
          </cell>
          <cell r="BZ23">
            <v>5.1911571455624994</v>
          </cell>
          <cell r="CA23">
            <v>1.245877714935</v>
          </cell>
          <cell r="CB23">
            <v>2.49175542987</v>
          </cell>
          <cell r="CC23">
            <v>1</v>
          </cell>
          <cell r="CD23">
            <v>2</v>
          </cell>
          <cell r="CE23">
            <v>98.525293750000003</v>
          </cell>
          <cell r="CF23">
            <v>41.380623374999999</v>
          </cell>
          <cell r="CG23">
            <v>4.9262646875000007</v>
          </cell>
          <cell r="CH23">
            <v>2.4631323437500003</v>
          </cell>
          <cell r="CI23">
            <v>19.705058750000003</v>
          </cell>
          <cell r="CJ23">
            <v>39.410117500000005</v>
          </cell>
          <cell r="CK23">
            <v>98.525293750000003</v>
          </cell>
          <cell r="CL23">
            <v>4.9262646875000007</v>
          </cell>
          <cell r="CM23">
            <v>9.8525293750000014</v>
          </cell>
          <cell r="CN23">
            <v>9.8525293750000014</v>
          </cell>
          <cell r="CO23">
            <v>1</v>
          </cell>
          <cell r="CP23">
            <v>3.25</v>
          </cell>
          <cell r="CQ23">
            <v>0.25</v>
          </cell>
          <cell r="CR23">
            <v>1</v>
          </cell>
          <cell r="CS23">
            <v>1</v>
          </cell>
          <cell r="CT23">
            <v>33.18209375</v>
          </cell>
          <cell r="CU23">
            <v>33.18209375</v>
          </cell>
          <cell r="CV23">
            <v>66.3641875</v>
          </cell>
          <cell r="CW23">
            <v>165.91046875000001</v>
          </cell>
          <cell r="CX23">
            <v>33.18209375</v>
          </cell>
          <cell r="CY23">
            <v>8.2955234375</v>
          </cell>
          <cell r="CZ23">
            <v>16.591046875</v>
          </cell>
          <cell r="DA23">
            <v>594.64222032000009</v>
          </cell>
          <cell r="DB23" t="str">
            <v>M.S. reinforcement of plain hot rolled m.s. rods to BS4449 for slab, use 12mm bars at 125 c.c. spacing</v>
          </cell>
          <cell r="DC23">
            <v>594.64222032000009</v>
          </cell>
          <cell r="DF23">
            <v>14.866055508000002</v>
          </cell>
          <cell r="DG23">
            <v>3.5678533219200008</v>
          </cell>
          <cell r="DH23">
            <v>7.1357066438400016</v>
          </cell>
          <cell r="DI23">
            <v>2</v>
          </cell>
          <cell r="DJ23">
            <v>1</v>
          </cell>
          <cell r="DK23">
            <v>3.4320000000000004</v>
          </cell>
          <cell r="DL23">
            <v>0.5</v>
          </cell>
          <cell r="DM23">
            <v>4</v>
          </cell>
          <cell r="DN23">
            <v>2.5</v>
          </cell>
          <cell r="DO23">
            <v>0.5</v>
          </cell>
          <cell r="DP23">
            <v>2</v>
          </cell>
          <cell r="DQ23">
            <v>2</v>
          </cell>
          <cell r="DR23">
            <v>0.8</v>
          </cell>
          <cell r="DS23">
            <v>0.6</v>
          </cell>
          <cell r="DT23">
            <v>0.2</v>
          </cell>
          <cell r="DU23">
            <v>0.5</v>
          </cell>
          <cell r="DV23">
            <v>0.4</v>
          </cell>
          <cell r="DW23">
            <v>7.533474075</v>
          </cell>
          <cell r="DX23" t="str">
            <v>C20 reinforced concrete cement (standard mix in accordance to BS CP 114) for slab, thickness = 180mm</v>
          </cell>
          <cell r="DY23">
            <v>45.200844449999998</v>
          </cell>
          <cell r="DZ23">
            <v>3.7667370375</v>
          </cell>
          <cell r="EA23">
            <v>7.533474075</v>
          </cell>
          <cell r="EB23">
            <v>8.2868214825000006</v>
          </cell>
          <cell r="EC23">
            <v>16.573642965000001</v>
          </cell>
          <cell r="ED23">
            <v>130.68640000000002</v>
          </cell>
          <cell r="EE23" t="str">
            <v>Finishing exposed surfaces of tank</v>
          </cell>
          <cell r="EF23">
            <v>6.534320000000001</v>
          </cell>
          <cell r="EG23">
            <v>0.65343200000000012</v>
          </cell>
          <cell r="EH23">
            <v>32.671600000000005</v>
          </cell>
          <cell r="EI23">
            <v>32.671600000000005</v>
          </cell>
          <cell r="EJ23">
            <v>4.5345039300000005</v>
          </cell>
          <cell r="EK23">
            <v>4.9879543230000012</v>
          </cell>
          <cell r="EL23">
            <v>38.012149999999998</v>
          </cell>
          <cell r="EM23">
            <v>48.4</v>
          </cell>
          <cell r="EN23">
            <v>0.48399999999999999</v>
          </cell>
          <cell r="EO23">
            <v>3.9929999999999999</v>
          </cell>
          <cell r="EP23">
            <v>38.012149999999998</v>
          </cell>
          <cell r="EQ23">
            <v>13</v>
          </cell>
          <cell r="ER23">
            <v>0.475151875</v>
          </cell>
          <cell r="ES23">
            <v>1.2670716666666666</v>
          </cell>
          <cell r="ET23">
            <v>1.2670716666666666</v>
          </cell>
          <cell r="EU23">
            <v>1.2670716666666666</v>
          </cell>
          <cell r="EV23">
            <v>2.5341433333333332</v>
          </cell>
          <cell r="EW23">
            <v>1</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7 Mechanical"/>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Fly Shts"/>
      <sheetName val="G.C. &amp; PRELIMINARIES"/>
      <sheetName val="Bill No.3 Fifth Floor"/>
      <sheetName val="Sum. Bill No. 3 "/>
      <sheetName val="Bill No.4 Sixth Floor"/>
      <sheetName val="Sum. Bill No.4"/>
      <sheetName val="Bill No.5 Seventh Floor"/>
      <sheetName val="Sum. Bill No.5"/>
      <sheetName val="Bill No.6 Electrical"/>
      <sheetName val="Sum. Bill No.6"/>
      <sheetName val="Bill No.7 Mechanical"/>
      <sheetName val="Sum. Bill No.7"/>
      <sheetName val="Bill No. 7A Plumbing"/>
      <sheetName val="Sum. Bill No.7A Plumbing"/>
      <sheetName val="Bill No.8 Variations"/>
      <sheetName val="Sum. Bill No.8"/>
      <sheetName val="Bill No. 9 Eighth Floor"/>
      <sheetName val="Sum. Bill No. 9"/>
      <sheetName val="Bill No.10 Ninth Floor"/>
      <sheetName val="Sum. Bill No.10"/>
      <sheetName val="Bill No.11 Second Floor"/>
      <sheetName val="Sum. Bill No.11"/>
      <sheetName val="Main Summ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ndSum"/>
      <sheetName val="GENERAL ITEMS(1.1)"/>
      <sheetName val="DAYWORKS(1.2)"/>
      <sheetName val="M.R.CHARGES(1.3)"/>
      <sheetName val="INTAKE SITE(2.1)"/>
      <sheetName val="INTAKE(2.2)"/>
      <sheetName val="RAW H2O MAIN(3.1)"/>
      <sheetName val="H2O TREATMENT PLANT SITE(4.1)"/>
      <sheetName val="H2O INLET CHAMBER(4.2)"/>
      <sheetName val="CLARIFIERS(4.3)"/>
      <sheetName val="H2O FLOW DIVISION CHAMBER(4.4)"/>
      <sheetName val="SLOW SAND FILTERS(4.5)"/>
      <sheetName val="H2O OUTLET CHAMBER(4.6)"/>
      <sheetName val="TREATED H2O TRANS(5.1)"/>
      <sheetName val="RESERVOIR&amp;BPTSite(6.1)"/>
      <sheetName val="RESERVOIRS(6.2)"/>
      <sheetName val="BPT(6.3)"/>
      <sheetName val="DISTR(7.1)"/>
      <sheetName val="DISTR(7.2)"/>
      <sheetName val="DISTR(7.3)"/>
      <sheetName val="DISTR(7.4)"/>
      <sheetName val="DISTR(7.5)"/>
      <sheetName val="DISTR(7.6)"/>
      <sheetName val="DISTR(7.7)"/>
      <sheetName val="DISTR(7.8)"/>
      <sheetName val="DISTR(7.9)"/>
      <sheetName val="INTENSIFICATION(7.10)"/>
      <sheetName val="SERVICE CONNECTIONS(7.11)"/>
      <sheetName val="TOOLS&amp;EQUIPMENT"/>
      <sheetName val="RAT"/>
      <sheetName val="H2O TREATMENT PLANT SITE_4_1_"/>
      <sheetName val="fitting rates"/>
      <sheetName val="list"/>
      <sheetName val="Summary"/>
      <sheetName val="Sheet2"/>
      <sheetName val="GENERAL_ITEMS(1_1)"/>
      <sheetName val="DAYWORKS(1_2)"/>
      <sheetName val="M_R_CHARGES(1_3)"/>
      <sheetName val="INTAKE_SITE(2_1)"/>
      <sheetName val="INTAKE(2_2)"/>
      <sheetName val="RAW_H2O_MAIN(3_1)"/>
      <sheetName val="H2O_TREATMENT_PLANT_SITE(4_1)"/>
      <sheetName val="H2O_INLET_CHAMBER(4_2)"/>
      <sheetName val="CLARIFIERS(4_3)"/>
      <sheetName val="H2O_FLOW_DIVISION_CHAMBER(4_4)"/>
      <sheetName val="SLOW_SAND_FILTERS(4_5)"/>
      <sheetName val="H2O_OUTLET_CHAMBER(4_6)"/>
      <sheetName val="TREATED_H2O_TRANS(5_1)"/>
      <sheetName val="RESERVOIR&amp;BPTSite(6_1)"/>
      <sheetName val="RESERVOIRS(6_2)"/>
      <sheetName val="BPT(6_3)"/>
      <sheetName val="DISTR(7_1)"/>
      <sheetName val="DISTR(7_2)"/>
      <sheetName val="DISTR(7_3)"/>
      <sheetName val="DISTR(7_4)"/>
      <sheetName val="DISTR(7_5)"/>
      <sheetName val="DISTR(7_6)"/>
      <sheetName val="DISTR(7_7)"/>
      <sheetName val="DISTR(7_8)"/>
      <sheetName val="DISTR(7_9)"/>
      <sheetName val="INTENSIFICATION(7_10)"/>
      <sheetName val="SERVICE_CONNECTIONS(7_11)"/>
      <sheetName val="H2O_TREATMENT_PLANT_SITE_4_1_"/>
      <sheetName val="fitting_rates"/>
      <sheetName val="GENERAL_ITEMS(1_1)1"/>
      <sheetName val="DAYWORKS(1_2)1"/>
      <sheetName val="M_R_CHARGES(1_3)1"/>
      <sheetName val="INTAKE_SITE(2_1)1"/>
      <sheetName val="INTAKE(2_2)1"/>
      <sheetName val="RAW_H2O_MAIN(3_1)1"/>
      <sheetName val="H2O_TREATMENT_PLANT_SITE(4_1)1"/>
      <sheetName val="H2O_INLET_CHAMBER(4_2)1"/>
      <sheetName val="CLARIFIERS(4_3)1"/>
      <sheetName val="H2O_FLOW_DIVISION_CHAMBER(4_4)1"/>
      <sheetName val="SLOW_SAND_FILTERS(4_5)1"/>
      <sheetName val="H2O_OUTLET_CHAMBER(4_6)1"/>
      <sheetName val="TREATED_H2O_TRANS(5_1)1"/>
      <sheetName val="RESERVOIR&amp;BPTSite(6_1)1"/>
      <sheetName val="RESERVOIRS(6_2)1"/>
      <sheetName val="BPT(6_3)1"/>
      <sheetName val="DISTR(7_1)1"/>
      <sheetName val="DISTR(7_2)1"/>
      <sheetName val="DISTR(7_3)1"/>
      <sheetName val="DISTR(7_4)1"/>
      <sheetName val="DISTR(7_5)1"/>
      <sheetName val="DISTR(7_6)1"/>
      <sheetName val="DISTR(7_7)1"/>
      <sheetName val="DISTR(7_8)1"/>
      <sheetName val="DISTR(7_9)1"/>
      <sheetName val="INTENSIFICATION(7_10)1"/>
      <sheetName val="SERVICE_CONNECTIONS(7_11)1"/>
      <sheetName val="H2O_TREATMENT_PLANT_SITE_4_1_1"/>
      <sheetName val="fitting_rates1"/>
      <sheetName val="Cat A Change Control"/>
      <sheetName val="Schedules"/>
      <sheetName val="Driveway Beams"/>
      <sheetName val="mech"/>
      <sheetName val="Cost Index"/>
      <sheetName val="XL4Poppy"/>
      <sheetName val="Mos"/>
      <sheetName val="Bill 1"/>
      <sheetName val="Cost Summary with mhrs"/>
      <sheetName val="Cost Summary"/>
      <sheetName val="Project Status Overview"/>
      <sheetName val="Cost Summary with EBS titles"/>
      <sheetName val="Cost Summary Marine"/>
      <sheetName val="PSI"/>
      <sheetName val="R and O"/>
      <sheetName val="00_Main Prices List"/>
      <sheetName val="Data Input"/>
      <sheetName val="Construction"/>
      <sheetName val="BUDADIRI ENGINEER'S ESTIMATE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alls"/>
      <sheetName val="Strip foundation"/>
      <sheetName val="Colum foundation"/>
      <sheetName val="Ground slab &amp; Hardcore"/>
      <sheetName val="R.C Frame"/>
      <sheetName val="Roof Structure"/>
      <sheetName val="Staircase"/>
      <sheetName val="Lift Shaft"/>
      <sheetName val="Walling"/>
      <sheetName val="Floor finishes"/>
      <sheetName val="Ceiling finishes"/>
    </sheetNames>
    <sheetDataSet>
      <sheetData sheetId="0"/>
      <sheetData sheetId="1"/>
      <sheetData sheetId="2"/>
      <sheetData sheetId="3"/>
      <sheetData sheetId="4"/>
      <sheetData sheetId="5"/>
      <sheetData sheetId="6"/>
      <sheetData sheetId="7">
        <row r="17">
          <cell r="L17">
            <v>10.5</v>
          </cell>
        </row>
      </sheetData>
      <sheetData sheetId="8"/>
      <sheetData sheetId="9">
        <row r="57">
          <cell r="N57">
            <v>594.96999999999991</v>
          </cell>
          <cell r="O57">
            <v>341.46999999999997</v>
          </cell>
        </row>
      </sheetData>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6"/>
  <sheetViews>
    <sheetView view="pageBreakPreview" topLeftCell="A11" zoomScale="90" zoomScaleNormal="100" zoomScaleSheetLayoutView="90" workbookViewId="0">
      <selection activeCell="D26" sqref="D26"/>
    </sheetView>
  </sheetViews>
  <sheetFormatPr defaultRowHeight="15" x14ac:dyDescent="0.55000000000000004"/>
  <cols>
    <col min="1" max="1" width="1.46484375" style="304" customWidth="1"/>
    <col min="2" max="2" width="14.6640625" style="304" customWidth="1"/>
    <col min="3" max="3" width="57.86328125" style="304" customWidth="1"/>
    <col min="4" max="4" width="18.53125" style="304" customWidth="1"/>
    <col min="5" max="6" width="1.46484375" style="304" customWidth="1"/>
    <col min="7" max="254" width="8.86328125" style="304"/>
    <col min="255" max="255" width="2.33203125" style="304" customWidth="1"/>
    <col min="256" max="256" width="1.46484375" style="304" customWidth="1"/>
    <col min="257" max="257" width="0.86328125" style="304" customWidth="1"/>
    <col min="258" max="258" width="14.6640625" style="304" customWidth="1"/>
    <col min="259" max="259" width="51.33203125" style="304" customWidth="1"/>
    <col min="260" max="260" width="18.53125" style="304" customWidth="1"/>
    <col min="261" max="262" width="1.46484375" style="304" customWidth="1"/>
    <col min="263" max="510" width="8.86328125" style="304"/>
    <col min="511" max="511" width="2.33203125" style="304" customWidth="1"/>
    <col min="512" max="512" width="1.46484375" style="304" customWidth="1"/>
    <col min="513" max="513" width="0.86328125" style="304" customWidth="1"/>
    <col min="514" max="514" width="14.6640625" style="304" customWidth="1"/>
    <col min="515" max="515" width="51.33203125" style="304" customWidth="1"/>
    <col min="516" max="516" width="18.53125" style="304" customWidth="1"/>
    <col min="517" max="518" width="1.46484375" style="304" customWidth="1"/>
    <col min="519" max="766" width="8.86328125" style="304"/>
    <col min="767" max="767" width="2.33203125" style="304" customWidth="1"/>
    <col min="768" max="768" width="1.46484375" style="304" customWidth="1"/>
    <col min="769" max="769" width="0.86328125" style="304" customWidth="1"/>
    <col min="770" max="770" width="14.6640625" style="304" customWidth="1"/>
    <col min="771" max="771" width="51.33203125" style="304" customWidth="1"/>
    <col min="772" max="772" width="18.53125" style="304" customWidth="1"/>
    <col min="773" max="774" width="1.46484375" style="304" customWidth="1"/>
    <col min="775" max="1022" width="8.86328125" style="304"/>
    <col min="1023" max="1023" width="2.33203125" style="304" customWidth="1"/>
    <col min="1024" max="1024" width="1.46484375" style="304" customWidth="1"/>
    <col min="1025" max="1025" width="0.86328125" style="304" customWidth="1"/>
    <col min="1026" max="1026" width="14.6640625" style="304" customWidth="1"/>
    <col min="1027" max="1027" width="51.33203125" style="304" customWidth="1"/>
    <col min="1028" max="1028" width="18.53125" style="304" customWidth="1"/>
    <col min="1029" max="1030" width="1.46484375" style="304" customWidth="1"/>
    <col min="1031" max="1278" width="8.86328125" style="304"/>
    <col min="1279" max="1279" width="2.33203125" style="304" customWidth="1"/>
    <col min="1280" max="1280" width="1.46484375" style="304" customWidth="1"/>
    <col min="1281" max="1281" width="0.86328125" style="304" customWidth="1"/>
    <col min="1282" max="1282" width="14.6640625" style="304" customWidth="1"/>
    <col min="1283" max="1283" width="51.33203125" style="304" customWidth="1"/>
    <col min="1284" max="1284" width="18.53125" style="304" customWidth="1"/>
    <col min="1285" max="1286" width="1.46484375" style="304" customWidth="1"/>
    <col min="1287" max="1534" width="8.86328125" style="304"/>
    <col min="1535" max="1535" width="2.33203125" style="304" customWidth="1"/>
    <col min="1536" max="1536" width="1.46484375" style="304" customWidth="1"/>
    <col min="1537" max="1537" width="0.86328125" style="304" customWidth="1"/>
    <col min="1538" max="1538" width="14.6640625" style="304" customWidth="1"/>
    <col min="1539" max="1539" width="51.33203125" style="304" customWidth="1"/>
    <col min="1540" max="1540" width="18.53125" style="304" customWidth="1"/>
    <col min="1541" max="1542" width="1.46484375" style="304" customWidth="1"/>
    <col min="1543" max="1790" width="8.86328125" style="304"/>
    <col min="1791" max="1791" width="2.33203125" style="304" customWidth="1"/>
    <col min="1792" max="1792" width="1.46484375" style="304" customWidth="1"/>
    <col min="1793" max="1793" width="0.86328125" style="304" customWidth="1"/>
    <col min="1794" max="1794" width="14.6640625" style="304" customWidth="1"/>
    <col min="1795" max="1795" width="51.33203125" style="304" customWidth="1"/>
    <col min="1796" max="1796" width="18.53125" style="304" customWidth="1"/>
    <col min="1797" max="1798" width="1.46484375" style="304" customWidth="1"/>
    <col min="1799" max="2046" width="8.86328125" style="304"/>
    <col min="2047" max="2047" width="2.33203125" style="304" customWidth="1"/>
    <col min="2048" max="2048" width="1.46484375" style="304" customWidth="1"/>
    <col min="2049" max="2049" width="0.86328125" style="304" customWidth="1"/>
    <col min="2050" max="2050" width="14.6640625" style="304" customWidth="1"/>
    <col min="2051" max="2051" width="51.33203125" style="304" customWidth="1"/>
    <col min="2052" max="2052" width="18.53125" style="304" customWidth="1"/>
    <col min="2053" max="2054" width="1.46484375" style="304" customWidth="1"/>
    <col min="2055" max="2302" width="8.86328125" style="304"/>
    <col min="2303" max="2303" width="2.33203125" style="304" customWidth="1"/>
    <col min="2304" max="2304" width="1.46484375" style="304" customWidth="1"/>
    <col min="2305" max="2305" width="0.86328125" style="304" customWidth="1"/>
    <col min="2306" max="2306" width="14.6640625" style="304" customWidth="1"/>
    <col min="2307" max="2307" width="51.33203125" style="304" customWidth="1"/>
    <col min="2308" max="2308" width="18.53125" style="304" customWidth="1"/>
    <col min="2309" max="2310" width="1.46484375" style="304" customWidth="1"/>
    <col min="2311" max="2558" width="8.86328125" style="304"/>
    <col min="2559" max="2559" width="2.33203125" style="304" customWidth="1"/>
    <col min="2560" max="2560" width="1.46484375" style="304" customWidth="1"/>
    <col min="2561" max="2561" width="0.86328125" style="304" customWidth="1"/>
    <col min="2562" max="2562" width="14.6640625" style="304" customWidth="1"/>
    <col min="2563" max="2563" width="51.33203125" style="304" customWidth="1"/>
    <col min="2564" max="2564" width="18.53125" style="304" customWidth="1"/>
    <col min="2565" max="2566" width="1.46484375" style="304" customWidth="1"/>
    <col min="2567" max="2814" width="8.86328125" style="304"/>
    <col min="2815" max="2815" width="2.33203125" style="304" customWidth="1"/>
    <col min="2816" max="2816" width="1.46484375" style="304" customWidth="1"/>
    <col min="2817" max="2817" width="0.86328125" style="304" customWidth="1"/>
    <col min="2818" max="2818" width="14.6640625" style="304" customWidth="1"/>
    <col min="2819" max="2819" width="51.33203125" style="304" customWidth="1"/>
    <col min="2820" max="2820" width="18.53125" style="304" customWidth="1"/>
    <col min="2821" max="2822" width="1.46484375" style="304" customWidth="1"/>
    <col min="2823" max="3070" width="8.86328125" style="304"/>
    <col min="3071" max="3071" width="2.33203125" style="304" customWidth="1"/>
    <col min="3072" max="3072" width="1.46484375" style="304" customWidth="1"/>
    <col min="3073" max="3073" width="0.86328125" style="304" customWidth="1"/>
    <col min="3074" max="3074" width="14.6640625" style="304" customWidth="1"/>
    <col min="3075" max="3075" width="51.33203125" style="304" customWidth="1"/>
    <col min="3076" max="3076" width="18.53125" style="304" customWidth="1"/>
    <col min="3077" max="3078" width="1.46484375" style="304" customWidth="1"/>
    <col min="3079" max="3326" width="8.86328125" style="304"/>
    <col min="3327" max="3327" width="2.33203125" style="304" customWidth="1"/>
    <col min="3328" max="3328" width="1.46484375" style="304" customWidth="1"/>
    <col min="3329" max="3329" width="0.86328125" style="304" customWidth="1"/>
    <col min="3330" max="3330" width="14.6640625" style="304" customWidth="1"/>
    <col min="3331" max="3331" width="51.33203125" style="304" customWidth="1"/>
    <col min="3332" max="3332" width="18.53125" style="304" customWidth="1"/>
    <col min="3333" max="3334" width="1.46484375" style="304" customWidth="1"/>
    <col min="3335" max="3582" width="8.86328125" style="304"/>
    <col min="3583" max="3583" width="2.33203125" style="304" customWidth="1"/>
    <col min="3584" max="3584" width="1.46484375" style="304" customWidth="1"/>
    <col min="3585" max="3585" width="0.86328125" style="304" customWidth="1"/>
    <col min="3586" max="3586" width="14.6640625" style="304" customWidth="1"/>
    <col min="3587" max="3587" width="51.33203125" style="304" customWidth="1"/>
    <col min="3588" max="3588" width="18.53125" style="304" customWidth="1"/>
    <col min="3589" max="3590" width="1.46484375" style="304" customWidth="1"/>
    <col min="3591" max="3838" width="8.86328125" style="304"/>
    <col min="3839" max="3839" width="2.33203125" style="304" customWidth="1"/>
    <col min="3840" max="3840" width="1.46484375" style="304" customWidth="1"/>
    <col min="3841" max="3841" width="0.86328125" style="304" customWidth="1"/>
    <col min="3842" max="3842" width="14.6640625" style="304" customWidth="1"/>
    <col min="3843" max="3843" width="51.33203125" style="304" customWidth="1"/>
    <col min="3844" max="3844" width="18.53125" style="304" customWidth="1"/>
    <col min="3845" max="3846" width="1.46484375" style="304" customWidth="1"/>
    <col min="3847" max="4094" width="8.86328125" style="304"/>
    <col min="4095" max="4095" width="2.33203125" style="304" customWidth="1"/>
    <col min="4096" max="4096" width="1.46484375" style="304" customWidth="1"/>
    <col min="4097" max="4097" width="0.86328125" style="304" customWidth="1"/>
    <col min="4098" max="4098" width="14.6640625" style="304" customWidth="1"/>
    <col min="4099" max="4099" width="51.33203125" style="304" customWidth="1"/>
    <col min="4100" max="4100" width="18.53125" style="304" customWidth="1"/>
    <col min="4101" max="4102" width="1.46484375" style="304" customWidth="1"/>
    <col min="4103" max="4350" width="8.86328125" style="304"/>
    <col min="4351" max="4351" width="2.33203125" style="304" customWidth="1"/>
    <col min="4352" max="4352" width="1.46484375" style="304" customWidth="1"/>
    <col min="4353" max="4353" width="0.86328125" style="304" customWidth="1"/>
    <col min="4354" max="4354" width="14.6640625" style="304" customWidth="1"/>
    <col min="4355" max="4355" width="51.33203125" style="304" customWidth="1"/>
    <col min="4356" max="4356" width="18.53125" style="304" customWidth="1"/>
    <col min="4357" max="4358" width="1.46484375" style="304" customWidth="1"/>
    <col min="4359" max="4606" width="8.86328125" style="304"/>
    <col min="4607" max="4607" width="2.33203125" style="304" customWidth="1"/>
    <col min="4608" max="4608" width="1.46484375" style="304" customWidth="1"/>
    <col min="4609" max="4609" width="0.86328125" style="304" customWidth="1"/>
    <col min="4610" max="4610" width="14.6640625" style="304" customWidth="1"/>
    <col min="4611" max="4611" width="51.33203125" style="304" customWidth="1"/>
    <col min="4612" max="4612" width="18.53125" style="304" customWidth="1"/>
    <col min="4613" max="4614" width="1.46484375" style="304" customWidth="1"/>
    <col min="4615" max="4862" width="8.86328125" style="304"/>
    <col min="4863" max="4863" width="2.33203125" style="304" customWidth="1"/>
    <col min="4864" max="4864" width="1.46484375" style="304" customWidth="1"/>
    <col min="4865" max="4865" width="0.86328125" style="304" customWidth="1"/>
    <col min="4866" max="4866" width="14.6640625" style="304" customWidth="1"/>
    <col min="4867" max="4867" width="51.33203125" style="304" customWidth="1"/>
    <col min="4868" max="4868" width="18.53125" style="304" customWidth="1"/>
    <col min="4869" max="4870" width="1.46484375" style="304" customWidth="1"/>
    <col min="4871" max="5118" width="8.86328125" style="304"/>
    <col min="5119" max="5119" width="2.33203125" style="304" customWidth="1"/>
    <col min="5120" max="5120" width="1.46484375" style="304" customWidth="1"/>
    <col min="5121" max="5121" width="0.86328125" style="304" customWidth="1"/>
    <col min="5122" max="5122" width="14.6640625" style="304" customWidth="1"/>
    <col min="5123" max="5123" width="51.33203125" style="304" customWidth="1"/>
    <col min="5124" max="5124" width="18.53125" style="304" customWidth="1"/>
    <col min="5125" max="5126" width="1.46484375" style="304" customWidth="1"/>
    <col min="5127" max="5374" width="8.86328125" style="304"/>
    <col min="5375" max="5375" width="2.33203125" style="304" customWidth="1"/>
    <col min="5376" max="5376" width="1.46484375" style="304" customWidth="1"/>
    <col min="5377" max="5377" width="0.86328125" style="304" customWidth="1"/>
    <col min="5378" max="5378" width="14.6640625" style="304" customWidth="1"/>
    <col min="5379" max="5379" width="51.33203125" style="304" customWidth="1"/>
    <col min="5380" max="5380" width="18.53125" style="304" customWidth="1"/>
    <col min="5381" max="5382" width="1.46484375" style="304" customWidth="1"/>
    <col min="5383" max="5630" width="8.86328125" style="304"/>
    <col min="5631" max="5631" width="2.33203125" style="304" customWidth="1"/>
    <col min="5632" max="5632" width="1.46484375" style="304" customWidth="1"/>
    <col min="5633" max="5633" width="0.86328125" style="304" customWidth="1"/>
    <col min="5634" max="5634" width="14.6640625" style="304" customWidth="1"/>
    <col min="5635" max="5635" width="51.33203125" style="304" customWidth="1"/>
    <col min="5636" max="5636" width="18.53125" style="304" customWidth="1"/>
    <col min="5637" max="5638" width="1.46484375" style="304" customWidth="1"/>
    <col min="5639" max="5886" width="8.86328125" style="304"/>
    <col min="5887" max="5887" width="2.33203125" style="304" customWidth="1"/>
    <col min="5888" max="5888" width="1.46484375" style="304" customWidth="1"/>
    <col min="5889" max="5889" width="0.86328125" style="304" customWidth="1"/>
    <col min="5890" max="5890" width="14.6640625" style="304" customWidth="1"/>
    <col min="5891" max="5891" width="51.33203125" style="304" customWidth="1"/>
    <col min="5892" max="5892" width="18.53125" style="304" customWidth="1"/>
    <col min="5893" max="5894" width="1.46484375" style="304" customWidth="1"/>
    <col min="5895" max="6142" width="8.86328125" style="304"/>
    <col min="6143" max="6143" width="2.33203125" style="304" customWidth="1"/>
    <col min="6144" max="6144" width="1.46484375" style="304" customWidth="1"/>
    <col min="6145" max="6145" width="0.86328125" style="304" customWidth="1"/>
    <col min="6146" max="6146" width="14.6640625" style="304" customWidth="1"/>
    <col min="6147" max="6147" width="51.33203125" style="304" customWidth="1"/>
    <col min="6148" max="6148" width="18.53125" style="304" customWidth="1"/>
    <col min="6149" max="6150" width="1.46484375" style="304" customWidth="1"/>
    <col min="6151" max="6398" width="8.86328125" style="304"/>
    <col min="6399" max="6399" width="2.33203125" style="304" customWidth="1"/>
    <col min="6400" max="6400" width="1.46484375" style="304" customWidth="1"/>
    <col min="6401" max="6401" width="0.86328125" style="304" customWidth="1"/>
    <col min="6402" max="6402" width="14.6640625" style="304" customWidth="1"/>
    <col min="6403" max="6403" width="51.33203125" style="304" customWidth="1"/>
    <col min="6404" max="6404" width="18.53125" style="304" customWidth="1"/>
    <col min="6405" max="6406" width="1.46484375" style="304" customWidth="1"/>
    <col min="6407" max="6654" width="8.86328125" style="304"/>
    <col min="6655" max="6655" width="2.33203125" style="304" customWidth="1"/>
    <col min="6656" max="6656" width="1.46484375" style="304" customWidth="1"/>
    <col min="6657" max="6657" width="0.86328125" style="304" customWidth="1"/>
    <col min="6658" max="6658" width="14.6640625" style="304" customWidth="1"/>
    <col min="6659" max="6659" width="51.33203125" style="304" customWidth="1"/>
    <col min="6660" max="6660" width="18.53125" style="304" customWidth="1"/>
    <col min="6661" max="6662" width="1.46484375" style="304" customWidth="1"/>
    <col min="6663" max="6910" width="8.86328125" style="304"/>
    <col min="6911" max="6911" width="2.33203125" style="304" customWidth="1"/>
    <col min="6912" max="6912" width="1.46484375" style="304" customWidth="1"/>
    <col min="6913" max="6913" width="0.86328125" style="304" customWidth="1"/>
    <col min="6914" max="6914" width="14.6640625" style="304" customWidth="1"/>
    <col min="6915" max="6915" width="51.33203125" style="304" customWidth="1"/>
    <col min="6916" max="6916" width="18.53125" style="304" customWidth="1"/>
    <col min="6917" max="6918" width="1.46484375" style="304" customWidth="1"/>
    <col min="6919" max="7166" width="8.86328125" style="304"/>
    <col min="7167" max="7167" width="2.33203125" style="304" customWidth="1"/>
    <col min="7168" max="7168" width="1.46484375" style="304" customWidth="1"/>
    <col min="7169" max="7169" width="0.86328125" style="304" customWidth="1"/>
    <col min="7170" max="7170" width="14.6640625" style="304" customWidth="1"/>
    <col min="7171" max="7171" width="51.33203125" style="304" customWidth="1"/>
    <col min="7172" max="7172" width="18.53125" style="304" customWidth="1"/>
    <col min="7173" max="7174" width="1.46484375" style="304" customWidth="1"/>
    <col min="7175" max="7422" width="8.86328125" style="304"/>
    <col min="7423" max="7423" width="2.33203125" style="304" customWidth="1"/>
    <col min="7424" max="7424" width="1.46484375" style="304" customWidth="1"/>
    <col min="7425" max="7425" width="0.86328125" style="304" customWidth="1"/>
    <col min="7426" max="7426" width="14.6640625" style="304" customWidth="1"/>
    <col min="7427" max="7427" width="51.33203125" style="304" customWidth="1"/>
    <col min="7428" max="7428" width="18.53125" style="304" customWidth="1"/>
    <col min="7429" max="7430" width="1.46484375" style="304" customWidth="1"/>
    <col min="7431" max="7678" width="8.86328125" style="304"/>
    <col min="7679" max="7679" width="2.33203125" style="304" customWidth="1"/>
    <col min="7680" max="7680" width="1.46484375" style="304" customWidth="1"/>
    <col min="7681" max="7681" width="0.86328125" style="304" customWidth="1"/>
    <col min="7682" max="7682" width="14.6640625" style="304" customWidth="1"/>
    <col min="7683" max="7683" width="51.33203125" style="304" customWidth="1"/>
    <col min="7684" max="7684" width="18.53125" style="304" customWidth="1"/>
    <col min="7685" max="7686" width="1.46484375" style="304" customWidth="1"/>
    <col min="7687" max="7934" width="8.86328125" style="304"/>
    <col min="7935" max="7935" width="2.33203125" style="304" customWidth="1"/>
    <col min="7936" max="7936" width="1.46484375" style="304" customWidth="1"/>
    <col min="7937" max="7937" width="0.86328125" style="304" customWidth="1"/>
    <col min="7938" max="7938" width="14.6640625" style="304" customWidth="1"/>
    <col min="7939" max="7939" width="51.33203125" style="304" customWidth="1"/>
    <col min="7940" max="7940" width="18.53125" style="304" customWidth="1"/>
    <col min="7941" max="7942" width="1.46484375" style="304" customWidth="1"/>
    <col min="7943" max="8190" width="8.86328125" style="304"/>
    <col min="8191" max="8191" width="2.33203125" style="304" customWidth="1"/>
    <col min="8192" max="8192" width="1.46484375" style="304" customWidth="1"/>
    <col min="8193" max="8193" width="0.86328125" style="304" customWidth="1"/>
    <col min="8194" max="8194" width="14.6640625" style="304" customWidth="1"/>
    <col min="8195" max="8195" width="51.33203125" style="304" customWidth="1"/>
    <col min="8196" max="8196" width="18.53125" style="304" customWidth="1"/>
    <col min="8197" max="8198" width="1.46484375" style="304" customWidth="1"/>
    <col min="8199" max="8446" width="8.86328125" style="304"/>
    <col min="8447" max="8447" width="2.33203125" style="304" customWidth="1"/>
    <col min="8448" max="8448" width="1.46484375" style="304" customWidth="1"/>
    <col min="8449" max="8449" width="0.86328125" style="304" customWidth="1"/>
    <col min="8450" max="8450" width="14.6640625" style="304" customWidth="1"/>
    <col min="8451" max="8451" width="51.33203125" style="304" customWidth="1"/>
    <col min="8452" max="8452" width="18.53125" style="304" customWidth="1"/>
    <col min="8453" max="8454" width="1.46484375" style="304" customWidth="1"/>
    <col min="8455" max="8702" width="8.86328125" style="304"/>
    <col min="8703" max="8703" width="2.33203125" style="304" customWidth="1"/>
    <col min="8704" max="8704" width="1.46484375" style="304" customWidth="1"/>
    <col min="8705" max="8705" width="0.86328125" style="304" customWidth="1"/>
    <col min="8706" max="8706" width="14.6640625" style="304" customWidth="1"/>
    <col min="8707" max="8707" width="51.33203125" style="304" customWidth="1"/>
    <col min="8708" max="8708" width="18.53125" style="304" customWidth="1"/>
    <col min="8709" max="8710" width="1.46484375" style="304" customWidth="1"/>
    <col min="8711" max="8958" width="8.86328125" style="304"/>
    <col min="8959" max="8959" width="2.33203125" style="304" customWidth="1"/>
    <col min="8960" max="8960" width="1.46484375" style="304" customWidth="1"/>
    <col min="8961" max="8961" width="0.86328125" style="304" customWidth="1"/>
    <col min="8962" max="8962" width="14.6640625" style="304" customWidth="1"/>
    <col min="8963" max="8963" width="51.33203125" style="304" customWidth="1"/>
    <col min="8964" max="8964" width="18.53125" style="304" customWidth="1"/>
    <col min="8965" max="8966" width="1.46484375" style="304" customWidth="1"/>
    <col min="8967" max="9214" width="8.86328125" style="304"/>
    <col min="9215" max="9215" width="2.33203125" style="304" customWidth="1"/>
    <col min="9216" max="9216" width="1.46484375" style="304" customWidth="1"/>
    <col min="9217" max="9217" width="0.86328125" style="304" customWidth="1"/>
    <col min="9218" max="9218" width="14.6640625" style="304" customWidth="1"/>
    <col min="9219" max="9219" width="51.33203125" style="304" customWidth="1"/>
    <col min="9220" max="9220" width="18.53125" style="304" customWidth="1"/>
    <col min="9221" max="9222" width="1.46484375" style="304" customWidth="1"/>
    <col min="9223" max="9470" width="8.86328125" style="304"/>
    <col min="9471" max="9471" width="2.33203125" style="304" customWidth="1"/>
    <col min="9472" max="9472" width="1.46484375" style="304" customWidth="1"/>
    <col min="9473" max="9473" width="0.86328125" style="304" customWidth="1"/>
    <col min="9474" max="9474" width="14.6640625" style="304" customWidth="1"/>
    <col min="9475" max="9475" width="51.33203125" style="304" customWidth="1"/>
    <col min="9476" max="9476" width="18.53125" style="304" customWidth="1"/>
    <col min="9477" max="9478" width="1.46484375" style="304" customWidth="1"/>
    <col min="9479" max="9726" width="8.86328125" style="304"/>
    <col min="9727" max="9727" width="2.33203125" style="304" customWidth="1"/>
    <col min="9728" max="9728" width="1.46484375" style="304" customWidth="1"/>
    <col min="9729" max="9729" width="0.86328125" style="304" customWidth="1"/>
    <col min="9730" max="9730" width="14.6640625" style="304" customWidth="1"/>
    <col min="9731" max="9731" width="51.33203125" style="304" customWidth="1"/>
    <col min="9732" max="9732" width="18.53125" style="304" customWidth="1"/>
    <col min="9733" max="9734" width="1.46484375" style="304" customWidth="1"/>
    <col min="9735" max="9982" width="8.86328125" style="304"/>
    <col min="9983" max="9983" width="2.33203125" style="304" customWidth="1"/>
    <col min="9984" max="9984" width="1.46484375" style="304" customWidth="1"/>
    <col min="9985" max="9985" width="0.86328125" style="304" customWidth="1"/>
    <col min="9986" max="9986" width="14.6640625" style="304" customWidth="1"/>
    <col min="9987" max="9987" width="51.33203125" style="304" customWidth="1"/>
    <col min="9988" max="9988" width="18.53125" style="304" customWidth="1"/>
    <col min="9989" max="9990" width="1.46484375" style="304" customWidth="1"/>
    <col min="9991" max="10238" width="8.86328125" style="304"/>
    <col min="10239" max="10239" width="2.33203125" style="304" customWidth="1"/>
    <col min="10240" max="10240" width="1.46484375" style="304" customWidth="1"/>
    <col min="10241" max="10241" width="0.86328125" style="304" customWidth="1"/>
    <col min="10242" max="10242" width="14.6640625" style="304" customWidth="1"/>
    <col min="10243" max="10243" width="51.33203125" style="304" customWidth="1"/>
    <col min="10244" max="10244" width="18.53125" style="304" customWidth="1"/>
    <col min="10245" max="10246" width="1.46484375" style="304" customWidth="1"/>
    <col min="10247" max="10494" width="8.86328125" style="304"/>
    <col min="10495" max="10495" width="2.33203125" style="304" customWidth="1"/>
    <col min="10496" max="10496" width="1.46484375" style="304" customWidth="1"/>
    <col min="10497" max="10497" width="0.86328125" style="304" customWidth="1"/>
    <col min="10498" max="10498" width="14.6640625" style="304" customWidth="1"/>
    <col min="10499" max="10499" width="51.33203125" style="304" customWidth="1"/>
    <col min="10500" max="10500" width="18.53125" style="304" customWidth="1"/>
    <col min="10501" max="10502" width="1.46484375" style="304" customWidth="1"/>
    <col min="10503" max="10750" width="8.86328125" style="304"/>
    <col min="10751" max="10751" width="2.33203125" style="304" customWidth="1"/>
    <col min="10752" max="10752" width="1.46484375" style="304" customWidth="1"/>
    <col min="10753" max="10753" width="0.86328125" style="304" customWidth="1"/>
    <col min="10754" max="10754" width="14.6640625" style="304" customWidth="1"/>
    <col min="10755" max="10755" width="51.33203125" style="304" customWidth="1"/>
    <col min="10756" max="10756" width="18.53125" style="304" customWidth="1"/>
    <col min="10757" max="10758" width="1.46484375" style="304" customWidth="1"/>
    <col min="10759" max="11006" width="8.86328125" style="304"/>
    <col min="11007" max="11007" width="2.33203125" style="304" customWidth="1"/>
    <col min="11008" max="11008" width="1.46484375" style="304" customWidth="1"/>
    <col min="11009" max="11009" width="0.86328125" style="304" customWidth="1"/>
    <col min="11010" max="11010" width="14.6640625" style="304" customWidth="1"/>
    <col min="11011" max="11011" width="51.33203125" style="304" customWidth="1"/>
    <col min="11012" max="11012" width="18.53125" style="304" customWidth="1"/>
    <col min="11013" max="11014" width="1.46484375" style="304" customWidth="1"/>
    <col min="11015" max="11262" width="8.86328125" style="304"/>
    <col min="11263" max="11263" width="2.33203125" style="304" customWidth="1"/>
    <col min="11264" max="11264" width="1.46484375" style="304" customWidth="1"/>
    <col min="11265" max="11265" width="0.86328125" style="304" customWidth="1"/>
    <col min="11266" max="11266" width="14.6640625" style="304" customWidth="1"/>
    <col min="11267" max="11267" width="51.33203125" style="304" customWidth="1"/>
    <col min="11268" max="11268" width="18.53125" style="304" customWidth="1"/>
    <col min="11269" max="11270" width="1.46484375" style="304" customWidth="1"/>
    <col min="11271" max="11518" width="8.86328125" style="304"/>
    <col min="11519" max="11519" width="2.33203125" style="304" customWidth="1"/>
    <col min="11520" max="11520" width="1.46484375" style="304" customWidth="1"/>
    <col min="11521" max="11521" width="0.86328125" style="304" customWidth="1"/>
    <col min="11522" max="11522" width="14.6640625" style="304" customWidth="1"/>
    <col min="11523" max="11523" width="51.33203125" style="304" customWidth="1"/>
    <col min="11524" max="11524" width="18.53125" style="304" customWidth="1"/>
    <col min="11525" max="11526" width="1.46484375" style="304" customWidth="1"/>
    <col min="11527" max="11774" width="8.86328125" style="304"/>
    <col min="11775" max="11775" width="2.33203125" style="304" customWidth="1"/>
    <col min="11776" max="11776" width="1.46484375" style="304" customWidth="1"/>
    <col min="11777" max="11777" width="0.86328125" style="304" customWidth="1"/>
    <col min="11778" max="11778" width="14.6640625" style="304" customWidth="1"/>
    <col min="11779" max="11779" width="51.33203125" style="304" customWidth="1"/>
    <col min="11780" max="11780" width="18.53125" style="304" customWidth="1"/>
    <col min="11781" max="11782" width="1.46484375" style="304" customWidth="1"/>
    <col min="11783" max="12030" width="8.86328125" style="304"/>
    <col min="12031" max="12031" width="2.33203125" style="304" customWidth="1"/>
    <col min="12032" max="12032" width="1.46484375" style="304" customWidth="1"/>
    <col min="12033" max="12033" width="0.86328125" style="304" customWidth="1"/>
    <col min="12034" max="12034" width="14.6640625" style="304" customWidth="1"/>
    <col min="12035" max="12035" width="51.33203125" style="304" customWidth="1"/>
    <col min="12036" max="12036" width="18.53125" style="304" customWidth="1"/>
    <col min="12037" max="12038" width="1.46484375" style="304" customWidth="1"/>
    <col min="12039" max="12286" width="8.86328125" style="304"/>
    <col min="12287" max="12287" width="2.33203125" style="304" customWidth="1"/>
    <col min="12288" max="12288" width="1.46484375" style="304" customWidth="1"/>
    <col min="12289" max="12289" width="0.86328125" style="304" customWidth="1"/>
    <col min="12290" max="12290" width="14.6640625" style="304" customWidth="1"/>
    <col min="12291" max="12291" width="51.33203125" style="304" customWidth="1"/>
    <col min="12292" max="12292" width="18.53125" style="304" customWidth="1"/>
    <col min="12293" max="12294" width="1.46484375" style="304" customWidth="1"/>
    <col min="12295" max="12542" width="8.86328125" style="304"/>
    <col min="12543" max="12543" width="2.33203125" style="304" customWidth="1"/>
    <col min="12544" max="12544" width="1.46484375" style="304" customWidth="1"/>
    <col min="12545" max="12545" width="0.86328125" style="304" customWidth="1"/>
    <col min="12546" max="12546" width="14.6640625" style="304" customWidth="1"/>
    <col min="12547" max="12547" width="51.33203125" style="304" customWidth="1"/>
    <col min="12548" max="12548" width="18.53125" style="304" customWidth="1"/>
    <col min="12549" max="12550" width="1.46484375" style="304" customWidth="1"/>
    <col min="12551" max="12798" width="8.86328125" style="304"/>
    <col min="12799" max="12799" width="2.33203125" style="304" customWidth="1"/>
    <col min="12800" max="12800" width="1.46484375" style="304" customWidth="1"/>
    <col min="12801" max="12801" width="0.86328125" style="304" customWidth="1"/>
    <col min="12802" max="12802" width="14.6640625" style="304" customWidth="1"/>
    <col min="12803" max="12803" width="51.33203125" style="304" customWidth="1"/>
    <col min="12804" max="12804" width="18.53125" style="304" customWidth="1"/>
    <col min="12805" max="12806" width="1.46484375" style="304" customWidth="1"/>
    <col min="12807" max="13054" width="8.86328125" style="304"/>
    <col min="13055" max="13055" width="2.33203125" style="304" customWidth="1"/>
    <col min="13056" max="13056" width="1.46484375" style="304" customWidth="1"/>
    <col min="13057" max="13057" width="0.86328125" style="304" customWidth="1"/>
    <col min="13058" max="13058" width="14.6640625" style="304" customWidth="1"/>
    <col min="13059" max="13059" width="51.33203125" style="304" customWidth="1"/>
    <col min="13060" max="13060" width="18.53125" style="304" customWidth="1"/>
    <col min="13061" max="13062" width="1.46484375" style="304" customWidth="1"/>
    <col min="13063" max="13310" width="8.86328125" style="304"/>
    <col min="13311" max="13311" width="2.33203125" style="304" customWidth="1"/>
    <col min="13312" max="13312" width="1.46484375" style="304" customWidth="1"/>
    <col min="13313" max="13313" width="0.86328125" style="304" customWidth="1"/>
    <col min="13314" max="13314" width="14.6640625" style="304" customWidth="1"/>
    <col min="13315" max="13315" width="51.33203125" style="304" customWidth="1"/>
    <col min="13316" max="13316" width="18.53125" style="304" customWidth="1"/>
    <col min="13317" max="13318" width="1.46484375" style="304" customWidth="1"/>
    <col min="13319" max="13566" width="8.86328125" style="304"/>
    <col min="13567" max="13567" width="2.33203125" style="304" customWidth="1"/>
    <col min="13568" max="13568" width="1.46484375" style="304" customWidth="1"/>
    <col min="13569" max="13569" width="0.86328125" style="304" customWidth="1"/>
    <col min="13570" max="13570" width="14.6640625" style="304" customWidth="1"/>
    <col min="13571" max="13571" width="51.33203125" style="304" customWidth="1"/>
    <col min="13572" max="13572" width="18.53125" style="304" customWidth="1"/>
    <col min="13573" max="13574" width="1.46484375" style="304" customWidth="1"/>
    <col min="13575" max="13822" width="8.86328125" style="304"/>
    <col min="13823" max="13823" width="2.33203125" style="304" customWidth="1"/>
    <col min="13824" max="13824" width="1.46484375" style="304" customWidth="1"/>
    <col min="13825" max="13825" width="0.86328125" style="304" customWidth="1"/>
    <col min="13826" max="13826" width="14.6640625" style="304" customWidth="1"/>
    <col min="13827" max="13827" width="51.33203125" style="304" customWidth="1"/>
    <col min="13828" max="13828" width="18.53125" style="304" customWidth="1"/>
    <col min="13829" max="13830" width="1.46484375" style="304" customWidth="1"/>
    <col min="13831" max="14078" width="8.86328125" style="304"/>
    <col min="14079" max="14079" width="2.33203125" style="304" customWidth="1"/>
    <col min="14080" max="14080" width="1.46484375" style="304" customWidth="1"/>
    <col min="14081" max="14081" width="0.86328125" style="304" customWidth="1"/>
    <col min="14082" max="14082" width="14.6640625" style="304" customWidth="1"/>
    <col min="14083" max="14083" width="51.33203125" style="304" customWidth="1"/>
    <col min="14084" max="14084" width="18.53125" style="304" customWidth="1"/>
    <col min="14085" max="14086" width="1.46484375" style="304" customWidth="1"/>
    <col min="14087" max="14334" width="8.86328125" style="304"/>
    <col min="14335" max="14335" width="2.33203125" style="304" customWidth="1"/>
    <col min="14336" max="14336" width="1.46484375" style="304" customWidth="1"/>
    <col min="14337" max="14337" width="0.86328125" style="304" customWidth="1"/>
    <col min="14338" max="14338" width="14.6640625" style="304" customWidth="1"/>
    <col min="14339" max="14339" width="51.33203125" style="304" customWidth="1"/>
    <col min="14340" max="14340" width="18.53125" style="304" customWidth="1"/>
    <col min="14341" max="14342" width="1.46484375" style="304" customWidth="1"/>
    <col min="14343" max="14590" width="8.86328125" style="304"/>
    <col min="14591" max="14591" width="2.33203125" style="304" customWidth="1"/>
    <col min="14592" max="14592" width="1.46484375" style="304" customWidth="1"/>
    <col min="14593" max="14593" width="0.86328125" style="304" customWidth="1"/>
    <col min="14594" max="14594" width="14.6640625" style="304" customWidth="1"/>
    <col min="14595" max="14595" width="51.33203125" style="304" customWidth="1"/>
    <col min="14596" max="14596" width="18.53125" style="304" customWidth="1"/>
    <col min="14597" max="14598" width="1.46484375" style="304" customWidth="1"/>
    <col min="14599" max="14846" width="8.86328125" style="304"/>
    <col min="14847" max="14847" width="2.33203125" style="304" customWidth="1"/>
    <col min="14848" max="14848" width="1.46484375" style="304" customWidth="1"/>
    <col min="14849" max="14849" width="0.86328125" style="304" customWidth="1"/>
    <col min="14850" max="14850" width="14.6640625" style="304" customWidth="1"/>
    <col min="14851" max="14851" width="51.33203125" style="304" customWidth="1"/>
    <col min="14852" max="14852" width="18.53125" style="304" customWidth="1"/>
    <col min="14853" max="14854" width="1.46484375" style="304" customWidth="1"/>
    <col min="14855" max="15102" width="8.86328125" style="304"/>
    <col min="15103" max="15103" width="2.33203125" style="304" customWidth="1"/>
    <col min="15104" max="15104" width="1.46484375" style="304" customWidth="1"/>
    <col min="15105" max="15105" width="0.86328125" style="304" customWidth="1"/>
    <col min="15106" max="15106" width="14.6640625" style="304" customWidth="1"/>
    <col min="15107" max="15107" width="51.33203125" style="304" customWidth="1"/>
    <col min="15108" max="15108" width="18.53125" style="304" customWidth="1"/>
    <col min="15109" max="15110" width="1.46484375" style="304" customWidth="1"/>
    <col min="15111" max="15358" width="8.86328125" style="304"/>
    <col min="15359" max="15359" width="2.33203125" style="304" customWidth="1"/>
    <col min="15360" max="15360" width="1.46484375" style="304" customWidth="1"/>
    <col min="15361" max="15361" width="0.86328125" style="304" customWidth="1"/>
    <col min="15362" max="15362" width="14.6640625" style="304" customWidth="1"/>
    <col min="15363" max="15363" width="51.33203125" style="304" customWidth="1"/>
    <col min="15364" max="15364" width="18.53125" style="304" customWidth="1"/>
    <col min="15365" max="15366" width="1.46484375" style="304" customWidth="1"/>
    <col min="15367" max="15614" width="8.86328125" style="304"/>
    <col min="15615" max="15615" width="2.33203125" style="304" customWidth="1"/>
    <col min="15616" max="15616" width="1.46484375" style="304" customWidth="1"/>
    <col min="15617" max="15617" width="0.86328125" style="304" customWidth="1"/>
    <col min="15618" max="15618" width="14.6640625" style="304" customWidth="1"/>
    <col min="15619" max="15619" width="51.33203125" style="304" customWidth="1"/>
    <col min="15620" max="15620" width="18.53125" style="304" customWidth="1"/>
    <col min="15621" max="15622" width="1.46484375" style="304" customWidth="1"/>
    <col min="15623" max="15870" width="8.86328125" style="304"/>
    <col min="15871" max="15871" width="2.33203125" style="304" customWidth="1"/>
    <col min="15872" max="15872" width="1.46484375" style="304" customWidth="1"/>
    <col min="15873" max="15873" width="0.86328125" style="304" customWidth="1"/>
    <col min="15874" max="15874" width="14.6640625" style="304" customWidth="1"/>
    <col min="15875" max="15875" width="51.33203125" style="304" customWidth="1"/>
    <col min="15876" max="15876" width="18.53125" style="304" customWidth="1"/>
    <col min="15877" max="15878" width="1.46484375" style="304" customWidth="1"/>
    <col min="15879" max="16126" width="8.86328125" style="304"/>
    <col min="16127" max="16127" width="2.33203125" style="304" customWidth="1"/>
    <col min="16128" max="16128" width="1.46484375" style="304" customWidth="1"/>
    <col min="16129" max="16129" width="0.86328125" style="304" customWidth="1"/>
    <col min="16130" max="16130" width="14.6640625" style="304" customWidth="1"/>
    <col min="16131" max="16131" width="51.33203125" style="304" customWidth="1"/>
    <col min="16132" max="16132" width="18.53125" style="304" customWidth="1"/>
    <col min="16133" max="16134" width="1.46484375" style="304" customWidth="1"/>
    <col min="16135" max="16384" width="8.86328125" style="304"/>
  </cols>
  <sheetData>
    <row r="1" spans="2:4" ht="24.95" customHeight="1" x14ac:dyDescent="0.55000000000000004"/>
    <row r="2" spans="2:4" ht="24.95" customHeight="1" x14ac:dyDescent="0.55000000000000004"/>
    <row r="3" spans="2:4" ht="20.100000000000001" customHeight="1" x14ac:dyDescent="0.55000000000000004">
      <c r="B3" s="471" t="s">
        <v>530</v>
      </c>
      <c r="C3" s="471"/>
      <c r="D3" s="471"/>
    </row>
    <row r="4" spans="2:4" ht="34.25" customHeight="1" x14ac:dyDescent="0.55000000000000004">
      <c r="B4" s="472" t="s">
        <v>1230</v>
      </c>
      <c r="C4" s="473"/>
      <c r="D4" s="473"/>
    </row>
    <row r="5" spans="2:4" ht="34.25" customHeight="1" x14ac:dyDescent="0.55000000000000004">
      <c r="B5" s="474"/>
      <c r="C5" s="474"/>
      <c r="D5" s="474"/>
    </row>
    <row r="6" spans="2:4" ht="30" customHeight="1" x14ac:dyDescent="0.55000000000000004">
      <c r="B6" s="305"/>
      <c r="C6" s="305"/>
    </row>
    <row r="7" spans="2:4" ht="30" customHeight="1" x14ac:dyDescent="0.55000000000000004">
      <c r="B7" s="305"/>
      <c r="C7" s="305"/>
    </row>
    <row r="8" spans="2:4" ht="42" customHeight="1" x14ac:dyDescent="0.55000000000000004">
      <c r="B8" s="470" t="s">
        <v>1231</v>
      </c>
      <c r="C8" s="470"/>
      <c r="D8" s="470"/>
    </row>
    <row r="9" spans="2:4" ht="30" customHeight="1" x14ac:dyDescent="0.55000000000000004">
      <c r="B9" s="305"/>
      <c r="C9" s="305"/>
    </row>
    <row r="10" spans="2:4" ht="30" customHeight="1" x14ac:dyDescent="0.55000000000000004">
      <c r="B10" s="305"/>
      <c r="C10" s="305"/>
    </row>
    <row r="11" spans="2:4" ht="30" customHeight="1" x14ac:dyDescent="0.55000000000000004">
      <c r="B11" s="470"/>
      <c r="C11" s="470"/>
      <c r="D11" s="470"/>
    </row>
    <row r="12" spans="2:4" ht="30" customHeight="1" x14ac:dyDescent="0.55000000000000004">
      <c r="C12" s="306"/>
    </row>
    <row r="13" spans="2:4" ht="30" customHeight="1" x14ac:dyDescent="0.55000000000000004">
      <c r="C13" s="306"/>
    </row>
    <row r="14" spans="2:4" ht="30" customHeight="1" x14ac:dyDescent="0.55000000000000004">
      <c r="B14" s="470" t="s">
        <v>1013</v>
      </c>
      <c r="C14" s="470"/>
      <c r="D14" s="470"/>
    </row>
    <row r="15" spans="2:4" ht="30" customHeight="1" x14ac:dyDescent="0.55000000000000004">
      <c r="B15" s="305"/>
      <c r="C15" s="305"/>
    </row>
    <row r="16" spans="2:4" ht="30" customHeight="1" x14ac:dyDescent="0.55000000000000004">
      <c r="B16" s="305"/>
      <c r="C16" s="305"/>
    </row>
    <row r="17" spans="2:6" ht="30" customHeight="1" x14ac:dyDescent="0.55000000000000004">
      <c r="B17" s="305"/>
      <c r="C17" s="305"/>
    </row>
    <row r="18" spans="2:6" ht="30" customHeight="1" x14ac:dyDescent="0.55000000000000004">
      <c r="B18" s="305"/>
      <c r="C18" s="305"/>
    </row>
    <row r="19" spans="2:6" ht="30" customHeight="1" x14ac:dyDescent="0.55000000000000004">
      <c r="B19" s="305"/>
      <c r="C19" s="305"/>
    </row>
    <row r="20" spans="2:6" ht="30" customHeight="1" x14ac:dyDescent="0.55000000000000004">
      <c r="B20" s="305"/>
      <c r="C20" s="305"/>
    </row>
    <row r="21" spans="2:6" ht="30" customHeight="1" x14ac:dyDescent="0.55000000000000004">
      <c r="B21" s="305"/>
      <c r="C21" s="305"/>
    </row>
    <row r="22" spans="2:6" ht="30" customHeight="1" x14ac:dyDescent="0.55000000000000004">
      <c r="B22" s="305"/>
      <c r="C22" s="305"/>
    </row>
    <row r="23" spans="2:6" ht="30" customHeight="1" x14ac:dyDescent="0.55000000000000004">
      <c r="B23" s="305"/>
      <c r="C23" s="305"/>
    </row>
    <row r="24" spans="2:6" ht="30" customHeight="1" x14ac:dyDescent="0.55000000000000004">
      <c r="C24" s="306"/>
    </row>
    <row r="25" spans="2:6" ht="21.95" customHeight="1" x14ac:dyDescent="0.55000000000000004">
      <c r="B25" s="303"/>
      <c r="C25" s="308"/>
      <c r="D25" s="416" t="s">
        <v>1233</v>
      </c>
      <c r="F25" s="307"/>
    </row>
    <row r="26" spans="2:6" ht="9" customHeight="1" x14ac:dyDescent="0.55000000000000004">
      <c r="B26" s="309"/>
      <c r="C26" s="309"/>
      <c r="D26" s="309"/>
      <c r="F26" s="309"/>
    </row>
  </sheetData>
  <mergeCells count="6">
    <mergeCell ref="B14:D14"/>
    <mergeCell ref="B3:D3"/>
    <mergeCell ref="B4:D4"/>
    <mergeCell ref="B5:D5"/>
    <mergeCell ref="B8:D8"/>
    <mergeCell ref="B11:D11"/>
  </mergeCells>
  <printOptions horizontalCentered="1"/>
  <pageMargins left="0.31496062992125984" right="0.19685039370078741" top="0.43307086614173229" bottom="0.47244094488188981" header="0.19685039370078741" footer="0.23622047244094491"/>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B1:B4"/>
  <sheetViews>
    <sheetView view="pageBreakPreview" zoomScaleNormal="100" workbookViewId="0">
      <selection activeCell="M12" sqref="M12"/>
    </sheetView>
  </sheetViews>
  <sheetFormatPr defaultColWidth="9.1328125" defaultRowHeight="20.65" x14ac:dyDescent="0.35"/>
  <cols>
    <col min="1" max="1" width="6.33203125" style="287" customWidth="1"/>
    <col min="2" max="2" width="69.86328125" style="291" customWidth="1"/>
    <col min="3" max="16384" width="9.1328125" style="287"/>
  </cols>
  <sheetData>
    <row r="1" spans="2:2" x14ac:dyDescent="0.35">
      <c r="B1" s="288"/>
    </row>
    <row r="2" spans="2:2" ht="30" customHeight="1" x14ac:dyDescent="0.35">
      <c r="B2" s="289"/>
    </row>
    <row r="3" spans="2:2" ht="40.5" customHeight="1" x14ac:dyDescent="0.35">
      <c r="B3" s="290" t="s">
        <v>44</v>
      </c>
    </row>
    <row r="4" spans="2:2" x14ac:dyDescent="0.35">
      <c r="B4" s="288"/>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B1:J43"/>
  <sheetViews>
    <sheetView view="pageBreakPreview" topLeftCell="A8" zoomScale="90" zoomScaleSheetLayoutView="90" workbookViewId="0">
      <selection activeCell="G13" sqref="G13:G14"/>
    </sheetView>
  </sheetViews>
  <sheetFormatPr defaultColWidth="9.1328125" defaultRowHeight="21.95" customHeight="1" x14ac:dyDescent="0.35"/>
  <cols>
    <col min="1" max="1" width="0.46484375" style="240" customWidth="1"/>
    <col min="2" max="2" width="12" style="339" customWidth="1"/>
    <col min="3" max="3" width="0.53125" style="339" customWidth="1"/>
    <col min="4" max="4" width="37.46484375" style="340" customWidth="1"/>
    <col min="5" max="5" width="12.86328125" style="298" customWidth="1"/>
    <col min="6" max="6" width="15" style="298" customWidth="1"/>
    <col min="7" max="7" width="17.1328125" style="341" customWidth="1"/>
    <col min="8" max="8" width="0.53125" style="240" customWidth="1"/>
    <col min="9" max="9" width="9.1328125" style="240"/>
    <col min="10" max="10" width="18.06640625" style="240" bestFit="1" customWidth="1"/>
    <col min="11" max="16384" width="9.1328125" style="240"/>
  </cols>
  <sheetData>
    <row r="1" spans="2:7" ht="4.5" customHeight="1" x14ac:dyDescent="0.35"/>
    <row r="2" spans="2:7" s="337" customFormat="1" ht="42" customHeight="1" x14ac:dyDescent="0.35">
      <c r="B2" s="477" t="s">
        <v>65</v>
      </c>
      <c r="C2" s="477"/>
      <c r="D2" s="477" t="s">
        <v>1231</v>
      </c>
      <c r="E2" s="477"/>
      <c r="F2" s="477"/>
      <c r="G2" s="477"/>
    </row>
    <row r="3" spans="2:7" s="337" customFormat="1" ht="49.25" customHeight="1" x14ac:dyDescent="0.35">
      <c r="B3" s="477" t="s">
        <v>64</v>
      </c>
      <c r="C3" s="477"/>
      <c r="D3" s="478" t="s">
        <v>1232</v>
      </c>
      <c r="E3" s="478"/>
      <c r="F3" s="478"/>
      <c r="G3" s="478"/>
    </row>
    <row r="4" spans="2:7" s="337" customFormat="1" ht="22.05" customHeight="1" x14ac:dyDescent="0.35">
      <c r="B4" s="477" t="s">
        <v>63</v>
      </c>
      <c r="C4" s="477"/>
      <c r="D4" s="478"/>
      <c r="E4" s="478"/>
      <c r="F4" s="478"/>
      <c r="G4" s="478"/>
    </row>
    <row r="5" spans="2:7" s="337" customFormat="1" ht="22.05" customHeight="1" x14ac:dyDescent="0.35">
      <c r="B5" s="477" t="s">
        <v>62</v>
      </c>
      <c r="C5" s="477"/>
      <c r="D5" s="475" t="str">
        <f>'Cover Page '!D25</f>
        <v>FEBRUARY 2025</v>
      </c>
      <c r="E5" s="476"/>
      <c r="F5" s="476"/>
      <c r="G5" s="476"/>
    </row>
    <row r="6" spans="2:7" s="337" customFormat="1" ht="15.4" x14ac:dyDescent="0.35">
      <c r="B6" s="481" t="s">
        <v>44</v>
      </c>
      <c r="C6" s="482"/>
      <c r="D6" s="482"/>
      <c r="E6" s="482"/>
      <c r="F6" s="482"/>
      <c r="G6" s="482"/>
    </row>
    <row r="7" spans="2:7" s="337" customFormat="1" ht="15.4" x14ac:dyDescent="0.35">
      <c r="G7" s="299"/>
    </row>
    <row r="8" spans="2:7" s="337" customFormat="1" ht="30.75" x14ac:dyDescent="0.35">
      <c r="B8" s="369" t="s">
        <v>61</v>
      </c>
      <c r="C8" s="369"/>
      <c r="D8" s="370" t="s">
        <v>38</v>
      </c>
      <c r="E8" s="371"/>
      <c r="F8" s="372" t="s">
        <v>30</v>
      </c>
      <c r="G8" s="336" t="s">
        <v>531</v>
      </c>
    </row>
    <row r="9" spans="2:7" s="337" customFormat="1" ht="24.95" customHeight="1" x14ac:dyDescent="0.35">
      <c r="B9" s="338"/>
      <c r="C9" s="338"/>
      <c r="D9" s="367"/>
      <c r="E9" s="331"/>
      <c r="F9" s="335"/>
      <c r="G9" s="299"/>
    </row>
    <row r="10" spans="2:7" s="337" customFormat="1" ht="24.95" customHeight="1" x14ac:dyDescent="0.35">
      <c r="B10" s="338"/>
      <c r="C10" s="338"/>
      <c r="D10" s="367"/>
      <c r="E10" s="331"/>
      <c r="F10" s="335"/>
      <c r="G10" s="299"/>
    </row>
    <row r="11" spans="2:7" s="337" customFormat="1" ht="24.95" customHeight="1" x14ac:dyDescent="0.35">
      <c r="B11" s="338"/>
      <c r="C11" s="338"/>
      <c r="D11" s="367"/>
      <c r="E11" s="331"/>
      <c r="F11" s="335"/>
      <c r="G11" s="299"/>
    </row>
    <row r="12" spans="2:7" s="337" customFormat="1" ht="24.95" customHeight="1" x14ac:dyDescent="0.35">
      <c r="B12" s="338">
        <v>4</v>
      </c>
      <c r="C12" s="338"/>
      <c r="D12" s="367" t="s">
        <v>519</v>
      </c>
      <c r="E12" s="331"/>
      <c r="F12" s="335" t="str">
        <f>'Sum. Bill No.4'!C28</f>
        <v>4/S</v>
      </c>
      <c r="G12" s="299">
        <f>'Sum. Bill No.4'!E27</f>
        <v>1168620150</v>
      </c>
    </row>
    <row r="13" spans="2:7" s="337" customFormat="1" ht="24.95" customHeight="1" x14ac:dyDescent="0.35">
      <c r="B13" s="338">
        <v>5</v>
      </c>
      <c r="C13" s="338"/>
      <c r="D13" s="367" t="s">
        <v>524</v>
      </c>
      <c r="E13" s="331"/>
      <c r="F13" s="335" t="str">
        <f>'Sum. Bill No.5'!C27</f>
        <v>5/S</v>
      </c>
      <c r="G13" s="299">
        <f>'Sum. Bill No.5'!E26</f>
        <v>652532100</v>
      </c>
    </row>
    <row r="14" spans="2:7" s="337" customFormat="1" ht="24.95" customHeight="1" x14ac:dyDescent="0.35">
      <c r="B14" s="338">
        <v>6</v>
      </c>
      <c r="C14" s="338"/>
      <c r="D14" s="367" t="str">
        <f>'Sum. Bill No.6'!C5</f>
        <v>FIRE FIGHTING INSTALLATIONS</v>
      </c>
      <c r="E14" s="331"/>
      <c r="F14" s="335" t="str">
        <f>'Sum. Bill No.6'!C27</f>
        <v>6/S</v>
      </c>
      <c r="G14" s="299">
        <f>'Sum. Bill No.6'!E26</f>
        <v>395471000</v>
      </c>
    </row>
    <row r="15" spans="2:7" s="337" customFormat="1" ht="24.95" customHeight="1" x14ac:dyDescent="0.35">
      <c r="B15" s="338">
        <v>7</v>
      </c>
      <c r="C15" s="338"/>
      <c r="D15" s="367" t="s">
        <v>981</v>
      </c>
      <c r="E15" s="331"/>
      <c r="F15" s="335" t="str">
        <f>'Sum. Bill No.7'!C25</f>
        <v>7/S</v>
      </c>
      <c r="G15" s="299">
        <f>'Sum. Bill No.7'!E24</f>
        <v>1264655568.0880003</v>
      </c>
    </row>
    <row r="16" spans="2:7" s="337" customFormat="1" ht="24.95" customHeight="1" x14ac:dyDescent="0.35">
      <c r="B16" s="338">
        <v>8</v>
      </c>
      <c r="C16" s="338"/>
      <c r="D16" s="367" t="s">
        <v>982</v>
      </c>
      <c r="E16" s="331"/>
      <c r="F16" s="335" t="str">
        <f>'Bill No.8 Lift Inst.'!C38</f>
        <v>8/S</v>
      </c>
      <c r="G16" s="299">
        <f>'Bill No.8 Lift Inst.'!G37</f>
        <v>356900000</v>
      </c>
    </row>
    <row r="17" spans="2:10" s="337" customFormat="1" ht="24.95" customHeight="1" x14ac:dyDescent="0.35">
      <c r="B17" s="338">
        <v>9</v>
      </c>
      <c r="C17" s="338"/>
      <c r="D17" s="367" t="s">
        <v>983</v>
      </c>
      <c r="E17" s="331"/>
      <c r="F17" s="335" t="str">
        <f>'Sum. Bill No.9'!C25</f>
        <v>9/S</v>
      </c>
      <c r="G17" s="299">
        <f>'Sum. Bill No.9'!E24</f>
        <v>430266500</v>
      </c>
    </row>
    <row r="18" spans="2:10" s="337" customFormat="1" ht="24.95" customHeight="1" x14ac:dyDescent="0.35">
      <c r="B18" s="338"/>
      <c r="C18" s="338"/>
      <c r="D18" s="367"/>
      <c r="E18" s="331"/>
      <c r="F18" s="335"/>
      <c r="G18" s="299"/>
    </row>
    <row r="19" spans="2:10" s="337" customFormat="1" ht="24.95" customHeight="1" x14ac:dyDescent="0.35">
      <c r="B19" s="338"/>
      <c r="C19" s="338"/>
      <c r="D19" s="366"/>
      <c r="E19" s="361"/>
      <c r="F19" s="335"/>
      <c r="G19" s="332"/>
    </row>
    <row r="20" spans="2:10" s="337" customFormat="1" ht="24.95" customHeight="1" x14ac:dyDescent="0.35">
      <c r="B20" s="338"/>
      <c r="C20" s="338"/>
      <c r="D20" s="366"/>
      <c r="E20" s="361"/>
      <c r="F20" s="335"/>
      <c r="G20" s="332"/>
    </row>
    <row r="21" spans="2:10" s="337" customFormat="1" ht="24.95" customHeight="1" x14ac:dyDescent="0.35">
      <c r="B21" s="338"/>
      <c r="C21" s="338"/>
      <c r="D21" s="366"/>
      <c r="E21" s="361"/>
      <c r="F21" s="335"/>
      <c r="G21" s="332"/>
    </row>
    <row r="22" spans="2:10" s="337" customFormat="1" ht="24.95" customHeight="1" x14ac:dyDescent="0.35">
      <c r="B22" s="344"/>
      <c r="C22" s="344"/>
      <c r="D22" s="484" t="s">
        <v>526</v>
      </c>
      <c r="E22" s="485"/>
      <c r="F22" s="363"/>
      <c r="G22" s="333">
        <f>SUM(G9:G21)</f>
        <v>4268445318.0880003</v>
      </c>
    </row>
    <row r="23" spans="2:10" s="337" customFormat="1" ht="24.95" customHeight="1" x14ac:dyDescent="0.35">
      <c r="B23" s="344"/>
      <c r="C23" s="344"/>
      <c r="D23" s="345" t="s">
        <v>528</v>
      </c>
      <c r="E23" s="362"/>
      <c r="F23" s="346">
        <v>0.05</v>
      </c>
      <c r="G23" s="334">
        <f>G22*F23</f>
        <v>213422265.90440002</v>
      </c>
    </row>
    <row r="24" spans="2:10" s="337" customFormat="1" ht="24.95" customHeight="1" x14ac:dyDescent="0.35">
      <c r="B24" s="344"/>
      <c r="C24" s="344"/>
      <c r="D24" s="484" t="s">
        <v>525</v>
      </c>
      <c r="E24" s="485"/>
      <c r="F24" s="347"/>
      <c r="G24" s="333">
        <f>SUM(G22:G23)</f>
        <v>4481867583.9924002</v>
      </c>
    </row>
    <row r="25" spans="2:10" s="337" customFormat="1" ht="24.95" customHeight="1" thickBot="1" x14ac:dyDescent="0.4">
      <c r="B25" s="344"/>
      <c r="C25" s="344"/>
      <c r="D25" s="345" t="s">
        <v>529</v>
      </c>
      <c r="E25" s="362"/>
      <c r="F25" s="364">
        <v>0.18</v>
      </c>
      <c r="G25" s="299">
        <f>G24*F25</f>
        <v>806736165.11863196</v>
      </c>
    </row>
    <row r="26" spans="2:10" s="342" customFormat="1" ht="24.95" customHeight="1" thickTop="1" x14ac:dyDescent="0.35">
      <c r="B26" s="358"/>
      <c r="C26" s="358"/>
      <c r="D26" s="486" t="s">
        <v>542</v>
      </c>
      <c r="E26" s="487"/>
      <c r="F26" s="359"/>
      <c r="G26" s="360">
        <f>SUM(G24:G25)</f>
        <v>5288603749.1110325</v>
      </c>
      <c r="J26" s="324">
        <f>G26/0.25</f>
        <v>21154414996.44413</v>
      </c>
    </row>
    <row r="27" spans="2:10" s="342" customFormat="1" ht="12.75" customHeight="1" x14ac:dyDescent="0.35">
      <c r="B27" s="348"/>
      <c r="C27" s="348"/>
      <c r="D27" s="343"/>
      <c r="E27" s="349"/>
      <c r="F27" s="349"/>
      <c r="G27" s="300"/>
    </row>
    <row r="28" spans="2:10" s="337" customFormat="1" ht="18.75" customHeight="1" x14ac:dyDescent="0.35">
      <c r="B28" s="344" t="s">
        <v>45</v>
      </c>
      <c r="C28" s="344"/>
      <c r="D28" s="350"/>
      <c r="E28" s="483" t="s">
        <v>68</v>
      </c>
      <c r="F28" s="480"/>
      <c r="G28" s="480"/>
      <c r="J28" s="469">
        <f>J26/3670</f>
        <v>5764145.7755978554</v>
      </c>
    </row>
    <row r="29" spans="2:10" s="337" customFormat="1" ht="17.25" customHeight="1" x14ac:dyDescent="0.35">
      <c r="B29" s="351" t="s">
        <v>46</v>
      </c>
      <c r="C29" s="351"/>
      <c r="E29" s="479" t="s">
        <v>47</v>
      </c>
      <c r="F29" s="480"/>
      <c r="G29" s="480"/>
    </row>
    <row r="30" spans="2:10" s="337" customFormat="1" ht="10.5" customHeight="1" x14ac:dyDescent="0.35">
      <c r="B30" s="351"/>
      <c r="C30" s="351"/>
      <c r="E30" s="352"/>
      <c r="F30" s="353"/>
      <c r="G30" s="354"/>
    </row>
    <row r="31" spans="2:10" s="337" customFormat="1" ht="18.95" customHeight="1" x14ac:dyDescent="0.35">
      <c r="B31" s="351" t="s">
        <v>66</v>
      </c>
      <c r="C31" s="351"/>
      <c r="E31" s="479" t="s">
        <v>70</v>
      </c>
      <c r="F31" s="480"/>
      <c r="G31" s="480"/>
    </row>
    <row r="32" spans="2:10" s="337" customFormat="1" ht="18.95" customHeight="1" x14ac:dyDescent="0.35">
      <c r="B32" s="351" t="s">
        <v>67</v>
      </c>
      <c r="C32" s="351"/>
      <c r="E32" s="479" t="s">
        <v>69</v>
      </c>
      <c r="F32" s="480"/>
      <c r="G32" s="480"/>
    </row>
    <row r="33" spans="2:7" s="337" customFormat="1" ht="18.95" customHeight="1" x14ac:dyDescent="0.35">
      <c r="B33" s="351" t="s">
        <v>67</v>
      </c>
      <c r="C33" s="351"/>
      <c r="E33" s="479" t="s">
        <v>69</v>
      </c>
      <c r="F33" s="480"/>
      <c r="G33" s="480"/>
    </row>
    <row r="34" spans="2:7" s="337" customFormat="1" ht="6.75" customHeight="1" x14ac:dyDescent="0.35">
      <c r="B34" s="351"/>
      <c r="C34" s="351"/>
      <c r="E34" s="352"/>
      <c r="F34" s="301"/>
      <c r="G34" s="355"/>
    </row>
    <row r="35" spans="2:7" s="337" customFormat="1" ht="18.95" customHeight="1" x14ac:dyDescent="0.35">
      <c r="B35" s="351" t="s">
        <v>48</v>
      </c>
      <c r="C35" s="351"/>
      <c r="E35" s="479" t="s">
        <v>49</v>
      </c>
      <c r="F35" s="480"/>
      <c r="G35" s="480"/>
    </row>
    <row r="36" spans="2:7" s="337" customFormat="1" ht="18.95" customHeight="1" x14ac:dyDescent="0.35">
      <c r="B36" s="351"/>
      <c r="C36" s="351"/>
      <c r="E36" s="352"/>
      <c r="F36" s="301"/>
      <c r="G36" s="301"/>
    </row>
    <row r="37" spans="2:7" s="337" customFormat="1" ht="18" customHeight="1" x14ac:dyDescent="0.35">
      <c r="D37" s="356"/>
      <c r="E37" s="357" t="s">
        <v>72</v>
      </c>
      <c r="G37" s="302"/>
    </row>
    <row r="38" spans="2:7" s="337" customFormat="1" ht="18" customHeight="1" x14ac:dyDescent="0.35">
      <c r="G38" s="299"/>
    </row>
    <row r="42" spans="2:7" ht="21.95" customHeight="1" x14ac:dyDescent="0.35">
      <c r="G42" s="373"/>
    </row>
    <row r="43" spans="2:7" ht="21.95" customHeight="1" x14ac:dyDescent="0.35">
      <c r="G43" s="373"/>
    </row>
  </sheetData>
  <mergeCells count="18">
    <mergeCell ref="E33:G33"/>
    <mergeCell ref="E35:G35"/>
    <mergeCell ref="B6:G6"/>
    <mergeCell ref="E29:G29"/>
    <mergeCell ref="E32:G32"/>
    <mergeCell ref="E28:G28"/>
    <mergeCell ref="E31:G31"/>
    <mergeCell ref="D22:E22"/>
    <mergeCell ref="D24:E24"/>
    <mergeCell ref="D26:E26"/>
    <mergeCell ref="D5:G5"/>
    <mergeCell ref="B2:C2"/>
    <mergeCell ref="B3:C3"/>
    <mergeCell ref="B4:C4"/>
    <mergeCell ref="B5:C5"/>
    <mergeCell ref="D2:G2"/>
    <mergeCell ref="D3:G3"/>
    <mergeCell ref="D4:G4"/>
  </mergeCells>
  <phoneticPr fontId="0" type="noConversion"/>
  <printOptions horizontalCentered="1"/>
  <pageMargins left="0.5" right="0.17" top="0.42" bottom="0.25" header="0.2" footer="0.2"/>
  <pageSetup paperSize="9" firstPageNumber="114" orientation="portrait" useFirstPageNumber="1" r:id="rId1"/>
  <headerFooter alignWithMargins="0">
    <oddHeader>&amp;R&amp;"Arial,Italic"&amp;8&amp;F</oddHeader>
  </headerFooter>
  <ignoredErrors>
    <ignoredError sqref="F24" numberStoredAsText="1"/>
    <ignoredError sqref="G24:G2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B1:B4"/>
  <sheetViews>
    <sheetView view="pageBreakPreview" workbookViewId="0">
      <selection activeCell="B23" sqref="B23"/>
    </sheetView>
  </sheetViews>
  <sheetFormatPr defaultColWidth="9.1328125" defaultRowHeight="12" x14ac:dyDescent="0.25"/>
  <cols>
    <col min="1" max="1" width="6.33203125" style="1" customWidth="1"/>
    <col min="2" max="2" width="69.86328125" style="1" customWidth="1"/>
    <col min="3" max="16384" width="9.1328125" style="1"/>
  </cols>
  <sheetData>
    <row r="1" spans="2:2" s="3" customFormat="1" ht="12.75" x14ac:dyDescent="0.35">
      <c r="B1" s="7"/>
    </row>
    <row r="2" spans="2:2" s="3" customFormat="1" ht="40.5" customHeight="1" x14ac:dyDescent="0.75">
      <c r="B2" s="4" t="s">
        <v>44</v>
      </c>
    </row>
    <row r="3" spans="2:2" s="3" customFormat="1" ht="27.75" x14ac:dyDescent="0.75">
      <c r="B3" s="4"/>
    </row>
    <row r="4" spans="2:2" ht="25.5" x14ac:dyDescent="0.45">
      <c r="B4" s="2"/>
    </row>
  </sheetData>
  <phoneticPr fontId="0" type="noConversion"/>
  <printOptions horizontalCentered="1" verticalCentered="1"/>
  <pageMargins left="0.5" right="0.5" top="0.5" bottom="0.5" header="0.5" footer="0.25"/>
  <pageSetup paperSize="9" firstPageNumber="113" orientation="portrait" useFirstPageNumber="1" r:id="rId1"/>
  <headerFooter alignWithMargins="0">
    <oddHeader>&amp;R&amp;F</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S822"/>
  <sheetViews>
    <sheetView view="pageBreakPreview" topLeftCell="A497" zoomScaleNormal="100" zoomScaleSheetLayoutView="100" workbookViewId="0">
      <selection activeCell="D431" sqref="D431"/>
    </sheetView>
  </sheetViews>
  <sheetFormatPr defaultColWidth="9.1328125" defaultRowHeight="15" x14ac:dyDescent="0.35"/>
  <cols>
    <col min="1" max="1" width="0.53125" style="69" customWidth="1"/>
    <col min="2" max="2" width="6.6640625" style="70" customWidth="1"/>
    <col min="3" max="3" width="52.6640625" style="71" customWidth="1"/>
    <col min="4" max="4" width="7.6640625" style="191" customWidth="1"/>
    <col min="5" max="5" width="7.6640625" style="70" customWidth="1"/>
    <col min="6" max="6" width="11.6640625" style="72" customWidth="1"/>
    <col min="7" max="7" width="12.6640625" style="73" customWidth="1"/>
    <col min="8" max="8" width="0.86328125" style="74" customWidth="1"/>
    <col min="9" max="10" width="7.6640625" style="74" customWidth="1"/>
    <col min="11" max="11" width="10.53125" style="74" bestFit="1" customWidth="1"/>
    <col min="12" max="13" width="7.6640625" style="74" customWidth="1"/>
    <col min="14" max="16384" width="9.1328125" style="74"/>
  </cols>
  <sheetData>
    <row r="1" spans="1:11" ht="1.5" customHeight="1" x14ac:dyDescent="0.35"/>
    <row r="2" spans="1:11" ht="30.4" thickBot="1" x14ac:dyDescent="0.4">
      <c r="A2" s="67"/>
      <c r="B2" s="61" t="s">
        <v>37</v>
      </c>
      <c r="C2" s="62" t="s">
        <v>38</v>
      </c>
      <c r="D2" s="63" t="s">
        <v>73</v>
      </c>
      <c r="E2" s="62" t="s">
        <v>54</v>
      </c>
      <c r="F2" s="66" t="s">
        <v>289</v>
      </c>
      <c r="G2" s="206" t="s">
        <v>290</v>
      </c>
    </row>
    <row r="3" spans="1:11" s="8" customFormat="1" ht="21.95" customHeight="1" x14ac:dyDescent="0.35">
      <c r="B3" s="9"/>
      <c r="C3" s="10" t="e">
        <f>#REF!</f>
        <v>#REF!</v>
      </c>
      <c r="D3" s="11"/>
      <c r="E3" s="12"/>
      <c r="F3" s="54"/>
      <c r="G3" s="207"/>
    </row>
    <row r="4" spans="1:11" s="8" customFormat="1" ht="21.95" customHeight="1" x14ac:dyDescent="0.35">
      <c r="B4" s="9"/>
      <c r="C4" s="10" t="s">
        <v>279</v>
      </c>
      <c r="D4" s="11"/>
      <c r="E4" s="12"/>
      <c r="F4" s="54"/>
      <c r="G4" s="207"/>
    </row>
    <row r="5" spans="1:11" s="8" customFormat="1" ht="21.95" customHeight="1" x14ac:dyDescent="0.35">
      <c r="B5" s="9"/>
      <c r="C5" s="10" t="s">
        <v>51</v>
      </c>
      <c r="D5" s="11"/>
      <c r="E5" s="12"/>
      <c r="F5" s="54"/>
      <c r="G5" s="207"/>
    </row>
    <row r="6" spans="1:11" s="8" customFormat="1" ht="21.95" customHeight="1" x14ac:dyDescent="0.35">
      <c r="B6" s="9"/>
      <c r="C6" s="10" t="s">
        <v>162</v>
      </c>
      <c r="D6" s="11"/>
      <c r="E6" s="12"/>
      <c r="F6" s="54"/>
      <c r="G6" s="207"/>
    </row>
    <row r="7" spans="1:11" s="208" customFormat="1" ht="21.95" customHeight="1" x14ac:dyDescent="0.35">
      <c r="B7" s="209"/>
      <c r="C7" s="203" t="s">
        <v>261</v>
      </c>
      <c r="D7" s="210"/>
      <c r="E7" s="120"/>
      <c r="F7" s="211"/>
      <c r="G7" s="212"/>
    </row>
    <row r="8" spans="1:11" s="5" customFormat="1" ht="162" customHeight="1" x14ac:dyDescent="0.35">
      <c r="B8" s="26"/>
      <c r="C8" s="68" t="s">
        <v>262</v>
      </c>
      <c r="D8" s="213"/>
      <c r="E8" s="29"/>
      <c r="F8" s="47"/>
      <c r="G8" s="212"/>
    </row>
    <row r="9" spans="1:11" s="13" customFormat="1" ht="21.95" customHeight="1" x14ac:dyDescent="0.35">
      <c r="B9" s="14" t="s">
        <v>31</v>
      </c>
      <c r="C9" s="17" t="s">
        <v>502</v>
      </c>
      <c r="D9" s="11">
        <v>1</v>
      </c>
      <c r="E9" s="16" t="s">
        <v>37</v>
      </c>
      <c r="F9" s="131">
        <v>1631.5</v>
      </c>
      <c r="G9" s="214">
        <f>F9*D9</f>
        <v>1631.5</v>
      </c>
    </row>
    <row r="10" spans="1:11" s="13" customFormat="1" ht="21.95" customHeight="1" x14ac:dyDescent="0.35">
      <c r="B10" s="14" t="s">
        <v>32</v>
      </c>
      <c r="C10" s="17" t="s">
        <v>503</v>
      </c>
      <c r="D10" s="11">
        <v>1</v>
      </c>
      <c r="E10" s="16" t="s">
        <v>37</v>
      </c>
      <c r="F10" s="131">
        <v>435.5</v>
      </c>
      <c r="G10" s="214">
        <f>F10*D10</f>
        <v>435.5</v>
      </c>
    </row>
    <row r="11" spans="1:11" s="13" customFormat="1" ht="21.95" customHeight="1" x14ac:dyDescent="0.35">
      <c r="B11" s="14"/>
      <c r="C11" s="203" t="s">
        <v>137</v>
      </c>
      <c r="D11" s="11"/>
      <c r="E11" s="14"/>
      <c r="F11" s="132"/>
      <c r="G11" s="133"/>
    </row>
    <row r="12" spans="1:11" s="13" customFormat="1" ht="33" customHeight="1" x14ac:dyDescent="0.35">
      <c r="B12" s="14" t="s">
        <v>33</v>
      </c>
      <c r="C12" s="204" t="s">
        <v>197</v>
      </c>
      <c r="D12" s="11">
        <v>2355</v>
      </c>
      <c r="E12" s="14" t="s">
        <v>111</v>
      </c>
      <c r="F12" s="132">
        <v>0.35</v>
      </c>
      <c r="G12" s="133">
        <f>F12*D12</f>
        <v>824.25</v>
      </c>
      <c r="K12" s="109"/>
    </row>
    <row r="13" spans="1:11" s="13" customFormat="1" ht="33" customHeight="1" x14ac:dyDescent="0.35">
      <c r="B13" s="14" t="s">
        <v>34</v>
      </c>
      <c r="C13" s="205" t="s">
        <v>138</v>
      </c>
      <c r="D13" s="11">
        <f>D12</f>
        <v>2355</v>
      </c>
      <c r="E13" s="14" t="s">
        <v>111</v>
      </c>
      <c r="F13" s="132">
        <v>0.65</v>
      </c>
      <c r="G13" s="133">
        <f>F13*D13</f>
        <v>1530.75</v>
      </c>
      <c r="K13" s="109"/>
    </row>
    <row r="14" spans="1:11" s="13" customFormat="1" ht="21.95" customHeight="1" x14ac:dyDescent="0.35">
      <c r="B14" s="14"/>
      <c r="C14" s="203" t="s">
        <v>193</v>
      </c>
      <c r="D14" s="11"/>
      <c r="E14" s="14"/>
      <c r="F14" s="132"/>
      <c r="G14" s="133"/>
    </row>
    <row r="15" spans="1:11" s="13" customFormat="1" ht="30" x14ac:dyDescent="0.35">
      <c r="B15" s="14" t="s">
        <v>35</v>
      </c>
      <c r="C15" s="27" t="s">
        <v>201</v>
      </c>
      <c r="D15" s="11">
        <v>3522</v>
      </c>
      <c r="E15" s="14" t="s">
        <v>18</v>
      </c>
      <c r="F15" s="132">
        <v>1.64</v>
      </c>
      <c r="G15" s="133">
        <f>D15*F15</f>
        <v>5776.08</v>
      </c>
    </row>
    <row r="16" spans="1:11" s="13" customFormat="1" ht="21.95" customHeight="1" x14ac:dyDescent="0.35">
      <c r="B16" s="14" t="s">
        <v>36</v>
      </c>
      <c r="C16" s="27" t="s">
        <v>199</v>
      </c>
      <c r="D16" s="11">
        <f>D15</f>
        <v>3522</v>
      </c>
      <c r="E16" s="14" t="s">
        <v>18</v>
      </c>
      <c r="F16" s="132">
        <v>2.0499999999999998</v>
      </c>
      <c r="G16" s="133">
        <f>D16*F16</f>
        <v>7220.0999999999995</v>
      </c>
      <c r="J16" s="109"/>
    </row>
    <row r="17" spans="2:11" s="13" customFormat="1" ht="21.95" customHeight="1" x14ac:dyDescent="0.35">
      <c r="B17" s="14"/>
      <c r="C17" s="203" t="s">
        <v>200</v>
      </c>
      <c r="D17" s="11"/>
      <c r="E17" s="14"/>
      <c r="F17" s="132"/>
      <c r="G17" s="133"/>
    </row>
    <row r="18" spans="2:11" s="13" customFormat="1" ht="60" x14ac:dyDescent="0.35">
      <c r="B18" s="14" t="s">
        <v>114</v>
      </c>
      <c r="C18" s="22" t="s">
        <v>501</v>
      </c>
      <c r="D18" s="11">
        <v>1</v>
      </c>
      <c r="E18" s="64" t="s">
        <v>37</v>
      </c>
      <c r="F18" s="134">
        <v>540</v>
      </c>
      <c r="G18" s="133">
        <f>F18*D18</f>
        <v>540</v>
      </c>
      <c r="J18" s="109"/>
    </row>
    <row r="19" spans="2:11" s="13" customFormat="1" ht="33" customHeight="1" x14ac:dyDescent="0.35">
      <c r="B19" s="14" t="s">
        <v>39</v>
      </c>
      <c r="C19" s="22" t="s">
        <v>102</v>
      </c>
      <c r="D19" s="11">
        <v>1</v>
      </c>
      <c r="E19" s="64" t="s">
        <v>37</v>
      </c>
      <c r="F19" s="134">
        <v>410</v>
      </c>
      <c r="G19" s="133">
        <f>F19*D19</f>
        <v>410</v>
      </c>
    </row>
    <row r="20" spans="2:11" s="13" customFormat="1" ht="21.95" customHeight="1" x14ac:dyDescent="0.35">
      <c r="B20" s="14"/>
      <c r="C20" s="203" t="s">
        <v>194</v>
      </c>
      <c r="D20" s="11"/>
      <c r="E20" s="14"/>
      <c r="F20" s="132"/>
      <c r="G20" s="133"/>
    </row>
    <row r="21" spans="2:11" s="13" customFormat="1" ht="45" x14ac:dyDescent="0.35">
      <c r="B21" s="14" t="s">
        <v>40</v>
      </c>
      <c r="C21" s="27" t="s">
        <v>195</v>
      </c>
      <c r="D21" s="11">
        <v>1408</v>
      </c>
      <c r="E21" s="14" t="s">
        <v>18</v>
      </c>
      <c r="F21" s="132">
        <v>2.2000000000000002</v>
      </c>
      <c r="G21" s="133">
        <f>D21*F21</f>
        <v>3097.6000000000004</v>
      </c>
      <c r="K21" s="109"/>
    </row>
    <row r="22" spans="2:11" s="13" customFormat="1" ht="33" customHeight="1" x14ac:dyDescent="0.35">
      <c r="B22" s="14" t="s">
        <v>15</v>
      </c>
      <c r="C22" s="27" t="s">
        <v>196</v>
      </c>
      <c r="D22" s="11">
        <v>5636</v>
      </c>
      <c r="E22" s="14" t="s">
        <v>18</v>
      </c>
      <c r="F22" s="132">
        <v>4.0999999999999996</v>
      </c>
      <c r="G22" s="133">
        <f>D22*F22</f>
        <v>23107.599999999999</v>
      </c>
      <c r="K22" s="109"/>
    </row>
    <row r="23" spans="2:11" s="8" customFormat="1" ht="18" customHeight="1" x14ac:dyDescent="0.35">
      <c r="B23" s="9"/>
      <c r="C23" s="10"/>
      <c r="D23" s="11"/>
      <c r="E23" s="12"/>
      <c r="F23" s="135"/>
      <c r="G23" s="133"/>
    </row>
    <row r="24" spans="2:11" s="48" customFormat="1" ht="30" customHeight="1" thickBot="1" x14ac:dyDescent="0.4">
      <c r="C24" s="49" t="s">
        <v>124</v>
      </c>
      <c r="D24" s="11"/>
      <c r="E24" s="16"/>
      <c r="F24" s="134"/>
      <c r="G24" s="136">
        <f>SUM(G9:G23)</f>
        <v>44573.38</v>
      </c>
    </row>
    <row r="25" spans="2:11" s="50" customFormat="1" ht="30" customHeight="1" thickTop="1" x14ac:dyDescent="0.35">
      <c r="B25" s="48"/>
      <c r="C25" s="51" t="s">
        <v>163</v>
      </c>
      <c r="D25" s="41"/>
      <c r="E25" s="14"/>
      <c r="F25" s="137"/>
      <c r="G25" s="138"/>
    </row>
    <row r="26" spans="2:11" s="8" customFormat="1" ht="21.95" customHeight="1" x14ac:dyDescent="0.35">
      <c r="B26" s="9"/>
      <c r="C26" s="10" t="e">
        <f>C3</f>
        <v>#REF!</v>
      </c>
      <c r="D26" s="11"/>
      <c r="E26" s="12"/>
      <c r="F26" s="135"/>
      <c r="G26" s="133"/>
    </row>
    <row r="27" spans="2:11" s="8" customFormat="1" ht="21.95" customHeight="1" x14ac:dyDescent="0.35">
      <c r="B27" s="9"/>
      <c r="C27" s="10" t="str">
        <f>C4</f>
        <v>APARTMENTS BLOCK</v>
      </c>
      <c r="D27" s="11"/>
      <c r="E27" s="110"/>
      <c r="F27" s="135"/>
      <c r="G27" s="133"/>
    </row>
    <row r="28" spans="2:11" s="8" customFormat="1" ht="21.95" customHeight="1" x14ac:dyDescent="0.35">
      <c r="B28" s="9"/>
      <c r="C28" s="10" t="s">
        <v>71</v>
      </c>
      <c r="D28" s="11"/>
      <c r="E28" s="110"/>
      <c r="F28" s="135"/>
      <c r="G28" s="133"/>
    </row>
    <row r="29" spans="2:11" s="8" customFormat="1" ht="21.95" customHeight="1" x14ac:dyDescent="0.35">
      <c r="B29" s="9"/>
      <c r="C29" s="10" t="s">
        <v>19</v>
      </c>
      <c r="D29" s="11"/>
      <c r="E29" s="110"/>
      <c r="F29" s="135"/>
      <c r="G29" s="133"/>
    </row>
    <row r="30" spans="2:11" s="8" customFormat="1" ht="30" x14ac:dyDescent="0.35">
      <c r="B30" s="9" t="s">
        <v>31</v>
      </c>
      <c r="C30" s="22" t="s">
        <v>101</v>
      </c>
      <c r="D30" s="11">
        <v>1</v>
      </c>
      <c r="E30" s="115" t="s">
        <v>37</v>
      </c>
      <c r="F30" s="135" t="s">
        <v>246</v>
      </c>
      <c r="G30" s="133"/>
    </row>
    <row r="31" spans="2:11" s="8" customFormat="1" ht="30" x14ac:dyDescent="0.35">
      <c r="B31" s="9" t="s">
        <v>32</v>
      </c>
      <c r="C31" s="22" t="s">
        <v>102</v>
      </c>
      <c r="D31" s="11">
        <v>1</v>
      </c>
      <c r="E31" s="115" t="s">
        <v>37</v>
      </c>
      <c r="F31" s="135" t="s">
        <v>246</v>
      </c>
      <c r="G31" s="133"/>
    </row>
    <row r="32" spans="2:11" s="13" customFormat="1" ht="33" customHeight="1" x14ac:dyDescent="0.35">
      <c r="B32" s="14" t="s">
        <v>33</v>
      </c>
      <c r="C32" s="22" t="s">
        <v>20</v>
      </c>
      <c r="D32" s="11">
        <v>74</v>
      </c>
      <c r="E32" s="64" t="s">
        <v>18</v>
      </c>
      <c r="F32" s="134">
        <v>1.65</v>
      </c>
      <c r="G32" s="133">
        <f t="shared" ref="G32:G52" si="0">F32*D32</f>
        <v>122.1</v>
      </c>
    </row>
    <row r="33" spans="2:7" s="13" customFormat="1" ht="21.95" customHeight="1" x14ac:dyDescent="0.35">
      <c r="B33" s="14" t="s">
        <v>34</v>
      </c>
      <c r="C33" s="17" t="s">
        <v>104</v>
      </c>
      <c r="D33" s="11">
        <v>7</v>
      </c>
      <c r="E33" s="64" t="s">
        <v>18</v>
      </c>
      <c r="F33" s="134">
        <v>6.85</v>
      </c>
      <c r="G33" s="133">
        <f t="shared" si="0"/>
        <v>47.949999999999996</v>
      </c>
    </row>
    <row r="34" spans="2:7" s="13" customFormat="1" ht="30" customHeight="1" x14ac:dyDescent="0.35">
      <c r="B34" s="14" t="s">
        <v>35</v>
      </c>
      <c r="C34" s="22" t="s">
        <v>105</v>
      </c>
      <c r="D34" s="11">
        <v>33</v>
      </c>
      <c r="E34" s="64" t="s">
        <v>18</v>
      </c>
      <c r="F34" s="134">
        <v>2.2000000000000002</v>
      </c>
      <c r="G34" s="133">
        <f t="shared" si="0"/>
        <v>72.600000000000009</v>
      </c>
    </row>
    <row r="35" spans="2:7" s="13" customFormat="1" ht="21.95" customHeight="1" x14ac:dyDescent="0.35">
      <c r="B35" s="14" t="s">
        <v>36</v>
      </c>
      <c r="C35" s="17" t="s">
        <v>106</v>
      </c>
      <c r="D35" s="11">
        <v>40</v>
      </c>
      <c r="E35" s="64" t="s">
        <v>18</v>
      </c>
      <c r="F35" s="134">
        <v>3.3</v>
      </c>
      <c r="G35" s="133">
        <f t="shared" si="0"/>
        <v>132</v>
      </c>
    </row>
    <row r="36" spans="2:7" s="13" customFormat="1" ht="21.95" customHeight="1" x14ac:dyDescent="0.35">
      <c r="B36" s="14" t="s">
        <v>114</v>
      </c>
      <c r="C36" s="17" t="s">
        <v>141</v>
      </c>
      <c r="D36" s="11">
        <v>74</v>
      </c>
      <c r="E36" s="64" t="s">
        <v>111</v>
      </c>
      <c r="F36" s="134">
        <v>1.37</v>
      </c>
      <c r="G36" s="133">
        <f t="shared" si="0"/>
        <v>101.38000000000001</v>
      </c>
    </row>
    <row r="37" spans="2:7" s="13" customFormat="1" ht="21.95" customHeight="1" x14ac:dyDescent="0.35">
      <c r="B37" s="14"/>
      <c r="C37" s="15" t="s">
        <v>91</v>
      </c>
      <c r="D37" s="11"/>
      <c r="E37" s="64"/>
      <c r="F37" s="134"/>
      <c r="G37" s="133"/>
    </row>
    <row r="38" spans="2:7" s="13" customFormat="1" ht="33" customHeight="1" x14ac:dyDescent="0.35">
      <c r="B38" s="14"/>
      <c r="C38" s="68" t="s">
        <v>178</v>
      </c>
      <c r="D38" s="11"/>
      <c r="E38" s="64"/>
      <c r="F38" s="134"/>
      <c r="G38" s="133"/>
    </row>
    <row r="39" spans="2:7" s="13" customFormat="1" ht="21.95" customHeight="1" x14ac:dyDescent="0.35">
      <c r="B39" s="14" t="s">
        <v>39</v>
      </c>
      <c r="C39" s="17" t="s">
        <v>273</v>
      </c>
      <c r="D39" s="11">
        <f>D36</f>
        <v>74</v>
      </c>
      <c r="E39" s="64" t="s">
        <v>111</v>
      </c>
      <c r="F39" s="134">
        <v>7.25</v>
      </c>
      <c r="G39" s="133">
        <f t="shared" si="0"/>
        <v>536.5</v>
      </c>
    </row>
    <row r="40" spans="2:7" s="13" customFormat="1" ht="30" x14ac:dyDescent="0.35">
      <c r="B40" s="14"/>
      <c r="C40" s="68" t="s">
        <v>177</v>
      </c>
      <c r="D40" s="11"/>
      <c r="E40" s="64"/>
      <c r="F40" s="134"/>
      <c r="G40" s="133"/>
    </row>
    <row r="41" spans="2:7" s="13" customFormat="1" ht="21.95" customHeight="1" x14ac:dyDescent="0.35">
      <c r="B41" s="14" t="s">
        <v>40</v>
      </c>
      <c r="C41" s="17" t="s">
        <v>21</v>
      </c>
      <c r="D41" s="11">
        <v>26</v>
      </c>
      <c r="E41" s="64" t="s">
        <v>18</v>
      </c>
      <c r="F41" s="134">
        <v>165</v>
      </c>
      <c r="G41" s="133">
        <f t="shared" si="0"/>
        <v>4290</v>
      </c>
    </row>
    <row r="42" spans="2:7" s="13" customFormat="1" ht="21.95" customHeight="1" x14ac:dyDescent="0.35">
      <c r="B42" s="14" t="s">
        <v>15</v>
      </c>
      <c r="C42" s="17" t="s">
        <v>274</v>
      </c>
      <c r="D42" s="11">
        <v>188</v>
      </c>
      <c r="E42" s="64" t="s">
        <v>111</v>
      </c>
      <c r="F42" s="134">
        <v>33</v>
      </c>
      <c r="G42" s="133">
        <f t="shared" si="0"/>
        <v>6204</v>
      </c>
    </row>
    <row r="43" spans="2:7" s="13" customFormat="1" ht="46.5" customHeight="1" x14ac:dyDescent="0.35">
      <c r="B43" s="14"/>
      <c r="C43" s="68" t="s">
        <v>0</v>
      </c>
      <c r="D43" s="11"/>
      <c r="E43" s="64"/>
      <c r="F43" s="134"/>
      <c r="G43" s="133"/>
    </row>
    <row r="44" spans="2:7" s="8" customFormat="1" ht="21.95" customHeight="1" x14ac:dyDescent="0.35">
      <c r="B44" s="9"/>
      <c r="C44" s="18" t="s">
        <v>179</v>
      </c>
      <c r="D44" s="11"/>
      <c r="E44" s="12"/>
      <c r="F44" s="134"/>
      <c r="G44" s="133"/>
    </row>
    <row r="45" spans="2:7" s="13" customFormat="1" ht="21.95" customHeight="1" x14ac:dyDescent="0.35">
      <c r="B45" s="14" t="s">
        <v>16</v>
      </c>
      <c r="C45" s="17" t="s">
        <v>236</v>
      </c>
      <c r="D45" s="11">
        <v>1188</v>
      </c>
      <c r="E45" s="64" t="s">
        <v>1</v>
      </c>
      <c r="F45" s="134">
        <v>1.35</v>
      </c>
      <c r="G45" s="133">
        <f t="shared" si="0"/>
        <v>1603.8000000000002</v>
      </c>
    </row>
    <row r="46" spans="2:7" s="13" customFormat="1" ht="21.95" customHeight="1" x14ac:dyDescent="0.35">
      <c r="B46" s="14" t="s">
        <v>89</v>
      </c>
      <c r="C46" s="17" t="s">
        <v>4</v>
      </c>
      <c r="D46" s="11">
        <v>4286</v>
      </c>
      <c r="E46" s="64" t="s">
        <v>1</v>
      </c>
      <c r="F46" s="134">
        <v>1.35</v>
      </c>
      <c r="G46" s="133">
        <f t="shared" si="0"/>
        <v>5786.1</v>
      </c>
    </row>
    <row r="47" spans="2:7" s="8" customFormat="1" ht="21.95" customHeight="1" x14ac:dyDescent="0.35">
      <c r="B47" s="9"/>
      <c r="C47" s="18" t="s">
        <v>142</v>
      </c>
      <c r="D47" s="11"/>
      <c r="E47" s="12"/>
      <c r="F47" s="134"/>
      <c r="G47" s="133"/>
    </row>
    <row r="48" spans="2:7" s="8" customFormat="1" ht="21.95" customHeight="1" x14ac:dyDescent="0.35">
      <c r="B48" s="9" t="s">
        <v>17</v>
      </c>
      <c r="C48" s="44" t="s">
        <v>22</v>
      </c>
      <c r="D48" s="11">
        <v>34</v>
      </c>
      <c r="E48" s="12" t="s">
        <v>111</v>
      </c>
      <c r="F48" s="132">
        <v>9</v>
      </c>
      <c r="G48" s="133">
        <f t="shared" si="0"/>
        <v>306</v>
      </c>
    </row>
    <row r="49" spans="2:7" s="8" customFormat="1" ht="21.95" customHeight="1" x14ac:dyDescent="0.35">
      <c r="B49" s="9" t="s">
        <v>90</v>
      </c>
      <c r="C49" s="44" t="s">
        <v>204</v>
      </c>
      <c r="D49" s="11">
        <f>D42*2</f>
        <v>376</v>
      </c>
      <c r="E49" s="12" t="s">
        <v>111</v>
      </c>
      <c r="F49" s="132">
        <v>9</v>
      </c>
      <c r="G49" s="133">
        <f t="shared" si="0"/>
        <v>3384</v>
      </c>
    </row>
    <row r="50" spans="2:7" s="8" customFormat="1" ht="21.95" customHeight="1" x14ac:dyDescent="0.35">
      <c r="B50" s="9" t="s">
        <v>88</v>
      </c>
      <c r="C50" s="44" t="s">
        <v>205</v>
      </c>
      <c r="D50" s="11">
        <v>150</v>
      </c>
      <c r="E50" s="12" t="s">
        <v>111</v>
      </c>
      <c r="F50" s="132">
        <v>9</v>
      </c>
      <c r="G50" s="133">
        <f t="shared" si="0"/>
        <v>1350</v>
      </c>
    </row>
    <row r="51" spans="2:7" s="13" customFormat="1" ht="33" customHeight="1" x14ac:dyDescent="0.35">
      <c r="B51" s="14"/>
      <c r="C51" s="113" t="s">
        <v>265</v>
      </c>
      <c r="D51" s="11"/>
      <c r="E51" s="16"/>
      <c r="F51" s="132"/>
      <c r="G51" s="133"/>
    </row>
    <row r="52" spans="2:7" s="13" customFormat="1" ht="21.95" customHeight="1" x14ac:dyDescent="0.35">
      <c r="B52" s="14" t="s">
        <v>251</v>
      </c>
      <c r="C52" s="17" t="s">
        <v>266</v>
      </c>
      <c r="D52" s="11">
        <f>D50</f>
        <v>150</v>
      </c>
      <c r="E52" s="16" t="s">
        <v>111</v>
      </c>
      <c r="F52" s="132">
        <v>4</v>
      </c>
      <c r="G52" s="133">
        <f t="shared" si="0"/>
        <v>600</v>
      </c>
    </row>
    <row r="53" spans="2:7" s="13" customFormat="1" ht="21.95" customHeight="1" x14ac:dyDescent="0.35">
      <c r="B53" s="14"/>
      <c r="C53" s="17"/>
      <c r="D53" s="11"/>
      <c r="E53" s="16"/>
      <c r="F53" s="132"/>
      <c r="G53" s="133"/>
    </row>
    <row r="54" spans="2:7" s="48" customFormat="1" ht="30" customHeight="1" thickBot="1" x14ac:dyDescent="0.4">
      <c r="C54" s="49" t="s">
        <v>139</v>
      </c>
      <c r="D54" s="11"/>
      <c r="E54" s="16"/>
      <c r="F54" s="134"/>
      <c r="G54" s="136">
        <f>SUM(G32:G52)</f>
        <v>24536.43</v>
      </c>
    </row>
    <row r="55" spans="2:7" s="50" customFormat="1" ht="30" customHeight="1" thickTop="1" x14ac:dyDescent="0.35">
      <c r="B55" s="48"/>
      <c r="C55" s="51" t="s">
        <v>164</v>
      </c>
      <c r="D55" s="41"/>
      <c r="E55" s="14"/>
      <c r="F55" s="137"/>
      <c r="G55" s="138"/>
    </row>
    <row r="56" spans="2:7" s="8" customFormat="1" ht="21.95" customHeight="1" x14ac:dyDescent="0.35">
      <c r="B56" s="9"/>
      <c r="C56" s="18" t="s">
        <v>23</v>
      </c>
      <c r="D56" s="11"/>
      <c r="E56" s="12"/>
      <c r="F56" s="134"/>
      <c r="G56" s="133"/>
    </row>
    <row r="57" spans="2:7" s="8" customFormat="1" ht="45" x14ac:dyDescent="0.35">
      <c r="B57" s="9"/>
      <c r="C57" s="113" t="s">
        <v>264</v>
      </c>
      <c r="D57" s="11"/>
      <c r="E57" s="12"/>
      <c r="F57" s="134"/>
      <c r="G57" s="133"/>
    </row>
    <row r="58" spans="2:7" s="8" customFormat="1" ht="21.95" customHeight="1" x14ac:dyDescent="0.35">
      <c r="B58" s="9" t="s">
        <v>31</v>
      </c>
      <c r="C58" s="22" t="s">
        <v>25</v>
      </c>
      <c r="D58" s="11">
        <f>D42</f>
        <v>188</v>
      </c>
      <c r="E58" s="12" t="s">
        <v>111</v>
      </c>
      <c r="F58" s="139">
        <v>16.5</v>
      </c>
      <c r="G58" s="133">
        <f>F58*D58</f>
        <v>3102</v>
      </c>
    </row>
    <row r="59" spans="2:7" s="13" customFormat="1" ht="21.95" customHeight="1" x14ac:dyDescent="0.35">
      <c r="B59" s="14" t="s">
        <v>32</v>
      </c>
      <c r="C59" s="22" t="s">
        <v>26</v>
      </c>
      <c r="D59" s="11">
        <v>50</v>
      </c>
      <c r="E59" s="16" t="s">
        <v>112</v>
      </c>
      <c r="F59" s="139">
        <v>2.0499999999999998</v>
      </c>
      <c r="G59" s="133">
        <f t="shared" ref="G59:G65" si="1">F59*D59</f>
        <v>102.49999999999999</v>
      </c>
    </row>
    <row r="60" spans="2:7" s="13" customFormat="1" ht="21.95" customHeight="1" x14ac:dyDescent="0.35">
      <c r="B60" s="14" t="s">
        <v>33</v>
      </c>
      <c r="C60" s="22" t="s">
        <v>27</v>
      </c>
      <c r="D60" s="11">
        <f>D59</f>
        <v>50</v>
      </c>
      <c r="E60" s="16" t="s">
        <v>112</v>
      </c>
      <c r="F60" s="139">
        <v>3.45</v>
      </c>
      <c r="G60" s="133">
        <f t="shared" si="1"/>
        <v>172.5</v>
      </c>
    </row>
    <row r="61" spans="2:7" s="13" customFormat="1" ht="21.95" customHeight="1" x14ac:dyDescent="0.35">
      <c r="B61" s="14"/>
      <c r="C61" s="15" t="s">
        <v>28</v>
      </c>
      <c r="D61" s="11"/>
      <c r="E61" s="16"/>
      <c r="F61" s="134"/>
      <c r="G61" s="133"/>
    </row>
    <row r="62" spans="2:7" s="13" customFormat="1" ht="30" x14ac:dyDescent="0.35">
      <c r="B62" s="14" t="s">
        <v>34</v>
      </c>
      <c r="C62" s="22" t="s">
        <v>263</v>
      </c>
      <c r="D62" s="11">
        <f>D42</f>
        <v>188</v>
      </c>
      <c r="E62" s="16" t="s">
        <v>111</v>
      </c>
      <c r="F62" s="132">
        <v>9.65</v>
      </c>
      <c r="G62" s="133">
        <f t="shared" si="1"/>
        <v>1814.2</v>
      </c>
    </row>
    <row r="63" spans="2:7" s="13" customFormat="1" ht="30" x14ac:dyDescent="0.35">
      <c r="B63" s="14" t="s">
        <v>35</v>
      </c>
      <c r="C63" s="22" t="s">
        <v>121</v>
      </c>
      <c r="D63" s="11">
        <f>D62</f>
        <v>188</v>
      </c>
      <c r="E63" s="16" t="s">
        <v>111</v>
      </c>
      <c r="F63" s="132">
        <v>6.85</v>
      </c>
      <c r="G63" s="133">
        <f t="shared" si="1"/>
        <v>1287.8</v>
      </c>
    </row>
    <row r="64" spans="2:7" s="13" customFormat="1" ht="21.95" customHeight="1" x14ac:dyDescent="0.35">
      <c r="B64" s="14"/>
      <c r="C64" s="15" t="s">
        <v>122</v>
      </c>
      <c r="D64" s="11"/>
      <c r="E64" s="16"/>
      <c r="F64" s="134"/>
      <c r="G64" s="133"/>
    </row>
    <row r="65" spans="2:7" s="13" customFormat="1" ht="21.95" customHeight="1" x14ac:dyDescent="0.35">
      <c r="B65" s="14" t="s">
        <v>36</v>
      </c>
      <c r="C65" s="17" t="s">
        <v>123</v>
      </c>
      <c r="D65" s="11">
        <f>D60</f>
        <v>50</v>
      </c>
      <c r="E65" s="16" t="s">
        <v>112</v>
      </c>
      <c r="F65" s="134">
        <v>9</v>
      </c>
      <c r="G65" s="133">
        <f t="shared" si="1"/>
        <v>450</v>
      </c>
    </row>
    <row r="66" spans="2:7" s="13" customFormat="1" ht="24.95" customHeight="1" x14ac:dyDescent="0.35">
      <c r="B66" s="14"/>
      <c r="C66" s="17"/>
      <c r="D66" s="11"/>
      <c r="E66" s="16"/>
      <c r="F66" s="134"/>
      <c r="G66" s="133"/>
    </row>
    <row r="67" spans="2:7" s="48" customFormat="1" ht="24.95" customHeight="1" thickBot="1" x14ac:dyDescent="0.4">
      <c r="C67" s="49" t="s">
        <v>139</v>
      </c>
      <c r="D67" s="11"/>
      <c r="E67" s="16"/>
      <c r="F67" s="134"/>
      <c r="G67" s="136">
        <f>SUM(G58:G66)</f>
        <v>6929</v>
      </c>
    </row>
    <row r="68" spans="2:7" s="13" customFormat="1" ht="24.95" customHeight="1" thickTop="1" x14ac:dyDescent="0.35">
      <c r="B68" s="14"/>
      <c r="C68" s="55"/>
      <c r="D68" s="11"/>
      <c r="E68" s="16"/>
      <c r="F68" s="134"/>
      <c r="G68" s="133"/>
    </row>
    <row r="69" spans="2:7" s="13" customFormat="1" ht="24.95" customHeight="1" x14ac:dyDescent="0.35">
      <c r="B69" s="14"/>
      <c r="C69" s="55" t="s">
        <v>60</v>
      </c>
      <c r="D69" s="11"/>
      <c r="E69" s="16"/>
      <c r="F69" s="134"/>
      <c r="G69" s="133"/>
    </row>
    <row r="70" spans="2:7" s="13" customFormat="1" ht="24.95" customHeight="1" x14ac:dyDescent="0.35">
      <c r="B70" s="14"/>
      <c r="C70" s="17" t="s">
        <v>166</v>
      </c>
      <c r="D70" s="11"/>
      <c r="E70" s="16"/>
      <c r="F70" s="134"/>
      <c r="G70" s="133">
        <f>G54</f>
        <v>24536.43</v>
      </c>
    </row>
    <row r="71" spans="2:7" s="13" customFormat="1" ht="24.95" customHeight="1" x14ac:dyDescent="0.35">
      <c r="B71" s="14"/>
      <c r="C71" s="17" t="s">
        <v>167</v>
      </c>
      <c r="D71" s="11"/>
      <c r="E71" s="16"/>
      <c r="F71" s="134"/>
      <c r="G71" s="133">
        <f>G67</f>
        <v>6929</v>
      </c>
    </row>
    <row r="72" spans="2:7" s="13" customFormat="1" ht="24.95" customHeight="1" x14ac:dyDescent="0.35">
      <c r="B72" s="14"/>
      <c r="C72" s="17"/>
      <c r="D72" s="11"/>
      <c r="E72" s="16"/>
      <c r="F72" s="134"/>
      <c r="G72" s="133"/>
    </row>
    <row r="73" spans="2:7" s="13" customFormat="1" ht="24.95" customHeight="1" x14ac:dyDescent="0.35">
      <c r="B73" s="14"/>
      <c r="C73" s="17"/>
      <c r="D73" s="11"/>
      <c r="E73" s="16"/>
      <c r="F73" s="134"/>
      <c r="G73" s="133"/>
    </row>
    <row r="74" spans="2:7" s="13" customFormat="1" ht="24.95" customHeight="1" x14ac:dyDescent="0.35">
      <c r="B74" s="14"/>
      <c r="C74" s="17"/>
      <c r="D74" s="11"/>
      <c r="E74" s="16"/>
      <c r="F74" s="134"/>
      <c r="G74" s="133"/>
    </row>
    <row r="75" spans="2:7" s="13" customFormat="1" ht="24.95" customHeight="1" x14ac:dyDescent="0.35">
      <c r="B75" s="14"/>
      <c r="C75" s="17"/>
      <c r="D75" s="11"/>
      <c r="E75" s="16"/>
      <c r="F75" s="134"/>
      <c r="G75" s="133"/>
    </row>
    <row r="76" spans="2:7" s="13" customFormat="1" ht="24.95" customHeight="1" x14ac:dyDescent="0.35">
      <c r="B76" s="14"/>
      <c r="C76" s="17"/>
      <c r="D76" s="11"/>
      <c r="E76" s="16"/>
      <c r="F76" s="134"/>
      <c r="G76" s="133"/>
    </row>
    <row r="77" spans="2:7" s="13" customFormat="1" ht="24.95" customHeight="1" x14ac:dyDescent="0.35">
      <c r="B77" s="14"/>
      <c r="C77" s="17"/>
      <c r="D77" s="11"/>
      <c r="E77" s="16"/>
      <c r="F77" s="134"/>
      <c r="G77" s="133"/>
    </row>
    <row r="78" spans="2:7" s="13" customFormat="1" ht="24.95" customHeight="1" x14ac:dyDescent="0.35">
      <c r="B78" s="14"/>
      <c r="C78" s="17"/>
      <c r="D78" s="11"/>
      <c r="E78" s="16"/>
      <c r="F78" s="134"/>
      <c r="G78" s="133"/>
    </row>
    <row r="79" spans="2:7" s="13" customFormat="1" ht="24.95" customHeight="1" x14ac:dyDescent="0.35">
      <c r="B79" s="14"/>
      <c r="C79" s="17"/>
      <c r="D79" s="11"/>
      <c r="E79" s="16"/>
      <c r="F79" s="134"/>
      <c r="G79" s="133"/>
    </row>
    <row r="80" spans="2:7" s="13" customFormat="1" ht="24.95" customHeight="1" x14ac:dyDescent="0.35">
      <c r="B80" s="14"/>
      <c r="C80" s="17"/>
      <c r="D80" s="11"/>
      <c r="E80" s="16"/>
      <c r="F80" s="134"/>
      <c r="G80" s="133"/>
    </row>
    <row r="81" spans="1:7" s="13" customFormat="1" ht="24.95" customHeight="1" x14ac:dyDescent="0.35">
      <c r="B81" s="14"/>
      <c r="C81" s="17"/>
      <c r="D81" s="11"/>
      <c r="E81" s="16"/>
      <c r="F81" s="134"/>
      <c r="G81" s="133"/>
    </row>
    <row r="82" spans="1:7" s="13" customFormat="1" ht="24.95" customHeight="1" x14ac:dyDescent="0.35">
      <c r="B82" s="14"/>
      <c r="C82" s="17"/>
      <c r="D82" s="11"/>
      <c r="E82" s="16"/>
      <c r="F82" s="134"/>
      <c r="G82" s="133"/>
    </row>
    <row r="83" spans="1:7" s="13" customFormat="1" ht="24.95" customHeight="1" x14ac:dyDescent="0.35">
      <c r="B83" s="14"/>
      <c r="C83" s="17"/>
      <c r="D83" s="11"/>
      <c r="E83" s="16"/>
      <c r="F83" s="134"/>
      <c r="G83" s="133"/>
    </row>
    <row r="84" spans="1:7" s="48" customFormat="1" ht="30" customHeight="1" thickBot="1" x14ac:dyDescent="0.4">
      <c r="C84" s="49" t="s">
        <v>124</v>
      </c>
      <c r="D84" s="11"/>
      <c r="E84" s="16"/>
      <c r="F84" s="134"/>
      <c r="G84" s="136">
        <f>SUM(G70:G83)</f>
        <v>31465.43</v>
      </c>
    </row>
    <row r="85" spans="1:7" s="50" customFormat="1" ht="30" customHeight="1" thickTop="1" x14ac:dyDescent="0.35">
      <c r="B85" s="48"/>
      <c r="C85" s="51" t="s">
        <v>165</v>
      </c>
      <c r="D85" s="41"/>
      <c r="E85" s="14"/>
      <c r="F85" s="52"/>
      <c r="G85" s="51"/>
    </row>
    <row r="86" spans="1:7" s="80" customFormat="1" ht="21.95" customHeight="1" x14ac:dyDescent="0.35">
      <c r="A86" s="75"/>
      <c r="B86" s="76"/>
      <c r="C86" s="10" t="e">
        <f>C3</f>
        <v>#REF!</v>
      </c>
      <c r="D86" s="94"/>
      <c r="E86" s="77"/>
      <c r="F86" s="78"/>
      <c r="G86" s="79"/>
    </row>
    <row r="87" spans="1:7" s="86" customFormat="1" ht="21.95" customHeight="1" x14ac:dyDescent="0.35">
      <c r="A87" s="81"/>
      <c r="B87" s="82"/>
      <c r="C87" s="10" t="str">
        <f>C4</f>
        <v>APARTMENTS BLOCK</v>
      </c>
      <c r="D87" s="192"/>
      <c r="E87" s="83"/>
      <c r="F87" s="84"/>
      <c r="G87" s="85"/>
    </row>
    <row r="88" spans="1:7" s="86" customFormat="1" ht="21.95" customHeight="1" x14ac:dyDescent="0.35">
      <c r="A88" s="81"/>
      <c r="B88" s="82"/>
      <c r="C88" s="87" t="s">
        <v>81</v>
      </c>
      <c r="D88" s="192"/>
      <c r="E88" s="83"/>
      <c r="F88" s="84"/>
      <c r="G88" s="85"/>
    </row>
    <row r="89" spans="1:7" s="8" customFormat="1" ht="21.95" customHeight="1" x14ac:dyDescent="0.35">
      <c r="B89" s="9"/>
      <c r="C89" s="10" t="s">
        <v>99</v>
      </c>
      <c r="D89" s="11"/>
      <c r="E89" s="12"/>
      <c r="F89" s="54"/>
      <c r="G89" s="53"/>
    </row>
    <row r="90" spans="1:7" s="13" customFormat="1" ht="33" customHeight="1" x14ac:dyDescent="0.35">
      <c r="B90" s="14"/>
      <c r="C90" s="68" t="s">
        <v>100</v>
      </c>
      <c r="D90" s="11"/>
      <c r="E90" s="16"/>
      <c r="F90" s="20"/>
      <c r="G90" s="53"/>
    </row>
    <row r="91" spans="1:7" s="13" customFormat="1" ht="33" customHeight="1" x14ac:dyDescent="0.35">
      <c r="B91" s="14" t="s">
        <v>31</v>
      </c>
      <c r="C91" s="22" t="s">
        <v>101</v>
      </c>
      <c r="D91" s="11">
        <v>1</v>
      </c>
      <c r="E91" s="16" t="s">
        <v>37</v>
      </c>
      <c r="F91" s="20" t="s">
        <v>246</v>
      </c>
      <c r="G91" s="53"/>
    </row>
    <row r="92" spans="1:7" s="13" customFormat="1" ht="33" customHeight="1" x14ac:dyDescent="0.35">
      <c r="B92" s="14" t="s">
        <v>32</v>
      </c>
      <c r="C92" s="22" t="s">
        <v>102</v>
      </c>
      <c r="D92" s="11">
        <v>1</v>
      </c>
      <c r="E92" s="16" t="s">
        <v>37</v>
      </c>
      <c r="F92" s="20" t="s">
        <v>246</v>
      </c>
      <c r="G92" s="53"/>
    </row>
    <row r="93" spans="1:7" s="13" customFormat="1" ht="33" customHeight="1" x14ac:dyDescent="0.35">
      <c r="B93" s="14" t="s">
        <v>33</v>
      </c>
      <c r="C93" s="22" t="s">
        <v>103</v>
      </c>
      <c r="D93" s="11">
        <v>1412</v>
      </c>
      <c r="E93" s="16" t="s">
        <v>18</v>
      </c>
      <c r="F93" s="132">
        <v>1.65</v>
      </c>
      <c r="G93" s="140">
        <f t="shared" ref="G93:G110" si="2">F93*D93</f>
        <v>2329.7999999999997</v>
      </c>
    </row>
    <row r="94" spans="1:7" s="13" customFormat="1" ht="33" customHeight="1" x14ac:dyDescent="0.35">
      <c r="B94" s="14" t="s">
        <v>34</v>
      </c>
      <c r="C94" s="22" t="s">
        <v>181</v>
      </c>
      <c r="D94" s="11">
        <v>80</v>
      </c>
      <c r="E94" s="16" t="s">
        <v>18</v>
      </c>
      <c r="F94" s="132">
        <v>1.65</v>
      </c>
      <c r="G94" s="140">
        <f t="shared" si="2"/>
        <v>132</v>
      </c>
    </row>
    <row r="95" spans="1:7" s="13" customFormat="1" ht="21.95" customHeight="1" x14ac:dyDescent="0.35">
      <c r="B95" s="14" t="s">
        <v>35</v>
      </c>
      <c r="C95" s="17" t="s">
        <v>104</v>
      </c>
      <c r="D95" s="11">
        <v>149</v>
      </c>
      <c r="E95" s="16" t="s">
        <v>18</v>
      </c>
      <c r="F95" s="132">
        <v>6.85</v>
      </c>
      <c r="G95" s="140">
        <f t="shared" si="2"/>
        <v>1020.65</v>
      </c>
    </row>
    <row r="96" spans="1:7" s="13" customFormat="1" ht="33" customHeight="1" x14ac:dyDescent="0.35">
      <c r="B96" s="14" t="s">
        <v>36</v>
      </c>
      <c r="C96" s="22" t="s">
        <v>105</v>
      </c>
      <c r="D96" s="11">
        <v>687</v>
      </c>
      <c r="E96" s="16" t="s">
        <v>18</v>
      </c>
      <c r="F96" s="132">
        <v>2.2000000000000002</v>
      </c>
      <c r="G96" s="140">
        <f t="shared" si="2"/>
        <v>1511.4</v>
      </c>
    </row>
    <row r="97" spans="1:7" s="13" customFormat="1" ht="21.95" customHeight="1" x14ac:dyDescent="0.35">
      <c r="B97" s="14" t="s">
        <v>114</v>
      </c>
      <c r="C97" s="17" t="s">
        <v>106</v>
      </c>
      <c r="D97" s="11">
        <v>805</v>
      </c>
      <c r="E97" s="16" t="s">
        <v>18</v>
      </c>
      <c r="F97" s="132">
        <v>3.3</v>
      </c>
      <c r="G97" s="140">
        <f t="shared" si="2"/>
        <v>2656.5</v>
      </c>
    </row>
    <row r="98" spans="1:7" s="13" customFormat="1" ht="34.5" customHeight="1" x14ac:dyDescent="0.35">
      <c r="B98" s="14" t="s">
        <v>39</v>
      </c>
      <c r="C98" s="22" t="s">
        <v>107</v>
      </c>
      <c r="D98" s="11">
        <v>761</v>
      </c>
      <c r="E98" s="16" t="s">
        <v>18</v>
      </c>
      <c r="F98" s="132">
        <v>6.56</v>
      </c>
      <c r="G98" s="140">
        <f t="shared" si="2"/>
        <v>4992.16</v>
      </c>
    </row>
    <row r="99" spans="1:7" s="13" customFormat="1" ht="33" customHeight="1" x14ac:dyDescent="0.35">
      <c r="B99" s="14" t="s">
        <v>40</v>
      </c>
      <c r="C99" s="22" t="s">
        <v>183</v>
      </c>
      <c r="D99" s="11">
        <v>1692</v>
      </c>
      <c r="E99" s="16" t="s">
        <v>111</v>
      </c>
      <c r="F99" s="132">
        <v>8.5</v>
      </c>
      <c r="G99" s="140">
        <f t="shared" si="2"/>
        <v>14382</v>
      </c>
    </row>
    <row r="100" spans="1:7" s="13" customFormat="1" ht="21.95" customHeight="1" x14ac:dyDescent="0.35">
      <c r="B100" s="14" t="s">
        <v>15</v>
      </c>
      <c r="C100" s="17" t="s">
        <v>108</v>
      </c>
      <c r="D100" s="11">
        <f>D99</f>
        <v>1692</v>
      </c>
      <c r="E100" s="23" t="s">
        <v>111</v>
      </c>
      <c r="F100" s="132">
        <v>1.6</v>
      </c>
      <c r="G100" s="140">
        <f t="shared" si="2"/>
        <v>2707.2000000000003</v>
      </c>
    </row>
    <row r="101" spans="1:7" s="13" customFormat="1" ht="33" customHeight="1" x14ac:dyDescent="0.35">
      <c r="B101" s="14" t="s">
        <v>16</v>
      </c>
      <c r="C101" s="22" t="s">
        <v>109</v>
      </c>
      <c r="D101" s="11">
        <v>2737</v>
      </c>
      <c r="E101" s="23" t="s">
        <v>111</v>
      </c>
      <c r="F101" s="132">
        <v>1.37</v>
      </c>
      <c r="G101" s="140">
        <f t="shared" si="2"/>
        <v>3749.6900000000005</v>
      </c>
    </row>
    <row r="102" spans="1:7" s="13" customFormat="1" ht="21.95" customHeight="1" x14ac:dyDescent="0.35">
      <c r="B102" s="14"/>
      <c r="C102" s="15" t="s">
        <v>91</v>
      </c>
      <c r="D102" s="11"/>
      <c r="E102" s="16"/>
      <c r="F102" s="132"/>
      <c r="G102" s="140"/>
    </row>
    <row r="103" spans="1:7" s="13" customFormat="1" ht="30" x14ac:dyDescent="0.35">
      <c r="B103" s="14"/>
      <c r="C103" s="68" t="s">
        <v>178</v>
      </c>
      <c r="D103" s="11"/>
      <c r="E103" s="16"/>
      <c r="F103" s="132"/>
      <c r="G103" s="140"/>
    </row>
    <row r="104" spans="1:7" s="13" customFormat="1" ht="21.95" customHeight="1" x14ac:dyDescent="0.35">
      <c r="B104" s="14" t="s">
        <v>89</v>
      </c>
      <c r="C104" s="17" t="s">
        <v>155</v>
      </c>
      <c r="D104" s="11">
        <v>941</v>
      </c>
      <c r="E104" s="16" t="s">
        <v>111</v>
      </c>
      <c r="F104" s="132">
        <v>7.25</v>
      </c>
      <c r="G104" s="140">
        <f t="shared" si="2"/>
        <v>6822.25</v>
      </c>
    </row>
    <row r="105" spans="1:7" s="13" customFormat="1" ht="30" x14ac:dyDescent="0.35">
      <c r="B105" s="14"/>
      <c r="C105" s="68" t="s">
        <v>267</v>
      </c>
      <c r="D105" s="11"/>
      <c r="E105" s="16"/>
      <c r="F105" s="132"/>
      <c r="G105" s="140"/>
    </row>
    <row r="106" spans="1:7" s="13" customFormat="1" ht="21.95" customHeight="1" x14ac:dyDescent="0.35">
      <c r="B106" s="14" t="s">
        <v>17</v>
      </c>
      <c r="C106" s="17" t="s">
        <v>184</v>
      </c>
      <c r="D106" s="11">
        <v>13</v>
      </c>
      <c r="E106" s="16" t="s">
        <v>18</v>
      </c>
      <c r="F106" s="132">
        <v>145</v>
      </c>
      <c r="G106" s="140">
        <f t="shared" si="2"/>
        <v>1885</v>
      </c>
    </row>
    <row r="107" spans="1:7" s="13" customFormat="1" ht="33" customHeight="1" x14ac:dyDescent="0.35">
      <c r="B107" s="14"/>
      <c r="C107" s="68" t="s">
        <v>254</v>
      </c>
      <c r="D107" s="11"/>
      <c r="E107" s="16"/>
      <c r="F107" s="132"/>
      <c r="G107" s="140"/>
    </row>
    <row r="108" spans="1:7" s="13" customFormat="1" ht="21.95" customHeight="1" x14ac:dyDescent="0.35">
      <c r="B108" s="14" t="s">
        <v>90</v>
      </c>
      <c r="C108" s="17" t="s">
        <v>110</v>
      </c>
      <c r="D108" s="11">
        <v>694</v>
      </c>
      <c r="E108" s="16" t="s">
        <v>18</v>
      </c>
      <c r="F108" s="132">
        <v>180</v>
      </c>
      <c r="G108" s="140">
        <f t="shared" si="2"/>
        <v>124920</v>
      </c>
    </row>
    <row r="109" spans="1:7" s="13" customFormat="1" ht="21.95" customHeight="1" x14ac:dyDescent="0.35">
      <c r="B109" s="14" t="s">
        <v>88</v>
      </c>
      <c r="C109" s="17" t="s">
        <v>92</v>
      </c>
      <c r="D109" s="11">
        <v>17</v>
      </c>
      <c r="E109" s="16" t="s">
        <v>18</v>
      </c>
      <c r="F109" s="132">
        <v>180</v>
      </c>
      <c r="G109" s="140">
        <f t="shared" si="2"/>
        <v>3060</v>
      </c>
    </row>
    <row r="110" spans="1:7" s="13" customFormat="1" ht="21.95" customHeight="1" x14ac:dyDescent="0.35">
      <c r="B110" s="14" t="s">
        <v>251</v>
      </c>
      <c r="C110" s="39" t="s">
        <v>206</v>
      </c>
      <c r="D110" s="11">
        <v>1729</v>
      </c>
      <c r="E110" s="16" t="s">
        <v>111</v>
      </c>
      <c r="F110" s="132">
        <v>27</v>
      </c>
      <c r="G110" s="140">
        <f t="shared" si="2"/>
        <v>46683</v>
      </c>
    </row>
    <row r="111" spans="1:7" s="13" customFormat="1" ht="21.95" customHeight="1" x14ac:dyDescent="0.35">
      <c r="B111" s="14"/>
      <c r="C111" s="39"/>
      <c r="D111" s="11"/>
      <c r="E111" s="16"/>
      <c r="F111" s="132"/>
      <c r="G111" s="140"/>
    </row>
    <row r="112" spans="1:7" s="92" customFormat="1" ht="30" customHeight="1" thickBot="1" x14ac:dyDescent="0.4">
      <c r="A112" s="88"/>
      <c r="B112" s="89"/>
      <c r="C112" s="90" t="s">
        <v>56</v>
      </c>
      <c r="D112" s="193"/>
      <c r="E112" s="91"/>
      <c r="F112" s="141"/>
      <c r="G112" s="142">
        <f>SUM(G93:G111)</f>
        <v>216851.65</v>
      </c>
    </row>
    <row r="113" spans="1:7" s="86" customFormat="1" ht="30" customHeight="1" thickTop="1" x14ac:dyDescent="0.35">
      <c r="A113" s="81"/>
      <c r="B113" s="82"/>
      <c r="C113" s="93" t="s">
        <v>159</v>
      </c>
      <c r="D113" s="194"/>
      <c r="E113" s="82"/>
      <c r="F113" s="143"/>
      <c r="G113" s="144"/>
    </row>
    <row r="114" spans="1:7" s="13" customFormat="1" ht="21.95" customHeight="1" x14ac:dyDescent="0.35">
      <c r="B114" s="14"/>
      <c r="C114" s="15" t="s">
        <v>185</v>
      </c>
      <c r="D114" s="11"/>
      <c r="E114" s="16"/>
      <c r="F114" s="132"/>
      <c r="G114" s="140"/>
    </row>
    <row r="115" spans="1:7" s="13" customFormat="1" ht="60" x14ac:dyDescent="0.35">
      <c r="B115" s="14"/>
      <c r="C115" s="113" t="s">
        <v>268</v>
      </c>
      <c r="D115" s="11"/>
      <c r="E115" s="16"/>
      <c r="F115" s="132"/>
      <c r="G115" s="140"/>
    </row>
    <row r="116" spans="1:7" s="13" customFormat="1" ht="21.95" customHeight="1" x14ac:dyDescent="0.35">
      <c r="B116" s="14" t="s">
        <v>31</v>
      </c>
      <c r="C116" s="17" t="s">
        <v>256</v>
      </c>
      <c r="D116" s="11">
        <v>186</v>
      </c>
      <c r="E116" s="16" t="s">
        <v>111</v>
      </c>
      <c r="F116" s="132">
        <v>24</v>
      </c>
      <c r="G116" s="140">
        <f t="shared" ref="G116:G139" si="3">F116*D116</f>
        <v>4464</v>
      </c>
    </row>
    <row r="117" spans="1:7" s="8" customFormat="1" ht="45" x14ac:dyDescent="0.35">
      <c r="B117" s="9"/>
      <c r="C117" s="68" t="s">
        <v>0</v>
      </c>
      <c r="D117" s="11"/>
      <c r="E117" s="12"/>
      <c r="F117" s="132"/>
      <c r="G117" s="140"/>
    </row>
    <row r="118" spans="1:7" s="13" customFormat="1" ht="21.95" customHeight="1" x14ac:dyDescent="0.35">
      <c r="B118" s="14"/>
      <c r="C118" s="15" t="s">
        <v>180</v>
      </c>
      <c r="D118" s="11"/>
      <c r="E118" s="16"/>
      <c r="F118" s="145"/>
      <c r="G118" s="140"/>
    </row>
    <row r="119" spans="1:7" s="13" customFormat="1" ht="21.95" customHeight="1" x14ac:dyDescent="0.35">
      <c r="B119" s="14" t="s">
        <v>32</v>
      </c>
      <c r="C119" s="17" t="s">
        <v>3</v>
      </c>
      <c r="D119" s="11">
        <v>5</v>
      </c>
      <c r="E119" s="16" t="s">
        <v>1</v>
      </c>
      <c r="F119" s="132">
        <v>1.35</v>
      </c>
      <c r="G119" s="140">
        <f t="shared" si="3"/>
        <v>6.75</v>
      </c>
    </row>
    <row r="120" spans="1:7" s="13" customFormat="1" ht="21.95" customHeight="1" x14ac:dyDescent="0.35">
      <c r="B120" s="14"/>
      <c r="C120" s="15" t="s">
        <v>179</v>
      </c>
      <c r="D120" s="11"/>
      <c r="E120" s="16"/>
      <c r="F120" s="132"/>
      <c r="G120" s="140"/>
    </row>
    <row r="121" spans="1:7" s="13" customFormat="1" ht="21.95" customHeight="1" x14ac:dyDescent="0.35">
      <c r="B121" s="14" t="s">
        <v>33</v>
      </c>
      <c r="C121" s="17" t="s">
        <v>3</v>
      </c>
      <c r="D121" s="11">
        <v>510</v>
      </c>
      <c r="E121" s="16" t="s">
        <v>1</v>
      </c>
      <c r="F121" s="132">
        <v>1.35</v>
      </c>
      <c r="G121" s="140">
        <f t="shared" si="3"/>
        <v>688.5</v>
      </c>
    </row>
    <row r="122" spans="1:7" s="13" customFormat="1" ht="21.95" customHeight="1" x14ac:dyDescent="0.35">
      <c r="B122" s="14" t="s">
        <v>34</v>
      </c>
      <c r="C122" s="17" t="s">
        <v>4</v>
      </c>
      <c r="D122" s="11">
        <v>62</v>
      </c>
      <c r="E122" s="16" t="s">
        <v>1</v>
      </c>
      <c r="F122" s="132">
        <v>1.35</v>
      </c>
      <c r="G122" s="140">
        <f t="shared" si="3"/>
        <v>83.7</v>
      </c>
    </row>
    <row r="123" spans="1:7" s="13" customFormat="1" ht="21.95" customHeight="1" x14ac:dyDescent="0.35">
      <c r="B123" s="14" t="s">
        <v>35</v>
      </c>
      <c r="C123" s="17" t="s">
        <v>5</v>
      </c>
      <c r="D123" s="11">
        <v>32468</v>
      </c>
      <c r="E123" s="16" t="s">
        <v>1</v>
      </c>
      <c r="F123" s="132">
        <v>1.35</v>
      </c>
      <c r="G123" s="140">
        <f t="shared" si="3"/>
        <v>43831.8</v>
      </c>
    </row>
    <row r="124" spans="1:7" s="13" customFormat="1" ht="21.95" customHeight="1" x14ac:dyDescent="0.35">
      <c r="B124" s="14" t="s">
        <v>36</v>
      </c>
      <c r="C124" s="17" t="s">
        <v>253</v>
      </c>
      <c r="D124" s="11">
        <v>20931</v>
      </c>
      <c r="E124" s="16" t="s">
        <v>1</v>
      </c>
      <c r="F124" s="132">
        <v>1.35</v>
      </c>
      <c r="G124" s="140">
        <f t="shared" si="3"/>
        <v>28256.850000000002</v>
      </c>
    </row>
    <row r="125" spans="1:7" s="13" customFormat="1" x14ac:dyDescent="0.35">
      <c r="B125" s="14"/>
      <c r="C125" s="68" t="s">
        <v>125</v>
      </c>
      <c r="D125" s="11"/>
      <c r="E125" s="16"/>
      <c r="F125" s="132"/>
      <c r="G125" s="140"/>
    </row>
    <row r="126" spans="1:7" s="13" customFormat="1" ht="30" x14ac:dyDescent="0.35">
      <c r="B126" s="14" t="s">
        <v>114</v>
      </c>
      <c r="C126" s="22" t="s">
        <v>8</v>
      </c>
      <c r="D126" s="11">
        <f>D110</f>
        <v>1729</v>
      </c>
      <c r="E126" s="16" t="s">
        <v>111</v>
      </c>
      <c r="F126" s="132">
        <v>5.5</v>
      </c>
      <c r="G126" s="140">
        <f t="shared" si="3"/>
        <v>9509.5</v>
      </c>
    </row>
    <row r="127" spans="1:7" s="34" customFormat="1" ht="21.95" customHeight="1" x14ac:dyDescent="0.35">
      <c r="B127" s="35"/>
      <c r="C127" s="37" t="s">
        <v>142</v>
      </c>
      <c r="D127" s="11"/>
      <c r="E127" s="36"/>
      <c r="F127" s="146"/>
      <c r="G127" s="140"/>
    </row>
    <row r="128" spans="1:7" s="13" customFormat="1" ht="21.95" customHeight="1" x14ac:dyDescent="0.35">
      <c r="B128" s="14" t="s">
        <v>39</v>
      </c>
      <c r="C128" s="17" t="s">
        <v>182</v>
      </c>
      <c r="D128" s="11">
        <v>599</v>
      </c>
      <c r="E128" s="16" t="s">
        <v>111</v>
      </c>
      <c r="F128" s="132">
        <v>9</v>
      </c>
      <c r="G128" s="140">
        <f t="shared" si="3"/>
        <v>5391</v>
      </c>
    </row>
    <row r="129" spans="1:7" s="13" customFormat="1" ht="21.95" customHeight="1" x14ac:dyDescent="0.35">
      <c r="B129" s="14" t="s">
        <v>40</v>
      </c>
      <c r="C129" s="17" t="s">
        <v>2</v>
      </c>
      <c r="D129" s="11">
        <v>144</v>
      </c>
      <c r="E129" s="16" t="s">
        <v>111</v>
      </c>
      <c r="F129" s="132">
        <v>9</v>
      </c>
      <c r="G129" s="140">
        <f t="shared" si="3"/>
        <v>1296</v>
      </c>
    </row>
    <row r="130" spans="1:7" s="13" customFormat="1" ht="21.95" customHeight="1" x14ac:dyDescent="0.35">
      <c r="B130" s="14" t="s">
        <v>15</v>
      </c>
      <c r="C130" s="17" t="s">
        <v>269</v>
      </c>
      <c r="D130" s="11">
        <v>41</v>
      </c>
      <c r="E130" s="16" t="s">
        <v>111</v>
      </c>
      <c r="F130" s="132">
        <v>9</v>
      </c>
      <c r="G130" s="140">
        <f t="shared" si="3"/>
        <v>369</v>
      </c>
    </row>
    <row r="131" spans="1:7" s="13" customFormat="1" ht="21.95" customHeight="1" x14ac:dyDescent="0.35">
      <c r="B131" s="14" t="s">
        <v>16</v>
      </c>
      <c r="C131" s="17" t="s">
        <v>186</v>
      </c>
      <c r="D131" s="11">
        <v>180</v>
      </c>
      <c r="E131" s="16" t="s">
        <v>112</v>
      </c>
      <c r="F131" s="132">
        <v>1.5</v>
      </c>
      <c r="G131" s="140">
        <f t="shared" si="3"/>
        <v>270</v>
      </c>
    </row>
    <row r="132" spans="1:7" s="34" customFormat="1" ht="21.95" customHeight="1" x14ac:dyDescent="0.35">
      <c r="B132" s="35"/>
      <c r="C132" s="37" t="s">
        <v>98</v>
      </c>
      <c r="D132" s="11"/>
      <c r="E132" s="36"/>
      <c r="F132" s="146"/>
      <c r="G132" s="140"/>
    </row>
    <row r="133" spans="1:7" s="13" customFormat="1" ht="33.75" customHeight="1" x14ac:dyDescent="0.35">
      <c r="B133" s="14" t="s">
        <v>89</v>
      </c>
      <c r="C133" s="22" t="s">
        <v>187</v>
      </c>
      <c r="D133" s="11">
        <v>414</v>
      </c>
      <c r="E133" s="16" t="s">
        <v>113</v>
      </c>
      <c r="F133" s="132">
        <v>0.2</v>
      </c>
      <c r="G133" s="140">
        <f t="shared" si="3"/>
        <v>82.800000000000011</v>
      </c>
    </row>
    <row r="134" spans="1:7" s="34" customFormat="1" ht="21.95" customHeight="1" x14ac:dyDescent="0.35">
      <c r="B134" s="35"/>
      <c r="C134" s="37" t="s">
        <v>127</v>
      </c>
      <c r="D134" s="11"/>
      <c r="E134" s="36"/>
      <c r="F134" s="146"/>
      <c r="G134" s="140"/>
    </row>
    <row r="135" spans="1:7" s="13" customFormat="1" ht="21.95" customHeight="1" x14ac:dyDescent="0.35">
      <c r="B135" s="14" t="s">
        <v>17</v>
      </c>
      <c r="C135" s="17" t="s">
        <v>117</v>
      </c>
      <c r="D135" s="11">
        <f>D126</f>
        <v>1729</v>
      </c>
      <c r="E135" s="16" t="s">
        <v>111</v>
      </c>
      <c r="F135" s="132">
        <v>1.35</v>
      </c>
      <c r="G135" s="140">
        <f t="shared" si="3"/>
        <v>2334.15</v>
      </c>
    </row>
    <row r="136" spans="1:7" s="13" customFormat="1" ht="33" customHeight="1" x14ac:dyDescent="0.35">
      <c r="B136" s="14"/>
      <c r="C136" s="68" t="s">
        <v>118</v>
      </c>
      <c r="D136" s="11"/>
      <c r="E136" s="16"/>
      <c r="F136" s="132"/>
      <c r="G136" s="140"/>
    </row>
    <row r="137" spans="1:7" s="13" customFormat="1" ht="21.95" customHeight="1" x14ac:dyDescent="0.35">
      <c r="B137" s="14" t="s">
        <v>90</v>
      </c>
      <c r="C137" s="17" t="s">
        <v>270</v>
      </c>
      <c r="D137" s="11">
        <f>D116</f>
        <v>186</v>
      </c>
      <c r="E137" s="16" t="s">
        <v>111</v>
      </c>
      <c r="F137" s="132">
        <v>4.5</v>
      </c>
      <c r="G137" s="140">
        <f t="shared" si="3"/>
        <v>837</v>
      </c>
    </row>
    <row r="138" spans="1:7" s="13" customFormat="1" ht="21.95" customHeight="1" x14ac:dyDescent="0.35">
      <c r="B138" s="14"/>
      <c r="C138" s="15" t="s">
        <v>119</v>
      </c>
      <c r="D138" s="11"/>
      <c r="E138" s="16"/>
      <c r="F138" s="132"/>
      <c r="G138" s="140"/>
    </row>
    <row r="139" spans="1:7" s="13" customFormat="1" ht="21.95" customHeight="1" x14ac:dyDescent="0.35">
      <c r="B139" s="14" t="s">
        <v>88</v>
      </c>
      <c r="C139" s="17" t="s">
        <v>83</v>
      </c>
      <c r="D139" s="11">
        <f>D137</f>
        <v>186</v>
      </c>
      <c r="E139" s="16" t="s">
        <v>111</v>
      </c>
      <c r="F139" s="132">
        <v>4</v>
      </c>
      <c r="G139" s="140">
        <f t="shared" si="3"/>
        <v>744</v>
      </c>
    </row>
    <row r="140" spans="1:7" s="13" customFormat="1" ht="21.95" customHeight="1" x14ac:dyDescent="0.35">
      <c r="B140" s="14"/>
      <c r="C140" s="17"/>
      <c r="D140" s="11"/>
      <c r="E140" s="16"/>
      <c r="F140" s="132"/>
      <c r="G140" s="140"/>
    </row>
    <row r="141" spans="1:7" s="92" customFormat="1" ht="30" customHeight="1" thickBot="1" x14ac:dyDescent="0.4">
      <c r="A141" s="88"/>
      <c r="B141" s="89"/>
      <c r="C141" s="90" t="s">
        <v>56</v>
      </c>
      <c r="D141" s="193"/>
      <c r="E141" s="91"/>
      <c r="F141" s="141"/>
      <c r="G141" s="142">
        <f>SUM(G116:G140)</f>
        <v>98165.05</v>
      </c>
    </row>
    <row r="142" spans="1:7" s="86" customFormat="1" ht="30" customHeight="1" thickTop="1" x14ac:dyDescent="0.35">
      <c r="A142" s="81"/>
      <c r="B142" s="82"/>
      <c r="C142" s="93" t="s">
        <v>170</v>
      </c>
      <c r="D142" s="194"/>
      <c r="E142" s="82"/>
      <c r="F142" s="143"/>
      <c r="G142" s="147"/>
    </row>
    <row r="143" spans="1:7" s="32" customFormat="1" ht="24.95" customHeight="1" x14ac:dyDescent="0.35">
      <c r="B143" s="57"/>
      <c r="C143" s="60"/>
      <c r="D143" s="11"/>
      <c r="E143" s="65"/>
      <c r="F143" s="134"/>
      <c r="G143" s="140"/>
    </row>
    <row r="144" spans="1:7" s="13" customFormat="1" ht="24.95" customHeight="1" x14ac:dyDescent="0.35">
      <c r="B144" s="14"/>
      <c r="C144" s="17"/>
      <c r="D144" s="11"/>
      <c r="E144" s="16"/>
      <c r="F144" s="132"/>
      <c r="G144" s="140"/>
    </row>
    <row r="145" spans="1:7" s="13" customFormat="1" ht="24.95" customHeight="1" x14ac:dyDescent="0.35">
      <c r="B145" s="14"/>
      <c r="C145" s="17"/>
      <c r="D145" s="11"/>
      <c r="E145" s="16"/>
      <c r="F145" s="132"/>
      <c r="G145" s="140"/>
    </row>
    <row r="146" spans="1:7" s="13" customFormat="1" ht="24.95" customHeight="1" x14ac:dyDescent="0.35">
      <c r="B146" s="14"/>
      <c r="C146" s="17"/>
      <c r="D146" s="11"/>
      <c r="E146" s="16"/>
      <c r="F146" s="132"/>
      <c r="G146" s="140"/>
    </row>
    <row r="147" spans="1:7" s="92" customFormat="1" ht="24.95" customHeight="1" x14ac:dyDescent="0.35">
      <c r="A147" s="88"/>
      <c r="B147" s="89"/>
      <c r="C147" s="94" t="s">
        <v>60</v>
      </c>
      <c r="D147" s="193"/>
      <c r="E147" s="91"/>
      <c r="F147" s="141"/>
      <c r="G147" s="148"/>
    </row>
    <row r="148" spans="1:7" s="13" customFormat="1" ht="24.95" customHeight="1" x14ac:dyDescent="0.35">
      <c r="B148" s="14"/>
      <c r="C148" s="17" t="s">
        <v>168</v>
      </c>
      <c r="D148" s="11"/>
      <c r="E148" s="16"/>
      <c r="F148" s="132"/>
      <c r="G148" s="140">
        <f>G112</f>
        <v>216851.65</v>
      </c>
    </row>
    <row r="149" spans="1:7" s="13" customFormat="1" ht="24.95" customHeight="1" x14ac:dyDescent="0.35">
      <c r="B149" s="14"/>
      <c r="C149" s="17" t="s">
        <v>169</v>
      </c>
      <c r="D149" s="11"/>
      <c r="E149" s="16"/>
      <c r="F149" s="132"/>
      <c r="G149" s="140">
        <f>G141</f>
        <v>98165.05</v>
      </c>
    </row>
    <row r="150" spans="1:7" s="13" customFormat="1" ht="24.95" customHeight="1" x14ac:dyDescent="0.35">
      <c r="B150" s="14"/>
      <c r="C150" s="17"/>
      <c r="D150" s="11"/>
      <c r="E150" s="16"/>
      <c r="F150" s="132"/>
      <c r="G150" s="140"/>
    </row>
    <row r="151" spans="1:7" s="13" customFormat="1" ht="24.95" customHeight="1" x14ac:dyDescent="0.35">
      <c r="B151" s="14"/>
      <c r="C151" s="17"/>
      <c r="D151" s="11"/>
      <c r="E151" s="16"/>
      <c r="F151" s="132"/>
      <c r="G151" s="140"/>
    </row>
    <row r="152" spans="1:7" s="13" customFormat="1" ht="24.95" customHeight="1" x14ac:dyDescent="0.35">
      <c r="B152" s="14"/>
      <c r="C152" s="17"/>
      <c r="D152" s="11"/>
      <c r="E152" s="16"/>
      <c r="F152" s="132"/>
      <c r="G152" s="140"/>
    </row>
    <row r="153" spans="1:7" s="13" customFormat="1" ht="24.95" customHeight="1" x14ac:dyDescent="0.35">
      <c r="B153" s="14"/>
      <c r="C153" s="17"/>
      <c r="D153" s="11"/>
      <c r="E153" s="16"/>
      <c r="F153" s="132"/>
      <c r="G153" s="140"/>
    </row>
    <row r="154" spans="1:7" s="13" customFormat="1" ht="24.95" customHeight="1" x14ac:dyDescent="0.35">
      <c r="B154" s="14"/>
      <c r="C154" s="17"/>
      <c r="D154" s="11"/>
      <c r="E154" s="16"/>
      <c r="F154" s="132"/>
      <c r="G154" s="140"/>
    </row>
    <row r="155" spans="1:7" s="13" customFormat="1" ht="24.95" customHeight="1" x14ac:dyDescent="0.35">
      <c r="B155" s="14"/>
      <c r="C155" s="17"/>
      <c r="D155" s="11"/>
      <c r="E155" s="16"/>
      <c r="F155" s="132"/>
      <c r="G155" s="140"/>
    </row>
    <row r="156" spans="1:7" s="13" customFormat="1" ht="24.95" customHeight="1" x14ac:dyDescent="0.35">
      <c r="B156" s="14"/>
      <c r="C156" s="17"/>
      <c r="D156" s="11"/>
      <c r="E156" s="16"/>
      <c r="F156" s="132"/>
      <c r="G156" s="140"/>
    </row>
    <row r="157" spans="1:7" s="13" customFormat="1" ht="24.95" customHeight="1" x14ac:dyDescent="0.35">
      <c r="B157" s="14"/>
      <c r="C157" s="17"/>
      <c r="D157" s="11"/>
      <c r="E157" s="16"/>
      <c r="F157" s="132"/>
      <c r="G157" s="140"/>
    </row>
    <row r="158" spans="1:7" s="13" customFormat="1" ht="24.95" customHeight="1" x14ac:dyDescent="0.35">
      <c r="B158" s="14"/>
      <c r="C158" s="17"/>
      <c r="D158" s="11"/>
      <c r="E158" s="16"/>
      <c r="F158" s="132"/>
      <c r="G158" s="140"/>
    </row>
    <row r="159" spans="1:7" s="13" customFormat="1" ht="24.95" customHeight="1" x14ac:dyDescent="0.35">
      <c r="B159" s="14"/>
      <c r="C159" s="17"/>
      <c r="D159" s="11"/>
      <c r="E159" s="16"/>
      <c r="F159" s="132"/>
      <c r="G159" s="140"/>
    </row>
    <row r="160" spans="1:7" s="13" customFormat="1" ht="24.95" customHeight="1" x14ac:dyDescent="0.35">
      <c r="B160" s="14"/>
      <c r="C160" s="17"/>
      <c r="D160" s="11"/>
      <c r="E160" s="16"/>
      <c r="F160" s="132"/>
      <c r="G160" s="140"/>
    </row>
    <row r="161" spans="1:7" s="13" customFormat="1" ht="24.95" customHeight="1" x14ac:dyDescent="0.35">
      <c r="B161" s="14"/>
      <c r="C161" s="17"/>
      <c r="D161" s="11"/>
      <c r="E161" s="16"/>
      <c r="F161" s="132"/>
      <c r="G161" s="140"/>
    </row>
    <row r="162" spans="1:7" s="13" customFormat="1" ht="24.95" customHeight="1" x14ac:dyDescent="0.35">
      <c r="B162" s="14"/>
      <c r="C162" s="17"/>
      <c r="D162" s="11"/>
      <c r="E162" s="16"/>
      <c r="F162" s="132"/>
      <c r="G162" s="140"/>
    </row>
    <row r="163" spans="1:7" s="13" customFormat="1" ht="24.95" customHeight="1" x14ac:dyDescent="0.35">
      <c r="B163" s="14"/>
      <c r="C163" s="17"/>
      <c r="D163" s="11"/>
      <c r="E163" s="16"/>
      <c r="F163" s="132"/>
      <c r="G163" s="140"/>
    </row>
    <row r="164" spans="1:7" s="13" customFormat="1" ht="24.95" customHeight="1" x14ac:dyDescent="0.35">
      <c r="B164" s="14"/>
      <c r="C164" s="17"/>
      <c r="D164" s="11"/>
      <c r="E164" s="16"/>
      <c r="F164" s="132"/>
      <c r="G164" s="140"/>
    </row>
    <row r="165" spans="1:7" s="13" customFormat="1" ht="24.95" customHeight="1" x14ac:dyDescent="0.35">
      <c r="B165" s="14"/>
      <c r="C165" s="17"/>
      <c r="D165" s="11"/>
      <c r="E165" s="16"/>
      <c r="F165" s="132"/>
      <c r="G165" s="140"/>
    </row>
    <row r="166" spans="1:7" s="13" customFormat="1" ht="24.95" customHeight="1" x14ac:dyDescent="0.35">
      <c r="B166" s="14"/>
      <c r="C166" s="17"/>
      <c r="D166" s="11"/>
      <c r="E166" s="16"/>
      <c r="F166" s="132"/>
      <c r="G166" s="140"/>
    </row>
    <row r="167" spans="1:7" s="13" customFormat="1" ht="24.95" customHeight="1" x14ac:dyDescent="0.35">
      <c r="B167" s="14"/>
      <c r="C167" s="17"/>
      <c r="D167" s="11"/>
      <c r="E167" s="16"/>
      <c r="F167" s="132"/>
      <c r="G167" s="140"/>
    </row>
    <row r="168" spans="1:7" s="13" customFormat="1" ht="30" customHeight="1" x14ac:dyDescent="0.35">
      <c r="B168" s="14"/>
      <c r="C168" s="17"/>
      <c r="D168" s="11"/>
      <c r="E168" s="16"/>
      <c r="F168" s="132"/>
      <c r="G168" s="140"/>
    </row>
    <row r="169" spans="1:7" s="13" customFormat="1" ht="24.95" customHeight="1" x14ac:dyDescent="0.35">
      <c r="B169" s="14"/>
      <c r="C169" s="17"/>
      <c r="D169" s="11"/>
      <c r="E169" s="16"/>
      <c r="F169" s="132"/>
      <c r="G169" s="140"/>
    </row>
    <row r="170" spans="1:7" s="13" customFormat="1" ht="24.95" customHeight="1" x14ac:dyDescent="0.35">
      <c r="B170" s="14"/>
      <c r="C170" s="17"/>
      <c r="D170" s="11"/>
      <c r="E170" s="16"/>
      <c r="F170" s="132"/>
      <c r="G170" s="140"/>
    </row>
    <row r="171" spans="1:7" s="92" customFormat="1" ht="30" customHeight="1" thickBot="1" x14ac:dyDescent="0.4">
      <c r="A171" s="88"/>
      <c r="B171" s="89"/>
      <c r="C171" s="90" t="s">
        <v>55</v>
      </c>
      <c r="D171" s="193"/>
      <c r="E171" s="91"/>
      <c r="F171" s="141"/>
      <c r="G171" s="142">
        <f>SUM(G148:G170)</f>
        <v>315016.7</v>
      </c>
    </row>
    <row r="172" spans="1:7" s="86" customFormat="1" ht="30" customHeight="1" thickTop="1" x14ac:dyDescent="0.35">
      <c r="A172" s="81"/>
      <c r="B172" s="82"/>
      <c r="C172" s="93" t="s">
        <v>207</v>
      </c>
      <c r="D172" s="194"/>
      <c r="E172" s="82"/>
      <c r="F172" s="143"/>
      <c r="G172" s="147"/>
    </row>
    <row r="173" spans="1:7" s="8" customFormat="1" ht="21.95" customHeight="1" x14ac:dyDescent="0.35">
      <c r="B173" s="9"/>
      <c r="C173" s="40" t="e">
        <f>C86</f>
        <v>#REF!</v>
      </c>
      <c r="D173" s="11"/>
      <c r="E173" s="12"/>
      <c r="F173" s="135"/>
      <c r="G173" s="140"/>
    </row>
    <row r="174" spans="1:7" s="8" customFormat="1" ht="21.95" customHeight="1" x14ac:dyDescent="0.35">
      <c r="B174" s="9"/>
      <c r="C174" s="40" t="str">
        <f>C87</f>
        <v>APARTMENTS BLOCK</v>
      </c>
      <c r="D174" s="11"/>
      <c r="E174" s="12"/>
      <c r="F174" s="135"/>
      <c r="G174" s="140"/>
    </row>
    <row r="175" spans="1:7" s="8" customFormat="1" ht="21.95" customHeight="1" x14ac:dyDescent="0.35">
      <c r="B175" s="9"/>
      <c r="C175" s="40" t="s">
        <v>208</v>
      </c>
      <c r="D175" s="11"/>
      <c r="E175" s="12"/>
      <c r="F175" s="135"/>
      <c r="G175" s="140"/>
    </row>
    <row r="176" spans="1:7" s="8" customFormat="1" ht="21.95" customHeight="1" x14ac:dyDescent="0.35">
      <c r="B176" s="9"/>
      <c r="C176" s="40" t="s">
        <v>74</v>
      </c>
      <c r="D176" s="11"/>
      <c r="E176" s="12"/>
      <c r="F176" s="135"/>
      <c r="G176" s="140"/>
    </row>
    <row r="177" spans="2:7" s="13" customFormat="1" x14ac:dyDescent="0.35">
      <c r="B177" s="14"/>
      <c r="C177" s="15" t="s">
        <v>91</v>
      </c>
      <c r="D177" s="11"/>
      <c r="E177" s="16"/>
      <c r="F177" s="132"/>
      <c r="G177" s="140"/>
    </row>
    <row r="178" spans="2:7" s="13" customFormat="1" ht="36" customHeight="1" x14ac:dyDescent="0.35">
      <c r="B178" s="14"/>
      <c r="C178" s="68" t="s">
        <v>177</v>
      </c>
      <c r="D178" s="11"/>
      <c r="E178" s="16"/>
      <c r="F178" s="132"/>
      <c r="G178" s="140"/>
    </row>
    <row r="179" spans="2:7" s="13" customFormat="1" ht="21.95" customHeight="1" x14ac:dyDescent="0.35">
      <c r="B179" s="14" t="s">
        <v>31</v>
      </c>
      <c r="C179" s="17" t="s">
        <v>92</v>
      </c>
      <c r="D179" s="11">
        <v>430</v>
      </c>
      <c r="E179" s="16" t="s">
        <v>18</v>
      </c>
      <c r="F179" s="132">
        <v>165</v>
      </c>
      <c r="G179" s="140">
        <f>F179*D179</f>
        <v>70950</v>
      </c>
    </row>
    <row r="180" spans="2:7" s="13" customFormat="1" ht="21.95" customHeight="1" x14ac:dyDescent="0.35">
      <c r="B180" s="14" t="s">
        <v>32</v>
      </c>
      <c r="C180" s="17" t="s">
        <v>6</v>
      </c>
      <c r="D180" s="11">
        <v>303</v>
      </c>
      <c r="E180" s="16" t="s">
        <v>18</v>
      </c>
      <c r="F180" s="132">
        <f>F179</f>
        <v>165</v>
      </c>
      <c r="G180" s="140">
        <f t="shared" ref="G180:G200" si="4">F180*D180</f>
        <v>49995</v>
      </c>
    </row>
    <row r="181" spans="2:7" s="13" customFormat="1" ht="21.95" customHeight="1" x14ac:dyDescent="0.35">
      <c r="B181" s="14" t="s">
        <v>33</v>
      </c>
      <c r="C181" s="17" t="s">
        <v>316</v>
      </c>
      <c r="D181" s="11">
        <v>18</v>
      </c>
      <c r="E181" s="16" t="s">
        <v>18</v>
      </c>
      <c r="F181" s="132">
        <f>F180</f>
        <v>165</v>
      </c>
      <c r="G181" s="140">
        <f t="shared" si="4"/>
        <v>2970</v>
      </c>
    </row>
    <row r="182" spans="2:7" s="13" customFormat="1" ht="21.95" customHeight="1" x14ac:dyDescent="0.35">
      <c r="B182" s="14" t="s">
        <v>34</v>
      </c>
      <c r="C182" s="17" t="s">
        <v>292</v>
      </c>
      <c r="D182" s="11">
        <v>6</v>
      </c>
      <c r="E182" s="16" t="s">
        <v>18</v>
      </c>
      <c r="F182" s="132">
        <f>F181</f>
        <v>165</v>
      </c>
      <c r="G182" s="140">
        <f t="shared" si="4"/>
        <v>990</v>
      </c>
    </row>
    <row r="183" spans="2:7" s="13" customFormat="1" ht="21.95" customHeight="1" x14ac:dyDescent="0.35">
      <c r="B183" s="14" t="s">
        <v>35</v>
      </c>
      <c r="C183" s="17" t="s">
        <v>315</v>
      </c>
      <c r="D183" s="11">
        <v>505</v>
      </c>
      <c r="E183" s="16" t="s">
        <v>111</v>
      </c>
      <c r="F183" s="132">
        <f>F182*0.19</f>
        <v>31.35</v>
      </c>
      <c r="G183" s="140">
        <f t="shared" si="4"/>
        <v>15831.75</v>
      </c>
    </row>
    <row r="184" spans="2:7" s="13" customFormat="1" ht="21.95" customHeight="1" x14ac:dyDescent="0.35">
      <c r="B184" s="14" t="s">
        <v>36</v>
      </c>
      <c r="C184" s="17" t="s">
        <v>280</v>
      </c>
      <c r="D184" s="11">
        <v>1008</v>
      </c>
      <c r="E184" s="16" t="s">
        <v>111</v>
      </c>
      <c r="F184" s="132">
        <f>F182*0.15</f>
        <v>24.75</v>
      </c>
      <c r="G184" s="140">
        <f t="shared" si="4"/>
        <v>24948</v>
      </c>
    </row>
    <row r="185" spans="2:7" s="13" customFormat="1" ht="21.95" customHeight="1" x14ac:dyDescent="0.35">
      <c r="B185" s="14" t="s">
        <v>114</v>
      </c>
      <c r="C185" s="17" t="s">
        <v>275</v>
      </c>
      <c r="D185" s="11">
        <v>952</v>
      </c>
      <c r="E185" s="16" t="s">
        <v>111</v>
      </c>
      <c r="F185" s="132">
        <f>F182*0.2</f>
        <v>33</v>
      </c>
      <c r="G185" s="140">
        <f t="shared" si="4"/>
        <v>31416</v>
      </c>
    </row>
    <row r="186" spans="2:7" s="13" customFormat="1" ht="30" x14ac:dyDescent="0.35">
      <c r="B186" s="14" t="s">
        <v>39</v>
      </c>
      <c r="C186" s="17" t="s">
        <v>314</v>
      </c>
      <c r="D186" s="11">
        <v>3443</v>
      </c>
      <c r="E186" s="16" t="s">
        <v>111</v>
      </c>
      <c r="F186" s="132">
        <f>F185</f>
        <v>33</v>
      </c>
      <c r="G186" s="140">
        <f t="shared" si="4"/>
        <v>113619</v>
      </c>
    </row>
    <row r="187" spans="2:7" s="5" customFormat="1" x14ac:dyDescent="0.35">
      <c r="B187" s="28"/>
      <c r="C187" s="21" t="s">
        <v>9</v>
      </c>
      <c r="D187" s="11"/>
      <c r="E187" s="59"/>
      <c r="F187" s="149"/>
      <c r="G187" s="140"/>
    </row>
    <row r="188" spans="2:7" s="5" customFormat="1" ht="80.25" customHeight="1" x14ac:dyDescent="0.35">
      <c r="B188" s="28" t="s">
        <v>40</v>
      </c>
      <c r="C188" s="27" t="s">
        <v>271</v>
      </c>
      <c r="D188" s="11">
        <v>4150</v>
      </c>
      <c r="E188" s="59" t="s">
        <v>111</v>
      </c>
      <c r="F188" s="149">
        <v>34</v>
      </c>
      <c r="G188" s="140">
        <f t="shared" si="4"/>
        <v>141100</v>
      </c>
    </row>
    <row r="189" spans="2:7" s="8" customFormat="1" ht="50.25" customHeight="1" x14ac:dyDescent="0.35">
      <c r="B189" s="9"/>
      <c r="C189" s="68" t="s">
        <v>0</v>
      </c>
      <c r="D189" s="11"/>
      <c r="E189" s="12"/>
      <c r="F189" s="132"/>
      <c r="G189" s="140"/>
    </row>
    <row r="190" spans="2:7" s="13" customFormat="1" x14ac:dyDescent="0.35">
      <c r="B190" s="14"/>
      <c r="C190" s="15" t="s">
        <v>180</v>
      </c>
      <c r="D190" s="11"/>
      <c r="E190" s="16"/>
      <c r="F190" s="132"/>
      <c r="G190" s="140"/>
    </row>
    <row r="191" spans="2:7" s="13" customFormat="1" ht="21.95" customHeight="1" x14ac:dyDescent="0.35">
      <c r="B191" s="14" t="s">
        <v>15</v>
      </c>
      <c r="C191" s="17" t="s">
        <v>3</v>
      </c>
      <c r="D191" s="11">
        <v>19</v>
      </c>
      <c r="E191" s="16" t="s">
        <v>1</v>
      </c>
      <c r="F191" s="132">
        <v>1.35</v>
      </c>
      <c r="G191" s="140">
        <f t="shared" si="4"/>
        <v>25.650000000000002</v>
      </c>
    </row>
    <row r="192" spans="2:7" s="13" customFormat="1" x14ac:dyDescent="0.35">
      <c r="B192" s="14"/>
      <c r="C192" s="15" t="s">
        <v>179</v>
      </c>
      <c r="D192" s="11"/>
      <c r="E192" s="16"/>
      <c r="F192" s="132"/>
      <c r="G192" s="140"/>
    </row>
    <row r="193" spans="1:7" s="13" customFormat="1" ht="21.95" customHeight="1" x14ac:dyDescent="0.35">
      <c r="B193" s="14" t="s">
        <v>16</v>
      </c>
      <c r="C193" s="17" t="s">
        <v>3</v>
      </c>
      <c r="D193" s="11">
        <v>23375</v>
      </c>
      <c r="E193" s="16" t="s">
        <v>1</v>
      </c>
      <c r="F193" s="132">
        <v>1.35</v>
      </c>
      <c r="G193" s="140">
        <f t="shared" si="4"/>
        <v>31556.250000000004</v>
      </c>
    </row>
    <row r="194" spans="1:7" s="13" customFormat="1" ht="21.95" customHeight="1" x14ac:dyDescent="0.35">
      <c r="B194" s="14" t="s">
        <v>89</v>
      </c>
      <c r="C194" s="17" t="s">
        <v>236</v>
      </c>
      <c r="D194" s="11">
        <v>20558</v>
      </c>
      <c r="E194" s="16" t="s">
        <v>1</v>
      </c>
      <c r="F194" s="132">
        <v>1.35</v>
      </c>
      <c r="G194" s="140">
        <f t="shared" si="4"/>
        <v>27753.300000000003</v>
      </c>
    </row>
    <row r="195" spans="1:7" s="13" customFormat="1" ht="21.95" customHeight="1" x14ac:dyDescent="0.35">
      <c r="B195" s="14" t="s">
        <v>17</v>
      </c>
      <c r="C195" s="17" t="s">
        <v>4</v>
      </c>
      <c r="D195" s="11">
        <v>37050</v>
      </c>
      <c r="E195" s="16" t="s">
        <v>1</v>
      </c>
      <c r="F195" s="132">
        <v>1.35</v>
      </c>
      <c r="G195" s="140">
        <f t="shared" si="4"/>
        <v>50017.5</v>
      </c>
    </row>
    <row r="196" spans="1:7" s="13" customFormat="1" ht="21.95" customHeight="1" x14ac:dyDescent="0.35">
      <c r="B196" s="14" t="s">
        <v>90</v>
      </c>
      <c r="C196" s="17" t="s">
        <v>5</v>
      </c>
      <c r="D196" s="11">
        <v>87842</v>
      </c>
      <c r="E196" s="16" t="s">
        <v>1</v>
      </c>
      <c r="F196" s="132">
        <v>1.35</v>
      </c>
      <c r="G196" s="140">
        <f t="shared" si="4"/>
        <v>118586.70000000001</v>
      </c>
    </row>
    <row r="197" spans="1:7" s="13" customFormat="1" ht="21.95" customHeight="1" x14ac:dyDescent="0.35">
      <c r="B197" s="14" t="s">
        <v>88</v>
      </c>
      <c r="C197" s="17" t="s">
        <v>252</v>
      </c>
      <c r="D197" s="11">
        <v>15102</v>
      </c>
      <c r="E197" s="16" t="s">
        <v>1</v>
      </c>
      <c r="F197" s="132">
        <v>1.35</v>
      </c>
      <c r="G197" s="140">
        <f t="shared" si="4"/>
        <v>20387.7</v>
      </c>
    </row>
    <row r="198" spans="1:7" s="13" customFormat="1" ht="21.95" customHeight="1" x14ac:dyDescent="0.35">
      <c r="B198" s="14" t="s">
        <v>251</v>
      </c>
      <c r="C198" s="17" t="s">
        <v>253</v>
      </c>
      <c r="D198" s="11">
        <v>41408</v>
      </c>
      <c r="E198" s="16" t="s">
        <v>1</v>
      </c>
      <c r="F198" s="132">
        <v>1.35</v>
      </c>
      <c r="G198" s="140">
        <f t="shared" si="4"/>
        <v>55900.800000000003</v>
      </c>
    </row>
    <row r="199" spans="1:7" s="13" customFormat="1" ht="30.75" customHeight="1" x14ac:dyDescent="0.35">
      <c r="B199" s="14"/>
      <c r="C199" s="68" t="s">
        <v>125</v>
      </c>
      <c r="D199" s="11"/>
      <c r="E199" s="30"/>
      <c r="F199" s="146"/>
      <c r="G199" s="140"/>
    </row>
    <row r="200" spans="1:7" s="13" customFormat="1" ht="30" x14ac:dyDescent="0.35">
      <c r="B200" s="14" t="s">
        <v>255</v>
      </c>
      <c r="C200" s="22" t="s">
        <v>82</v>
      </c>
      <c r="D200" s="11">
        <f>D188+D186</f>
        <v>7593</v>
      </c>
      <c r="E200" s="30" t="s">
        <v>111</v>
      </c>
      <c r="F200" s="146">
        <v>5.5</v>
      </c>
      <c r="G200" s="140">
        <f t="shared" si="4"/>
        <v>41761.5</v>
      </c>
    </row>
    <row r="201" spans="1:7" s="92" customFormat="1" ht="30" customHeight="1" thickBot="1" x14ac:dyDescent="0.4">
      <c r="A201" s="88"/>
      <c r="B201" s="89"/>
      <c r="C201" s="90" t="s">
        <v>56</v>
      </c>
      <c r="D201" s="193"/>
      <c r="E201" s="91"/>
      <c r="F201" s="141"/>
      <c r="G201" s="142">
        <f>SUM(G179:G200)</f>
        <v>797809.14999999991</v>
      </c>
    </row>
    <row r="202" spans="1:7" s="86" customFormat="1" ht="30" customHeight="1" thickTop="1" x14ac:dyDescent="0.35">
      <c r="A202" s="81"/>
      <c r="B202" s="82"/>
      <c r="C202" s="93" t="s">
        <v>171</v>
      </c>
      <c r="D202" s="194"/>
      <c r="E202" s="82"/>
      <c r="F202" s="143"/>
      <c r="G202" s="147"/>
    </row>
    <row r="203" spans="1:7" s="13" customFormat="1" ht="21.95" customHeight="1" x14ac:dyDescent="0.35">
      <c r="B203" s="14"/>
      <c r="C203" s="15" t="s">
        <v>128</v>
      </c>
      <c r="D203" s="11"/>
      <c r="E203" s="16"/>
      <c r="F203" s="134"/>
      <c r="G203" s="133"/>
    </row>
    <row r="204" spans="1:7" s="13" customFormat="1" ht="21.95" customHeight="1" x14ac:dyDescent="0.35">
      <c r="B204" s="14" t="s">
        <v>31</v>
      </c>
      <c r="C204" s="17" t="s">
        <v>2</v>
      </c>
      <c r="D204" s="11">
        <v>3723</v>
      </c>
      <c r="E204" s="16" t="s">
        <v>111</v>
      </c>
      <c r="F204" s="134">
        <v>9</v>
      </c>
      <c r="G204" s="133">
        <f>F204*D204</f>
        <v>33507</v>
      </c>
    </row>
    <row r="205" spans="1:7" s="13" customFormat="1" ht="21.95" customHeight="1" x14ac:dyDescent="0.35">
      <c r="B205" s="14" t="s">
        <v>32</v>
      </c>
      <c r="C205" s="17" t="s">
        <v>158</v>
      </c>
      <c r="D205" s="11">
        <f>D188+D186+D185+D184+D183</f>
        <v>10058</v>
      </c>
      <c r="E205" s="16" t="s">
        <v>111</v>
      </c>
      <c r="F205" s="134">
        <v>9</v>
      </c>
      <c r="G205" s="133">
        <f t="shared" ref="G205:G213" si="5">F205*D205</f>
        <v>90522</v>
      </c>
    </row>
    <row r="206" spans="1:7" s="13" customFormat="1" ht="21.95" customHeight="1" x14ac:dyDescent="0.35">
      <c r="B206" s="14" t="s">
        <v>33</v>
      </c>
      <c r="C206" s="17" t="s">
        <v>317</v>
      </c>
      <c r="D206" s="11">
        <v>220</v>
      </c>
      <c r="E206" s="16" t="s">
        <v>111</v>
      </c>
      <c r="F206" s="134">
        <v>9</v>
      </c>
      <c r="G206" s="133">
        <f t="shared" si="5"/>
        <v>1980</v>
      </c>
    </row>
    <row r="207" spans="1:7" s="13" customFormat="1" ht="21.95" customHeight="1" x14ac:dyDescent="0.35">
      <c r="B207" s="14" t="s">
        <v>34</v>
      </c>
      <c r="C207" s="17" t="s">
        <v>7</v>
      </c>
      <c r="D207" s="11">
        <v>3030</v>
      </c>
      <c r="E207" s="16" t="s">
        <v>111</v>
      </c>
      <c r="F207" s="134">
        <v>9</v>
      </c>
      <c r="G207" s="133">
        <f t="shared" si="5"/>
        <v>27270</v>
      </c>
    </row>
    <row r="208" spans="1:7" s="13" customFormat="1" ht="21.95" customHeight="1" x14ac:dyDescent="0.35">
      <c r="B208" s="14" t="s">
        <v>35</v>
      </c>
      <c r="C208" s="17" t="s">
        <v>448</v>
      </c>
      <c r="D208" s="11">
        <v>73</v>
      </c>
      <c r="E208" s="16" t="s">
        <v>111</v>
      </c>
      <c r="F208" s="134">
        <v>9</v>
      </c>
      <c r="G208" s="133">
        <f t="shared" si="5"/>
        <v>657</v>
      </c>
    </row>
    <row r="209" spans="1:7" s="13" customFormat="1" ht="21.95" customHeight="1" x14ac:dyDescent="0.35">
      <c r="B209" s="14" t="s">
        <v>36</v>
      </c>
      <c r="C209" s="17" t="s">
        <v>447</v>
      </c>
      <c r="D209" s="11">
        <v>92</v>
      </c>
      <c r="E209" s="16" t="s">
        <v>75</v>
      </c>
      <c r="F209" s="134">
        <v>3.6</v>
      </c>
      <c r="G209" s="133">
        <f t="shared" si="5"/>
        <v>331.2</v>
      </c>
    </row>
    <row r="210" spans="1:7" s="13" customFormat="1" ht="21.95" customHeight="1" x14ac:dyDescent="0.35">
      <c r="B210" s="14" t="s">
        <v>114</v>
      </c>
      <c r="C210" s="17" t="s">
        <v>276</v>
      </c>
      <c r="D210" s="11">
        <v>242</v>
      </c>
      <c r="E210" s="16" t="s">
        <v>75</v>
      </c>
      <c r="F210" s="132">
        <v>1.5</v>
      </c>
      <c r="G210" s="133">
        <f t="shared" si="5"/>
        <v>363</v>
      </c>
    </row>
    <row r="211" spans="1:7" s="13" customFormat="1" ht="21.95" customHeight="1" x14ac:dyDescent="0.35">
      <c r="B211" s="14" t="s">
        <v>39</v>
      </c>
      <c r="C211" s="17" t="s">
        <v>277</v>
      </c>
      <c r="D211" s="11">
        <v>2951</v>
      </c>
      <c r="E211" s="16" t="s">
        <v>75</v>
      </c>
      <c r="F211" s="132">
        <v>2</v>
      </c>
      <c r="G211" s="133">
        <f t="shared" si="5"/>
        <v>5902</v>
      </c>
    </row>
    <row r="212" spans="1:7" s="13" customFormat="1" ht="21.95" customHeight="1" x14ac:dyDescent="0.35">
      <c r="B212" s="14"/>
      <c r="C212" s="15" t="s">
        <v>98</v>
      </c>
      <c r="D212" s="11"/>
      <c r="E212" s="16"/>
      <c r="F212" s="150"/>
      <c r="G212" s="133"/>
    </row>
    <row r="213" spans="1:7" s="13" customFormat="1" ht="33.75" customHeight="1" x14ac:dyDescent="0.35">
      <c r="B213" s="14" t="s">
        <v>39</v>
      </c>
      <c r="C213" s="58" t="s">
        <v>126</v>
      </c>
      <c r="D213" s="11">
        <v>8541</v>
      </c>
      <c r="E213" s="16" t="s">
        <v>113</v>
      </c>
      <c r="F213" s="132">
        <v>0.2</v>
      </c>
      <c r="G213" s="133">
        <f t="shared" si="5"/>
        <v>1708.2</v>
      </c>
    </row>
    <row r="214" spans="1:7" s="32" customFormat="1" ht="24.95" customHeight="1" x14ac:dyDescent="0.35">
      <c r="B214" s="57"/>
      <c r="C214" s="60"/>
      <c r="D214" s="11"/>
      <c r="E214" s="65"/>
      <c r="F214" s="134"/>
      <c r="G214" s="133"/>
    </row>
    <row r="215" spans="1:7" s="99" customFormat="1" ht="24.95" customHeight="1" thickBot="1" x14ac:dyDescent="0.4">
      <c r="A215" s="95"/>
      <c r="B215" s="96"/>
      <c r="C215" s="97" t="s">
        <v>56</v>
      </c>
      <c r="D215" s="195"/>
      <c r="E215" s="98"/>
      <c r="F215" s="151"/>
      <c r="G215" s="152">
        <f>SUM(G204:G213)</f>
        <v>162240.40000000002</v>
      </c>
    </row>
    <row r="216" spans="1:7" s="92" customFormat="1" ht="24.95" customHeight="1" thickTop="1" x14ac:dyDescent="0.35">
      <c r="A216" s="88"/>
      <c r="B216" s="89"/>
      <c r="C216" s="90"/>
      <c r="D216" s="193"/>
      <c r="E216" s="91"/>
      <c r="F216" s="141"/>
      <c r="G216" s="148"/>
    </row>
    <row r="217" spans="1:7" s="92" customFormat="1" ht="24.95" customHeight="1" x14ac:dyDescent="0.35">
      <c r="A217" s="88"/>
      <c r="B217" s="89"/>
      <c r="C217" s="94" t="s">
        <v>60</v>
      </c>
      <c r="D217" s="193"/>
      <c r="E217" s="91"/>
      <c r="F217" s="141"/>
      <c r="G217" s="148"/>
    </row>
    <row r="218" spans="1:7" s="13" customFormat="1" ht="24.95" customHeight="1" x14ac:dyDescent="0.35">
      <c r="B218" s="14"/>
      <c r="C218" s="17" t="s">
        <v>172</v>
      </c>
      <c r="D218" s="11"/>
      <c r="E218" s="16"/>
      <c r="F218" s="132"/>
      <c r="G218" s="140">
        <f>G201</f>
        <v>797809.14999999991</v>
      </c>
    </row>
    <row r="219" spans="1:7" s="13" customFormat="1" ht="24.95" customHeight="1" x14ac:dyDescent="0.35">
      <c r="B219" s="14"/>
      <c r="C219" s="17" t="s">
        <v>173</v>
      </c>
      <c r="D219" s="11"/>
      <c r="E219" s="16"/>
      <c r="F219" s="132"/>
      <c r="G219" s="140">
        <f>G215</f>
        <v>162240.40000000002</v>
      </c>
    </row>
    <row r="220" spans="1:7" s="13" customFormat="1" ht="24.95" customHeight="1" x14ac:dyDescent="0.35">
      <c r="B220" s="14"/>
      <c r="C220" s="17"/>
      <c r="D220" s="11"/>
      <c r="E220" s="16"/>
      <c r="F220" s="132"/>
      <c r="G220" s="140"/>
    </row>
    <row r="221" spans="1:7" s="13" customFormat="1" ht="24.95" customHeight="1" x14ac:dyDescent="0.35">
      <c r="B221" s="14"/>
      <c r="C221" s="17"/>
      <c r="D221" s="11"/>
      <c r="E221" s="16"/>
      <c r="F221" s="132"/>
      <c r="G221" s="140"/>
    </row>
    <row r="222" spans="1:7" s="13" customFormat="1" ht="24.95" customHeight="1" x14ac:dyDescent="0.35">
      <c r="B222" s="14"/>
      <c r="C222" s="17"/>
      <c r="D222" s="11"/>
      <c r="E222" s="16"/>
      <c r="F222" s="132"/>
      <c r="G222" s="140"/>
    </row>
    <row r="223" spans="1:7" s="13" customFormat="1" ht="24.95" customHeight="1" x14ac:dyDescent="0.35">
      <c r="B223" s="14"/>
      <c r="C223" s="17"/>
      <c r="D223" s="11"/>
      <c r="E223" s="16"/>
      <c r="F223" s="132"/>
      <c r="G223" s="140"/>
    </row>
    <row r="224" spans="1:7" s="13" customFormat="1" ht="24.95" customHeight="1" x14ac:dyDescent="0.35">
      <c r="B224" s="14"/>
      <c r="C224" s="17"/>
      <c r="D224" s="11"/>
      <c r="E224" s="16"/>
      <c r="F224" s="132"/>
      <c r="G224" s="140"/>
    </row>
    <row r="225" spans="1:7" s="13" customFormat="1" ht="24.95" customHeight="1" x14ac:dyDescent="0.35">
      <c r="B225" s="14"/>
      <c r="C225" s="17"/>
      <c r="D225" s="11"/>
      <c r="E225" s="16"/>
      <c r="F225" s="132"/>
      <c r="G225" s="140"/>
    </row>
    <row r="226" spans="1:7" s="13" customFormat="1" ht="24.95" customHeight="1" x14ac:dyDescent="0.35">
      <c r="B226" s="14"/>
      <c r="C226" s="17"/>
      <c r="D226" s="11"/>
      <c r="E226" s="16"/>
      <c r="F226" s="132"/>
      <c r="G226" s="140"/>
    </row>
    <row r="227" spans="1:7" s="13" customFormat="1" ht="24.95" customHeight="1" x14ac:dyDescent="0.35">
      <c r="B227" s="14"/>
      <c r="C227" s="17"/>
      <c r="D227" s="11"/>
      <c r="E227" s="16"/>
      <c r="F227" s="132"/>
      <c r="G227" s="140"/>
    </row>
    <row r="228" spans="1:7" s="13" customFormat="1" ht="24.95" customHeight="1" x14ac:dyDescent="0.35">
      <c r="B228" s="14"/>
      <c r="C228" s="17"/>
      <c r="D228" s="11"/>
      <c r="E228" s="16"/>
      <c r="F228" s="132"/>
      <c r="G228" s="140"/>
    </row>
    <row r="229" spans="1:7" s="13" customFormat="1" ht="24.95" customHeight="1" x14ac:dyDescent="0.35">
      <c r="B229" s="14"/>
      <c r="C229" s="17"/>
      <c r="D229" s="11"/>
      <c r="E229" s="16"/>
      <c r="F229" s="132"/>
      <c r="G229" s="140"/>
    </row>
    <row r="230" spans="1:7" s="13" customFormat="1" ht="24.95" customHeight="1" x14ac:dyDescent="0.35">
      <c r="B230" s="14"/>
      <c r="C230" s="17"/>
      <c r="D230" s="11"/>
      <c r="E230" s="16"/>
      <c r="F230" s="132"/>
      <c r="G230" s="140"/>
    </row>
    <row r="231" spans="1:7" s="13" customFormat="1" ht="24.95" customHeight="1" x14ac:dyDescent="0.35">
      <c r="B231" s="14"/>
      <c r="C231" s="17"/>
      <c r="D231" s="11"/>
      <c r="E231" s="16"/>
      <c r="F231" s="132"/>
      <c r="G231" s="140"/>
    </row>
    <row r="232" spans="1:7" s="92" customFormat="1" ht="30" customHeight="1" thickBot="1" x14ac:dyDescent="0.4">
      <c r="A232" s="88"/>
      <c r="B232" s="89"/>
      <c r="C232" s="90" t="s">
        <v>55</v>
      </c>
      <c r="D232" s="193"/>
      <c r="E232" s="91"/>
      <c r="F232" s="141"/>
      <c r="G232" s="142">
        <f>SUM(G218:G231)</f>
        <v>960049.54999999993</v>
      </c>
    </row>
    <row r="233" spans="1:7" s="86" customFormat="1" ht="30" customHeight="1" thickTop="1" x14ac:dyDescent="0.35">
      <c r="A233" s="81"/>
      <c r="B233" s="82"/>
      <c r="C233" s="93" t="s">
        <v>209</v>
      </c>
      <c r="D233" s="194"/>
      <c r="E233" s="82"/>
      <c r="F233" s="143"/>
      <c r="G233" s="147"/>
    </row>
    <row r="234" spans="1:7" s="80" customFormat="1" ht="21.95" customHeight="1" x14ac:dyDescent="0.35">
      <c r="A234" s="75"/>
      <c r="B234" s="76"/>
      <c r="C234" s="10" t="e">
        <f>C173</f>
        <v>#REF!</v>
      </c>
      <c r="D234" s="94"/>
      <c r="E234" s="77"/>
      <c r="F234" s="153"/>
      <c r="G234" s="154"/>
    </row>
    <row r="235" spans="1:7" s="86" customFormat="1" ht="21.95" customHeight="1" x14ac:dyDescent="0.35">
      <c r="A235" s="81"/>
      <c r="B235" s="82"/>
      <c r="C235" s="10" t="str">
        <f>C174</f>
        <v>APARTMENTS BLOCK</v>
      </c>
      <c r="D235" s="192"/>
      <c r="E235" s="83"/>
      <c r="F235" s="155"/>
      <c r="G235" s="144"/>
    </row>
    <row r="236" spans="1:7" s="86" customFormat="1" ht="21.95" customHeight="1" x14ac:dyDescent="0.35">
      <c r="A236" s="81"/>
      <c r="B236" s="82"/>
      <c r="C236" s="87" t="s">
        <v>189</v>
      </c>
      <c r="D236" s="192"/>
      <c r="E236" s="83"/>
      <c r="F236" s="132"/>
      <c r="G236" s="144"/>
    </row>
    <row r="237" spans="1:7" s="8" customFormat="1" ht="21.95" customHeight="1" x14ac:dyDescent="0.35">
      <c r="B237" s="9"/>
      <c r="C237" s="40" t="s">
        <v>97</v>
      </c>
      <c r="D237" s="11"/>
      <c r="E237" s="12"/>
      <c r="F237" s="132"/>
      <c r="G237" s="140"/>
    </row>
    <row r="238" spans="1:7" s="13" customFormat="1" x14ac:dyDescent="0.35">
      <c r="B238" s="14"/>
      <c r="C238" s="15" t="s">
        <v>91</v>
      </c>
      <c r="D238" s="11"/>
      <c r="E238" s="16"/>
      <c r="F238" s="132"/>
      <c r="G238" s="140"/>
    </row>
    <row r="239" spans="1:7" s="13" customFormat="1" ht="35.25" customHeight="1" x14ac:dyDescent="0.35">
      <c r="B239" s="14"/>
      <c r="C239" s="68" t="s">
        <v>154</v>
      </c>
      <c r="D239" s="11"/>
      <c r="E239" s="16"/>
      <c r="F239" s="134"/>
      <c r="G239" s="133"/>
    </row>
    <row r="240" spans="1:7" s="13" customFormat="1" ht="21.95" customHeight="1" x14ac:dyDescent="0.35">
      <c r="B240" s="14" t="s">
        <v>31</v>
      </c>
      <c r="C240" s="17" t="s">
        <v>10</v>
      </c>
      <c r="D240" s="11">
        <v>23</v>
      </c>
      <c r="E240" s="16" t="s">
        <v>18</v>
      </c>
      <c r="F240" s="131">
        <v>165</v>
      </c>
      <c r="G240" s="133">
        <f>F240*D240</f>
        <v>3795</v>
      </c>
    </row>
    <row r="241" spans="2:7" s="13" customFormat="1" ht="21.95" customHeight="1" x14ac:dyDescent="0.35">
      <c r="B241" s="14" t="s">
        <v>32</v>
      </c>
      <c r="C241" s="17" t="s">
        <v>215</v>
      </c>
      <c r="D241" s="11">
        <v>50</v>
      </c>
      <c r="E241" s="16" t="s">
        <v>111</v>
      </c>
      <c r="F241" s="131">
        <v>28.874999999999996</v>
      </c>
      <c r="G241" s="133">
        <f t="shared" ref="G241:G260" si="6">F241*D241</f>
        <v>1443.7499999999998</v>
      </c>
    </row>
    <row r="242" spans="2:7" s="8" customFormat="1" ht="51" customHeight="1" x14ac:dyDescent="0.35">
      <c r="B242" s="9"/>
      <c r="C242" s="68" t="s">
        <v>0</v>
      </c>
      <c r="D242" s="11"/>
      <c r="E242" s="12"/>
      <c r="F242" s="134"/>
      <c r="G242" s="133"/>
    </row>
    <row r="243" spans="2:7" s="13" customFormat="1" x14ac:dyDescent="0.35">
      <c r="B243" s="14"/>
      <c r="C243" s="15" t="s">
        <v>179</v>
      </c>
      <c r="D243" s="11"/>
      <c r="E243" s="16"/>
      <c r="F243" s="134"/>
      <c r="G243" s="133"/>
    </row>
    <row r="244" spans="2:7" s="13" customFormat="1" ht="21.95" customHeight="1" x14ac:dyDescent="0.35">
      <c r="B244" s="14" t="s">
        <v>33</v>
      </c>
      <c r="C244" s="17" t="s">
        <v>236</v>
      </c>
      <c r="D244" s="11">
        <v>798</v>
      </c>
      <c r="E244" s="16" t="s">
        <v>1</v>
      </c>
      <c r="F244" s="134">
        <v>1.35</v>
      </c>
      <c r="G244" s="133">
        <f t="shared" si="6"/>
        <v>1077.3000000000002</v>
      </c>
    </row>
    <row r="245" spans="2:7" s="13" customFormat="1" ht="21.95" customHeight="1" x14ac:dyDescent="0.35">
      <c r="B245" s="14" t="s">
        <v>34</v>
      </c>
      <c r="C245" s="17" t="s">
        <v>4</v>
      </c>
      <c r="D245" s="11">
        <v>5276</v>
      </c>
      <c r="E245" s="16" t="s">
        <v>1</v>
      </c>
      <c r="F245" s="134">
        <v>1.35</v>
      </c>
      <c r="G245" s="133">
        <f t="shared" si="6"/>
        <v>7122.6</v>
      </c>
    </row>
    <row r="246" spans="2:7" s="13" customFormat="1" x14ac:dyDescent="0.35">
      <c r="B246" s="14"/>
      <c r="C246" s="15" t="s">
        <v>29</v>
      </c>
      <c r="D246" s="11"/>
      <c r="E246" s="16"/>
      <c r="F246" s="134"/>
      <c r="G246" s="133"/>
    </row>
    <row r="247" spans="2:7" s="13" customFormat="1" ht="21.95" customHeight="1" x14ac:dyDescent="0.35">
      <c r="B247" s="14" t="s">
        <v>35</v>
      </c>
      <c r="C247" s="17" t="s">
        <v>93</v>
      </c>
      <c r="D247" s="11">
        <f>D241</f>
        <v>50</v>
      </c>
      <c r="E247" s="16" t="s">
        <v>111</v>
      </c>
      <c r="F247" s="134">
        <v>9</v>
      </c>
      <c r="G247" s="133">
        <f t="shared" si="6"/>
        <v>450</v>
      </c>
    </row>
    <row r="248" spans="2:7" s="13" customFormat="1" ht="21.95" customHeight="1" x14ac:dyDescent="0.35">
      <c r="B248" s="14" t="s">
        <v>36</v>
      </c>
      <c r="C248" s="17" t="s">
        <v>11</v>
      </c>
      <c r="D248" s="11">
        <v>89</v>
      </c>
      <c r="E248" s="16" t="s">
        <v>111</v>
      </c>
      <c r="F248" s="134">
        <v>9</v>
      </c>
      <c r="G248" s="133">
        <f t="shared" si="6"/>
        <v>801</v>
      </c>
    </row>
    <row r="249" spans="2:7" s="13" customFormat="1" ht="36" customHeight="1" x14ac:dyDescent="0.35">
      <c r="B249" s="14" t="s">
        <v>114</v>
      </c>
      <c r="C249" s="22" t="s">
        <v>291</v>
      </c>
      <c r="D249" s="11">
        <v>59</v>
      </c>
      <c r="E249" s="16" t="s">
        <v>112</v>
      </c>
      <c r="F249" s="134">
        <v>1.75</v>
      </c>
      <c r="G249" s="133">
        <f t="shared" si="6"/>
        <v>103.25</v>
      </c>
    </row>
    <row r="250" spans="2:7" s="13" customFormat="1" ht="21.95" customHeight="1" x14ac:dyDescent="0.35">
      <c r="B250" s="14" t="s">
        <v>39</v>
      </c>
      <c r="C250" s="17" t="s">
        <v>156</v>
      </c>
      <c r="D250" s="11">
        <v>363</v>
      </c>
      <c r="E250" s="16" t="s">
        <v>112</v>
      </c>
      <c r="F250" s="134">
        <v>1.5</v>
      </c>
      <c r="G250" s="133">
        <f t="shared" si="6"/>
        <v>544.5</v>
      </c>
    </row>
    <row r="251" spans="2:7" s="13" customFormat="1" ht="21.95" customHeight="1" x14ac:dyDescent="0.35">
      <c r="B251" s="14" t="s">
        <v>40</v>
      </c>
      <c r="C251" s="17" t="s">
        <v>272</v>
      </c>
      <c r="D251" s="11">
        <v>99</v>
      </c>
      <c r="E251" s="16" t="s">
        <v>112</v>
      </c>
      <c r="F251" s="134">
        <v>1.5</v>
      </c>
      <c r="G251" s="133">
        <f t="shared" si="6"/>
        <v>148.5</v>
      </c>
    </row>
    <row r="252" spans="2:7" s="13" customFormat="1" x14ac:dyDescent="0.35">
      <c r="B252" s="14"/>
      <c r="C252" s="15" t="s">
        <v>12</v>
      </c>
      <c r="D252" s="11"/>
      <c r="E252" s="16"/>
      <c r="F252" s="134"/>
      <c r="G252" s="133"/>
    </row>
    <row r="253" spans="2:7" s="8" customFormat="1" ht="32.25" customHeight="1" x14ac:dyDescent="0.35">
      <c r="B253" s="9"/>
      <c r="C253" s="68" t="s">
        <v>13</v>
      </c>
      <c r="D253" s="11"/>
      <c r="E253" s="12"/>
      <c r="F253" s="134"/>
      <c r="G253" s="133"/>
    </row>
    <row r="254" spans="2:7" s="13" customFormat="1" ht="21.95" customHeight="1" x14ac:dyDescent="0.35">
      <c r="B254" s="14" t="s">
        <v>15</v>
      </c>
      <c r="C254" s="22" t="s">
        <v>286</v>
      </c>
      <c r="D254" s="11">
        <f>D247</f>
        <v>50</v>
      </c>
      <c r="E254" s="16" t="s">
        <v>111</v>
      </c>
      <c r="F254" s="134">
        <v>5.6</v>
      </c>
      <c r="G254" s="133">
        <f t="shared" si="6"/>
        <v>280</v>
      </c>
    </row>
    <row r="255" spans="2:7" s="13" customFormat="1" ht="21.95" customHeight="1" x14ac:dyDescent="0.35">
      <c r="B255" s="14" t="s">
        <v>16</v>
      </c>
      <c r="C255" s="22" t="s">
        <v>282</v>
      </c>
      <c r="D255" s="11">
        <v>83</v>
      </c>
      <c r="E255" s="16" t="s">
        <v>111</v>
      </c>
      <c r="F255" s="134">
        <v>5.6</v>
      </c>
      <c r="G255" s="133">
        <f t="shared" si="6"/>
        <v>464.79999999999995</v>
      </c>
    </row>
    <row r="256" spans="2:7" s="13" customFormat="1" ht="21.95" customHeight="1" x14ac:dyDescent="0.35">
      <c r="B256" s="14" t="s">
        <v>89</v>
      </c>
      <c r="C256" s="22" t="s">
        <v>281</v>
      </c>
      <c r="D256" s="11">
        <v>64</v>
      </c>
      <c r="E256" s="16" t="s">
        <v>111</v>
      </c>
      <c r="F256" s="134">
        <v>5.6</v>
      </c>
      <c r="G256" s="133">
        <f t="shared" si="6"/>
        <v>358.4</v>
      </c>
    </row>
    <row r="257" spans="2:7" s="8" customFormat="1" ht="75" x14ac:dyDescent="0.35">
      <c r="B257" s="14"/>
      <c r="C257" s="68" t="s">
        <v>323</v>
      </c>
      <c r="D257" s="11"/>
      <c r="E257" s="16"/>
      <c r="F257" s="134"/>
      <c r="G257" s="133"/>
    </row>
    <row r="258" spans="2:7" s="13" customFormat="1" ht="21.95" customHeight="1" x14ac:dyDescent="0.35">
      <c r="B258" s="14" t="s">
        <v>17</v>
      </c>
      <c r="C258" s="22" t="s">
        <v>94</v>
      </c>
      <c r="D258" s="11"/>
      <c r="E258" s="16" t="s">
        <v>111</v>
      </c>
      <c r="F258" s="134">
        <v>67.5</v>
      </c>
      <c r="G258" s="133">
        <f t="shared" si="6"/>
        <v>0</v>
      </c>
    </row>
    <row r="259" spans="2:7" s="13" customFormat="1" ht="21.95" customHeight="1" x14ac:dyDescent="0.35">
      <c r="B259" s="14" t="s">
        <v>90</v>
      </c>
      <c r="C259" s="24" t="s">
        <v>284</v>
      </c>
      <c r="D259" s="11"/>
      <c r="E259" s="16" t="s">
        <v>111</v>
      </c>
      <c r="F259" s="134">
        <f>F258</f>
        <v>67.5</v>
      </c>
      <c r="G259" s="133">
        <f t="shared" si="6"/>
        <v>0</v>
      </c>
    </row>
    <row r="260" spans="2:7" s="13" customFormat="1" ht="21.95" customHeight="1" x14ac:dyDescent="0.35">
      <c r="B260" s="14" t="s">
        <v>88</v>
      </c>
      <c r="C260" s="22" t="s">
        <v>285</v>
      </c>
      <c r="D260" s="11"/>
      <c r="E260" s="16" t="s">
        <v>111</v>
      </c>
      <c r="F260" s="134">
        <f>F259</f>
        <v>67.5</v>
      </c>
      <c r="G260" s="133">
        <f t="shared" si="6"/>
        <v>0</v>
      </c>
    </row>
    <row r="261" spans="2:7" s="13" customFormat="1" ht="21.95" customHeight="1" x14ac:dyDescent="0.35">
      <c r="B261" s="14" t="s">
        <v>34</v>
      </c>
      <c r="C261" s="24" t="s">
        <v>325</v>
      </c>
      <c r="D261" s="11"/>
      <c r="E261" s="16" t="s">
        <v>112</v>
      </c>
      <c r="F261" s="134">
        <v>16.5</v>
      </c>
      <c r="G261" s="133">
        <f>F261*D261</f>
        <v>0</v>
      </c>
    </row>
    <row r="262" spans="2:7" s="48" customFormat="1" ht="30" customHeight="1" thickBot="1" x14ac:dyDescent="0.4">
      <c r="C262" s="49" t="s">
        <v>139</v>
      </c>
      <c r="D262" s="11"/>
      <c r="E262" s="16"/>
      <c r="F262" s="134"/>
      <c r="G262" s="156">
        <f>SUM(G240:G261)</f>
        <v>16589.100000000002</v>
      </c>
    </row>
    <row r="263" spans="2:7" s="50" customFormat="1" ht="30" customHeight="1" thickTop="1" x14ac:dyDescent="0.35">
      <c r="B263" s="48"/>
      <c r="C263" s="51" t="s">
        <v>191</v>
      </c>
      <c r="D263" s="41"/>
      <c r="E263" s="14"/>
      <c r="F263" s="137"/>
      <c r="G263" s="138"/>
    </row>
    <row r="264" spans="2:7" s="13" customFormat="1" ht="48" customHeight="1" x14ac:dyDescent="0.35">
      <c r="B264" s="14"/>
      <c r="C264" s="68" t="s">
        <v>85</v>
      </c>
      <c r="D264" s="11"/>
      <c r="E264" s="16"/>
      <c r="F264" s="134"/>
      <c r="G264" s="133"/>
    </row>
    <row r="265" spans="2:7" s="13" customFormat="1" ht="21.95" customHeight="1" x14ac:dyDescent="0.35">
      <c r="B265" s="14" t="s">
        <v>31</v>
      </c>
      <c r="C265" s="17" t="s">
        <v>247</v>
      </c>
      <c r="D265" s="11">
        <f>D247</f>
        <v>50</v>
      </c>
      <c r="E265" s="16" t="s">
        <v>111</v>
      </c>
      <c r="F265" s="134">
        <v>4.5</v>
      </c>
      <c r="G265" s="133">
        <f>F265*D265</f>
        <v>225</v>
      </c>
    </row>
    <row r="266" spans="2:7" s="13" customFormat="1" ht="21.95" customHeight="1" x14ac:dyDescent="0.35">
      <c r="B266" s="14" t="s">
        <v>32</v>
      </c>
      <c r="C266" s="17" t="s">
        <v>86</v>
      </c>
      <c r="D266" s="11">
        <f>D248</f>
        <v>89</v>
      </c>
      <c r="E266" s="16" t="s">
        <v>111</v>
      </c>
      <c r="F266" s="134">
        <v>4.5</v>
      </c>
      <c r="G266" s="133">
        <f t="shared" ref="G266:G277" si="7">F266*D266</f>
        <v>400.5</v>
      </c>
    </row>
    <row r="267" spans="2:7" s="13" customFormat="1" ht="21.95" customHeight="1" x14ac:dyDescent="0.35">
      <c r="B267" s="14" t="s">
        <v>33</v>
      </c>
      <c r="C267" s="17" t="s">
        <v>157</v>
      </c>
      <c r="D267" s="11">
        <v>19</v>
      </c>
      <c r="E267" s="16" t="s">
        <v>111</v>
      </c>
      <c r="F267" s="134">
        <v>4.5</v>
      </c>
      <c r="G267" s="133">
        <f t="shared" si="7"/>
        <v>85.5</v>
      </c>
    </row>
    <row r="268" spans="2:7" s="13" customFormat="1" ht="33" customHeight="1" x14ac:dyDescent="0.35">
      <c r="B268" s="14"/>
      <c r="C268" s="68" t="s">
        <v>41</v>
      </c>
      <c r="D268" s="11"/>
      <c r="E268" s="16"/>
      <c r="F268" s="134"/>
      <c r="G268" s="133"/>
    </row>
    <row r="269" spans="2:7" s="13" customFormat="1" ht="21.95" customHeight="1" x14ac:dyDescent="0.35">
      <c r="B269" s="14" t="s">
        <v>34</v>
      </c>
      <c r="C269" s="17" t="s">
        <v>87</v>
      </c>
      <c r="D269" s="11">
        <f>D265</f>
        <v>50</v>
      </c>
      <c r="E269" s="16" t="s">
        <v>111</v>
      </c>
      <c r="F269" s="134">
        <v>4</v>
      </c>
      <c r="G269" s="133">
        <f t="shared" si="7"/>
        <v>200</v>
      </c>
    </row>
    <row r="270" spans="2:7" s="13" customFormat="1" ht="21.95" customHeight="1" x14ac:dyDescent="0.35">
      <c r="B270" s="14" t="s">
        <v>35</v>
      </c>
      <c r="C270" s="17" t="s">
        <v>86</v>
      </c>
      <c r="D270" s="11">
        <f>D266</f>
        <v>89</v>
      </c>
      <c r="E270" s="16" t="s">
        <v>111</v>
      </c>
      <c r="F270" s="134">
        <v>4</v>
      </c>
      <c r="G270" s="133">
        <f t="shared" si="7"/>
        <v>356</v>
      </c>
    </row>
    <row r="271" spans="2:7" s="13" customFormat="1" ht="21.95" customHeight="1" x14ac:dyDescent="0.35">
      <c r="B271" s="14" t="s">
        <v>36</v>
      </c>
      <c r="C271" s="17" t="s">
        <v>157</v>
      </c>
      <c r="D271" s="11">
        <f>D267</f>
        <v>19</v>
      </c>
      <c r="E271" s="16" t="s">
        <v>111</v>
      </c>
      <c r="F271" s="134">
        <v>4</v>
      </c>
      <c r="G271" s="133">
        <f t="shared" si="7"/>
        <v>76</v>
      </c>
    </row>
    <row r="272" spans="2:7" s="5" customFormat="1" ht="20.100000000000001" customHeight="1" x14ac:dyDescent="0.35">
      <c r="B272" s="26"/>
      <c r="C272" s="21" t="s">
        <v>318</v>
      </c>
      <c r="D272" s="181"/>
      <c r="E272" s="56"/>
      <c r="F272" s="182"/>
      <c r="G272" s="133"/>
    </row>
    <row r="273" spans="2:7" s="5" customFormat="1" ht="111" customHeight="1" x14ac:dyDescent="0.35">
      <c r="B273" s="6"/>
      <c r="C273" s="68" t="s">
        <v>321</v>
      </c>
      <c r="D273" s="11"/>
      <c r="E273" s="45"/>
      <c r="F273" s="134"/>
      <c r="G273" s="133"/>
    </row>
    <row r="274" spans="2:7" s="5" customFormat="1" ht="20.100000000000001" customHeight="1" x14ac:dyDescent="0.35">
      <c r="B274" s="6" t="s">
        <v>114</v>
      </c>
      <c r="C274" s="27" t="s">
        <v>287</v>
      </c>
      <c r="D274" s="11"/>
      <c r="E274" s="45" t="s">
        <v>112</v>
      </c>
      <c r="F274" s="134">
        <v>225</v>
      </c>
      <c r="G274" s="133">
        <f t="shared" si="7"/>
        <v>0</v>
      </c>
    </row>
    <row r="275" spans="2:7" s="5" customFormat="1" ht="20.100000000000001" customHeight="1" x14ac:dyDescent="0.35">
      <c r="B275" s="6" t="s">
        <v>39</v>
      </c>
      <c r="C275" s="27" t="s">
        <v>319</v>
      </c>
      <c r="D275" s="11"/>
      <c r="E275" s="45" t="s">
        <v>112</v>
      </c>
      <c r="F275" s="134">
        <f>F274</f>
        <v>225</v>
      </c>
      <c r="G275" s="133">
        <f t="shared" si="7"/>
        <v>0</v>
      </c>
    </row>
    <row r="276" spans="2:7" s="5" customFormat="1" ht="20.100000000000001" customHeight="1" x14ac:dyDescent="0.35">
      <c r="B276" s="26"/>
      <c r="C276" s="21" t="s">
        <v>188</v>
      </c>
      <c r="D276" s="181"/>
      <c r="E276" s="56"/>
      <c r="F276" s="182"/>
      <c r="G276" s="133"/>
    </row>
    <row r="277" spans="2:7" s="5" customFormat="1" ht="97.5" customHeight="1" x14ac:dyDescent="0.35">
      <c r="B277" s="6" t="s">
        <v>40</v>
      </c>
      <c r="C277" s="27" t="s">
        <v>322</v>
      </c>
      <c r="D277" s="11"/>
      <c r="E277" s="45" t="s">
        <v>112</v>
      </c>
      <c r="F277" s="134">
        <v>185</v>
      </c>
      <c r="G277" s="133">
        <f t="shared" si="7"/>
        <v>0</v>
      </c>
    </row>
    <row r="278" spans="2:7" s="5" customFormat="1" ht="120" x14ac:dyDescent="0.35">
      <c r="B278" s="6"/>
      <c r="C278" s="68" t="s">
        <v>324</v>
      </c>
      <c r="D278" s="11"/>
      <c r="E278" s="45"/>
      <c r="F278" s="134"/>
      <c r="G278" s="133"/>
    </row>
    <row r="279" spans="2:7" s="5" customFormat="1" ht="21.95" customHeight="1" x14ac:dyDescent="0.35">
      <c r="B279" s="6" t="s">
        <v>15</v>
      </c>
      <c r="C279" s="27" t="s">
        <v>202</v>
      </c>
      <c r="D279" s="11"/>
      <c r="E279" s="45" t="s">
        <v>112</v>
      </c>
      <c r="F279" s="134">
        <v>73</v>
      </c>
      <c r="G279" s="133">
        <f>F279*D279</f>
        <v>0</v>
      </c>
    </row>
    <row r="280" spans="2:7" s="5" customFormat="1" ht="24.95" customHeight="1" x14ac:dyDescent="0.35">
      <c r="B280" s="6"/>
      <c r="C280" s="27"/>
      <c r="D280" s="11"/>
      <c r="E280" s="45"/>
      <c r="F280" s="134"/>
      <c r="G280" s="133"/>
    </row>
    <row r="281" spans="2:7" s="5" customFormat="1" ht="24.95" customHeight="1" x14ac:dyDescent="0.35">
      <c r="B281" s="6"/>
      <c r="C281" s="27"/>
      <c r="D281" s="11"/>
      <c r="E281" s="45"/>
      <c r="F281" s="134"/>
      <c r="G281" s="133"/>
    </row>
    <row r="282" spans="2:7" s="48" customFormat="1" ht="30" customHeight="1" thickBot="1" x14ac:dyDescent="0.4">
      <c r="C282" s="49" t="s">
        <v>139</v>
      </c>
      <c r="D282" s="11"/>
      <c r="E282" s="16"/>
      <c r="F282" s="134"/>
      <c r="G282" s="156">
        <f>SUM(G265:G281)</f>
        <v>1343</v>
      </c>
    </row>
    <row r="283" spans="2:7" s="50" customFormat="1" ht="30" customHeight="1" thickTop="1" x14ac:dyDescent="0.35">
      <c r="B283" s="48"/>
      <c r="C283" s="51" t="s">
        <v>222</v>
      </c>
      <c r="D283" s="41"/>
      <c r="E283" s="14"/>
      <c r="F283" s="137"/>
      <c r="G283" s="138"/>
    </row>
    <row r="284" spans="2:7" s="5" customFormat="1" ht="21.95" customHeight="1" x14ac:dyDescent="0.35">
      <c r="B284" s="26"/>
      <c r="C284" s="21" t="s">
        <v>320</v>
      </c>
      <c r="D284" s="11"/>
      <c r="E284" s="56"/>
      <c r="F284" s="134"/>
      <c r="G284" s="133"/>
    </row>
    <row r="285" spans="2:7" s="5" customFormat="1" ht="60" x14ac:dyDescent="0.35">
      <c r="B285" s="6"/>
      <c r="C285" s="68" t="s">
        <v>326</v>
      </c>
      <c r="D285" s="11"/>
      <c r="E285" s="45"/>
      <c r="F285" s="134"/>
      <c r="G285" s="133"/>
    </row>
    <row r="286" spans="2:7" s="5" customFormat="1" ht="21.95" customHeight="1" x14ac:dyDescent="0.35">
      <c r="B286" s="6" t="s">
        <v>31</v>
      </c>
      <c r="C286" s="27" t="s">
        <v>288</v>
      </c>
      <c r="D286" s="11">
        <f>D279</f>
        <v>0</v>
      </c>
      <c r="E286" s="45" t="s">
        <v>112</v>
      </c>
      <c r="F286" s="134">
        <v>25</v>
      </c>
      <c r="G286" s="133">
        <f>F286*D286</f>
        <v>0</v>
      </c>
    </row>
    <row r="287" spans="2:7" s="5" customFormat="1" ht="129" customHeight="1" x14ac:dyDescent="0.35">
      <c r="B287" s="6"/>
      <c r="C287" s="68" t="s">
        <v>328</v>
      </c>
      <c r="D287" s="11"/>
      <c r="E287" s="45"/>
      <c r="F287" s="134"/>
      <c r="G287" s="133"/>
    </row>
    <row r="288" spans="2:7" s="5" customFormat="1" ht="21.95" customHeight="1" x14ac:dyDescent="0.35">
      <c r="B288" s="6" t="s">
        <v>32</v>
      </c>
      <c r="C288" s="27" t="s">
        <v>287</v>
      </c>
      <c r="D288" s="11">
        <v>116</v>
      </c>
      <c r="E288" s="45" t="s">
        <v>112</v>
      </c>
      <c r="F288" s="134">
        <v>48</v>
      </c>
      <c r="G288" s="133">
        <f t="shared" ref="G288" si="8">F288*D288</f>
        <v>5568</v>
      </c>
    </row>
    <row r="289" spans="1:7" s="48" customFormat="1" ht="24.95" customHeight="1" thickBot="1" x14ac:dyDescent="0.4">
      <c r="C289" s="49" t="s">
        <v>139</v>
      </c>
      <c r="D289" s="11"/>
      <c r="E289" s="16"/>
      <c r="F289" s="134"/>
      <c r="G289" s="156">
        <f>SUM(G286:G288)</f>
        <v>5568</v>
      </c>
    </row>
    <row r="290" spans="1:7" s="13" customFormat="1" ht="24.95" customHeight="1" thickTop="1" x14ac:dyDescent="0.35">
      <c r="B290" s="14"/>
      <c r="C290" s="17"/>
      <c r="D290" s="11"/>
      <c r="E290" s="16"/>
      <c r="F290" s="132"/>
      <c r="G290" s="140"/>
    </row>
    <row r="291" spans="1:7" s="13" customFormat="1" ht="24.95" customHeight="1" x14ac:dyDescent="0.35">
      <c r="B291" s="14"/>
      <c r="C291" s="17"/>
      <c r="D291" s="11"/>
      <c r="E291" s="16"/>
      <c r="F291" s="132"/>
      <c r="G291" s="140"/>
    </row>
    <row r="292" spans="1:7" s="48" customFormat="1" ht="24.95" customHeight="1" x14ac:dyDescent="0.35">
      <c r="C292" s="49"/>
      <c r="D292" s="11"/>
      <c r="E292" s="16"/>
      <c r="F292" s="134"/>
      <c r="G292" s="157"/>
    </row>
    <row r="293" spans="1:7" s="92" customFormat="1" ht="24.95" customHeight="1" x14ac:dyDescent="0.35">
      <c r="A293" s="88"/>
      <c r="B293" s="89"/>
      <c r="C293" s="94" t="s">
        <v>60</v>
      </c>
      <c r="D293" s="193"/>
      <c r="E293" s="91"/>
      <c r="F293" s="141"/>
      <c r="G293" s="148"/>
    </row>
    <row r="294" spans="1:7" s="13" customFormat="1" ht="24.95" customHeight="1" x14ac:dyDescent="0.35">
      <c r="B294" s="14"/>
      <c r="C294" s="17" t="s">
        <v>220</v>
      </c>
      <c r="D294" s="11"/>
      <c r="E294" s="16"/>
      <c r="F294" s="132"/>
      <c r="G294" s="140">
        <f>G262</f>
        <v>16589.100000000002</v>
      </c>
    </row>
    <row r="295" spans="1:7" s="13" customFormat="1" ht="24.95" customHeight="1" x14ac:dyDescent="0.35">
      <c r="B295" s="14"/>
      <c r="C295" s="17" t="s">
        <v>221</v>
      </c>
      <c r="D295" s="11"/>
      <c r="E295" s="16"/>
      <c r="F295" s="132"/>
      <c r="G295" s="140">
        <f>G282</f>
        <v>1343</v>
      </c>
    </row>
    <row r="296" spans="1:7" s="13" customFormat="1" ht="24.95" customHeight="1" x14ac:dyDescent="0.35">
      <c r="B296" s="14"/>
      <c r="C296" s="17" t="s">
        <v>327</v>
      </c>
      <c r="D296" s="11"/>
      <c r="E296" s="16"/>
      <c r="F296" s="132"/>
      <c r="G296" s="140">
        <f>G289</f>
        <v>5568</v>
      </c>
    </row>
    <row r="297" spans="1:7" s="13" customFormat="1" ht="24.95" customHeight="1" x14ac:dyDescent="0.35">
      <c r="B297" s="14"/>
      <c r="C297" s="17"/>
      <c r="D297" s="11"/>
      <c r="E297" s="16"/>
      <c r="F297" s="132"/>
      <c r="G297" s="140"/>
    </row>
    <row r="298" spans="1:7" s="13" customFormat="1" ht="24.95" customHeight="1" x14ac:dyDescent="0.35">
      <c r="B298" s="14"/>
      <c r="C298" s="17"/>
      <c r="D298" s="11"/>
      <c r="E298" s="16"/>
      <c r="F298" s="132"/>
      <c r="G298" s="140"/>
    </row>
    <row r="299" spans="1:7" s="13" customFormat="1" ht="24.95" customHeight="1" x14ac:dyDescent="0.35">
      <c r="B299" s="14"/>
      <c r="C299" s="17"/>
      <c r="D299" s="11"/>
      <c r="E299" s="16"/>
      <c r="F299" s="132"/>
      <c r="G299" s="140"/>
    </row>
    <row r="300" spans="1:7" s="13" customFormat="1" ht="24.95" customHeight="1" x14ac:dyDescent="0.35">
      <c r="B300" s="14"/>
      <c r="C300" s="17"/>
      <c r="D300" s="11"/>
      <c r="E300" s="16"/>
      <c r="F300" s="132"/>
      <c r="G300" s="140"/>
    </row>
    <row r="301" spans="1:7" s="13" customFormat="1" ht="24.95" customHeight="1" x14ac:dyDescent="0.35">
      <c r="B301" s="14"/>
      <c r="C301" s="17"/>
      <c r="D301" s="11"/>
      <c r="E301" s="16"/>
      <c r="F301" s="132"/>
      <c r="G301" s="140"/>
    </row>
    <row r="302" spans="1:7" s="13" customFormat="1" ht="24.95" customHeight="1" x14ac:dyDescent="0.35">
      <c r="B302" s="14"/>
      <c r="C302" s="17"/>
      <c r="D302" s="11"/>
      <c r="E302" s="16"/>
      <c r="F302" s="132"/>
      <c r="G302" s="140"/>
    </row>
    <row r="303" spans="1:7" s="13" customFormat="1" ht="24.95" customHeight="1" x14ac:dyDescent="0.35">
      <c r="B303" s="14"/>
      <c r="C303" s="17"/>
      <c r="D303" s="11"/>
      <c r="E303" s="16"/>
      <c r="F303" s="132"/>
      <c r="G303" s="140"/>
    </row>
    <row r="304" spans="1:7" s="13" customFormat="1" ht="24.95" customHeight="1" x14ac:dyDescent="0.35">
      <c r="B304" s="14"/>
      <c r="C304" s="17"/>
      <c r="D304" s="11"/>
      <c r="E304" s="16"/>
      <c r="F304" s="132"/>
      <c r="G304" s="140"/>
    </row>
    <row r="305" spans="1:8" s="13" customFormat="1" ht="24.95" customHeight="1" x14ac:dyDescent="0.35">
      <c r="B305" s="14"/>
      <c r="C305" s="17"/>
      <c r="D305" s="11"/>
      <c r="E305" s="16"/>
      <c r="F305" s="132"/>
      <c r="G305" s="140"/>
    </row>
    <row r="306" spans="1:8" s="13" customFormat="1" ht="24.95" customHeight="1" x14ac:dyDescent="0.35">
      <c r="B306" s="14"/>
      <c r="C306" s="17"/>
      <c r="D306" s="11"/>
      <c r="E306" s="16"/>
      <c r="F306" s="132"/>
      <c r="G306" s="140"/>
    </row>
    <row r="307" spans="1:8" s="92" customFormat="1" ht="30" customHeight="1" thickBot="1" x14ac:dyDescent="0.4">
      <c r="A307" s="88"/>
      <c r="B307" s="89"/>
      <c r="C307" s="90" t="s">
        <v>55</v>
      </c>
      <c r="D307" s="193"/>
      <c r="E307" s="91"/>
      <c r="F307" s="141"/>
      <c r="G307" s="142">
        <f>SUM(G294:G296)</f>
        <v>23500.100000000002</v>
      </c>
    </row>
    <row r="308" spans="1:8" s="86" customFormat="1" ht="30" customHeight="1" thickTop="1" x14ac:dyDescent="0.35">
      <c r="A308" s="81"/>
      <c r="B308" s="82"/>
      <c r="C308" s="93" t="s">
        <v>329</v>
      </c>
      <c r="D308" s="194"/>
      <c r="E308" s="82"/>
      <c r="F308" s="143"/>
      <c r="G308" s="144"/>
    </row>
    <row r="309" spans="1:8" s="13" customFormat="1" ht="21.95" customHeight="1" x14ac:dyDescent="0.35">
      <c r="B309" s="9"/>
      <c r="C309" s="10" t="e">
        <f>+C3</f>
        <v>#REF!</v>
      </c>
      <c r="D309" s="11"/>
      <c r="E309" s="16"/>
      <c r="F309" s="145"/>
      <c r="G309" s="158"/>
      <c r="H309" s="117"/>
    </row>
    <row r="310" spans="1:8" s="13" customFormat="1" ht="21.95" customHeight="1" x14ac:dyDescent="0.35">
      <c r="B310" s="9"/>
      <c r="C310" s="10" t="str">
        <f>+C4</f>
        <v>APARTMENTS BLOCK</v>
      </c>
      <c r="D310" s="11"/>
      <c r="E310" s="16"/>
      <c r="F310" s="145"/>
      <c r="G310" s="158"/>
      <c r="H310" s="117"/>
    </row>
    <row r="311" spans="1:8" s="13" customFormat="1" ht="21.95" customHeight="1" x14ac:dyDescent="0.35">
      <c r="B311" s="9"/>
      <c r="C311" s="10" t="s">
        <v>174</v>
      </c>
      <c r="D311" s="11"/>
      <c r="E311" s="16"/>
      <c r="F311" s="145"/>
      <c r="G311" s="158"/>
      <c r="H311" s="117"/>
    </row>
    <row r="312" spans="1:8" s="13" customFormat="1" ht="21.95" customHeight="1" x14ac:dyDescent="0.35">
      <c r="B312" s="9"/>
      <c r="C312" s="10" t="s">
        <v>226</v>
      </c>
      <c r="D312" s="11"/>
      <c r="E312" s="16"/>
      <c r="F312" s="145"/>
      <c r="G312" s="158"/>
      <c r="H312" s="117"/>
    </row>
    <row r="313" spans="1:8" s="13" customFormat="1" ht="33.75" customHeight="1" x14ac:dyDescent="0.35">
      <c r="B313" s="14"/>
      <c r="C313" s="68" t="s">
        <v>100</v>
      </c>
      <c r="D313" s="11"/>
      <c r="E313" s="16"/>
      <c r="F313" s="145"/>
      <c r="G313" s="158"/>
      <c r="H313" s="117"/>
    </row>
    <row r="314" spans="1:8" s="13" customFormat="1" ht="35.25" customHeight="1" x14ac:dyDescent="0.35">
      <c r="B314" s="14" t="s">
        <v>31</v>
      </c>
      <c r="C314" s="27" t="s">
        <v>101</v>
      </c>
      <c r="D314" s="11">
        <v>1</v>
      </c>
      <c r="E314" s="16" t="s">
        <v>37</v>
      </c>
      <c r="F314" s="145" t="s">
        <v>246</v>
      </c>
      <c r="G314" s="130"/>
      <c r="H314" s="117"/>
    </row>
    <row r="315" spans="1:8" s="13" customFormat="1" ht="33" customHeight="1" x14ac:dyDescent="0.35">
      <c r="B315" s="14" t="s">
        <v>32</v>
      </c>
      <c r="C315" s="27" t="s">
        <v>102</v>
      </c>
      <c r="D315" s="11">
        <v>1</v>
      </c>
      <c r="E315" s="16" t="s">
        <v>37</v>
      </c>
      <c r="F315" s="145" t="s">
        <v>246</v>
      </c>
      <c r="G315" s="130"/>
      <c r="H315" s="117"/>
    </row>
    <row r="316" spans="1:8" s="13" customFormat="1" ht="33.75" customHeight="1" x14ac:dyDescent="0.35">
      <c r="B316" s="14" t="s">
        <v>33</v>
      </c>
      <c r="C316" s="27" t="s">
        <v>227</v>
      </c>
      <c r="D316" s="11">
        <v>38</v>
      </c>
      <c r="E316" s="16" t="s">
        <v>18</v>
      </c>
      <c r="F316" s="145">
        <v>1.65</v>
      </c>
      <c r="G316" s="130">
        <f>F316*D316</f>
        <v>62.699999999999996</v>
      </c>
      <c r="H316" s="117"/>
    </row>
    <row r="317" spans="1:8" s="13" customFormat="1" ht="21.95" customHeight="1" x14ac:dyDescent="0.35">
      <c r="B317" s="14" t="s">
        <v>34</v>
      </c>
      <c r="C317" s="118" t="s">
        <v>228</v>
      </c>
      <c r="D317" s="11">
        <v>14</v>
      </c>
      <c r="E317" s="16" t="s">
        <v>18</v>
      </c>
      <c r="F317" s="145">
        <v>2.0499999999999998</v>
      </c>
      <c r="G317" s="130">
        <f t="shared" ref="G317:G333" si="9">F317*D317</f>
        <v>28.699999999999996</v>
      </c>
      <c r="H317" s="117"/>
    </row>
    <row r="318" spans="1:8" s="13" customFormat="1" ht="21.95" customHeight="1" x14ac:dyDescent="0.35">
      <c r="B318" s="14" t="s">
        <v>35</v>
      </c>
      <c r="C318" s="17" t="s">
        <v>104</v>
      </c>
      <c r="D318" s="11">
        <v>5</v>
      </c>
      <c r="E318" s="16" t="s">
        <v>18</v>
      </c>
      <c r="F318" s="145">
        <v>6.85</v>
      </c>
      <c r="G318" s="130">
        <f t="shared" si="9"/>
        <v>34.25</v>
      </c>
      <c r="H318" s="117"/>
    </row>
    <row r="319" spans="1:8" s="13" customFormat="1" ht="33.75" customHeight="1" x14ac:dyDescent="0.35">
      <c r="B319" s="14" t="s">
        <v>36</v>
      </c>
      <c r="C319" s="27" t="s">
        <v>105</v>
      </c>
      <c r="D319" s="11">
        <v>33</v>
      </c>
      <c r="E319" s="16" t="s">
        <v>18</v>
      </c>
      <c r="F319" s="145">
        <v>2.2000000000000002</v>
      </c>
      <c r="G319" s="130">
        <f t="shared" si="9"/>
        <v>72.600000000000009</v>
      </c>
      <c r="H319" s="117"/>
    </row>
    <row r="320" spans="1:8" s="13" customFormat="1" ht="21.95" customHeight="1" x14ac:dyDescent="0.35">
      <c r="B320" s="14" t="s">
        <v>114</v>
      </c>
      <c r="C320" s="17" t="s">
        <v>106</v>
      </c>
      <c r="D320" s="11">
        <v>19</v>
      </c>
      <c r="E320" s="16" t="s">
        <v>18</v>
      </c>
      <c r="F320" s="145">
        <v>3.3</v>
      </c>
      <c r="G320" s="130">
        <f t="shared" si="9"/>
        <v>62.699999999999996</v>
      </c>
      <c r="H320" s="117"/>
    </row>
    <row r="321" spans="2:8" s="13" customFormat="1" ht="21.95" customHeight="1" x14ac:dyDescent="0.35">
      <c r="B321" s="14" t="s">
        <v>39</v>
      </c>
      <c r="C321" s="27" t="s">
        <v>229</v>
      </c>
      <c r="D321" s="11">
        <v>25</v>
      </c>
      <c r="E321" s="16" t="s">
        <v>111</v>
      </c>
      <c r="F321" s="145">
        <v>1.37</v>
      </c>
      <c r="G321" s="130">
        <f t="shared" si="9"/>
        <v>34.25</v>
      </c>
      <c r="H321" s="117"/>
    </row>
    <row r="322" spans="2:8" s="13" customFormat="1" ht="21.95" customHeight="1" x14ac:dyDescent="0.35">
      <c r="B322" s="14"/>
      <c r="C322" s="15" t="s">
        <v>91</v>
      </c>
      <c r="D322" s="11"/>
      <c r="E322" s="16"/>
      <c r="F322" s="145"/>
      <c r="G322" s="130"/>
      <c r="H322" s="117"/>
    </row>
    <row r="323" spans="2:8" s="13" customFormat="1" ht="36" customHeight="1" x14ac:dyDescent="0.35">
      <c r="B323" s="14"/>
      <c r="C323" s="68" t="s">
        <v>230</v>
      </c>
      <c r="D323" s="11"/>
      <c r="E323" s="16"/>
      <c r="F323" s="145"/>
      <c r="G323" s="130"/>
      <c r="H323" s="117"/>
    </row>
    <row r="324" spans="2:8" s="13" customFormat="1" ht="21.95" customHeight="1" x14ac:dyDescent="0.35">
      <c r="B324" s="14" t="s">
        <v>40</v>
      </c>
      <c r="C324" s="17" t="s">
        <v>231</v>
      </c>
      <c r="D324" s="11">
        <v>25</v>
      </c>
      <c r="E324" s="16" t="s">
        <v>111</v>
      </c>
      <c r="F324" s="145">
        <v>7.25</v>
      </c>
      <c r="G324" s="130">
        <f t="shared" si="9"/>
        <v>181.25</v>
      </c>
      <c r="H324" s="117"/>
    </row>
    <row r="325" spans="2:8" s="13" customFormat="1" ht="33.75" customHeight="1" x14ac:dyDescent="0.35">
      <c r="B325" s="14"/>
      <c r="C325" s="68" t="s">
        <v>154</v>
      </c>
      <c r="D325" s="11"/>
      <c r="E325" s="16"/>
      <c r="F325" s="145"/>
      <c r="G325" s="130"/>
      <c r="H325" s="117"/>
    </row>
    <row r="326" spans="2:8" s="13" customFormat="1" ht="21.95" customHeight="1" x14ac:dyDescent="0.35">
      <c r="B326" s="14" t="s">
        <v>15</v>
      </c>
      <c r="C326" s="17" t="s">
        <v>232</v>
      </c>
      <c r="D326" s="11">
        <v>13</v>
      </c>
      <c r="E326" s="16" t="s">
        <v>18</v>
      </c>
      <c r="F326" s="131">
        <v>165</v>
      </c>
      <c r="G326" s="130">
        <f t="shared" si="9"/>
        <v>2145</v>
      </c>
      <c r="H326" s="117"/>
    </row>
    <row r="327" spans="2:8" s="13" customFormat="1" ht="21.95" customHeight="1" x14ac:dyDescent="0.35">
      <c r="B327" s="14" t="s">
        <v>16</v>
      </c>
      <c r="C327" s="17" t="s">
        <v>233</v>
      </c>
      <c r="D327" s="11">
        <v>26</v>
      </c>
      <c r="E327" s="16" t="s">
        <v>111</v>
      </c>
      <c r="F327" s="145">
        <v>33</v>
      </c>
      <c r="G327" s="130">
        <f t="shared" si="9"/>
        <v>858</v>
      </c>
      <c r="H327" s="117"/>
    </row>
    <row r="328" spans="2:8" s="13" customFormat="1" ht="21.95" customHeight="1" x14ac:dyDescent="0.35">
      <c r="B328" s="14" t="s">
        <v>89</v>
      </c>
      <c r="C328" s="17" t="s">
        <v>234</v>
      </c>
      <c r="D328" s="11">
        <v>615</v>
      </c>
      <c r="E328" s="16" t="s">
        <v>111</v>
      </c>
      <c r="F328" s="145">
        <v>33</v>
      </c>
      <c r="G328" s="130">
        <f t="shared" si="9"/>
        <v>20295</v>
      </c>
      <c r="H328" s="117"/>
    </row>
    <row r="329" spans="2:8" s="13" customFormat="1" ht="50.25" customHeight="1" x14ac:dyDescent="0.35">
      <c r="B329" s="9"/>
      <c r="C329" s="68" t="s">
        <v>0</v>
      </c>
      <c r="D329" s="11"/>
      <c r="E329" s="12"/>
      <c r="F329" s="145"/>
      <c r="G329" s="130"/>
      <c r="H329" s="117"/>
    </row>
    <row r="330" spans="2:8" s="13" customFormat="1" ht="21.95" customHeight="1" x14ac:dyDescent="0.35">
      <c r="B330" s="14"/>
      <c r="C330" s="15" t="s">
        <v>235</v>
      </c>
      <c r="D330" s="11"/>
      <c r="E330" s="16"/>
      <c r="F330" s="145"/>
      <c r="G330" s="130"/>
      <c r="H330" s="117"/>
    </row>
    <row r="331" spans="2:8" s="13" customFormat="1" ht="21.95" customHeight="1" x14ac:dyDescent="0.35">
      <c r="B331" s="14" t="s">
        <v>17</v>
      </c>
      <c r="C331" s="17" t="s">
        <v>236</v>
      </c>
      <c r="D331" s="11">
        <v>3456</v>
      </c>
      <c r="E331" s="16" t="s">
        <v>1</v>
      </c>
      <c r="F331" s="145">
        <v>1.35</v>
      </c>
      <c r="G331" s="130">
        <f t="shared" si="9"/>
        <v>4665.6000000000004</v>
      </c>
      <c r="H331" s="117"/>
    </row>
    <row r="332" spans="2:8" s="13" customFormat="1" ht="21.95" customHeight="1" x14ac:dyDescent="0.35">
      <c r="B332" s="14" t="s">
        <v>90</v>
      </c>
      <c r="C332" s="17" t="s">
        <v>4</v>
      </c>
      <c r="D332" s="11">
        <v>4631</v>
      </c>
      <c r="E332" s="16" t="s">
        <v>1</v>
      </c>
      <c r="F332" s="145">
        <v>1.35</v>
      </c>
      <c r="G332" s="130">
        <f t="shared" si="9"/>
        <v>6251.85</v>
      </c>
      <c r="H332" s="117"/>
    </row>
    <row r="333" spans="2:8" s="13" customFormat="1" ht="21.95" customHeight="1" x14ac:dyDescent="0.35">
      <c r="B333" s="14" t="s">
        <v>88</v>
      </c>
      <c r="C333" s="17" t="s">
        <v>5</v>
      </c>
      <c r="D333" s="11">
        <v>5673</v>
      </c>
      <c r="E333" s="16" t="s">
        <v>1</v>
      </c>
      <c r="F333" s="145">
        <v>1.35</v>
      </c>
      <c r="G333" s="130">
        <f t="shared" si="9"/>
        <v>7658.55</v>
      </c>
      <c r="H333" s="117"/>
    </row>
    <row r="334" spans="2:8" s="13" customFormat="1" ht="24.95" customHeight="1" x14ac:dyDescent="0.35">
      <c r="B334" s="14"/>
      <c r="C334" s="17"/>
      <c r="D334" s="11"/>
      <c r="E334" s="16"/>
      <c r="F334" s="145"/>
      <c r="G334" s="130"/>
      <c r="H334" s="117"/>
    </row>
    <row r="335" spans="2:8" s="13" customFormat="1" ht="24.95" customHeight="1" x14ac:dyDescent="0.35">
      <c r="B335" s="14"/>
      <c r="C335" s="17"/>
      <c r="D335" s="11"/>
      <c r="E335" s="16"/>
      <c r="F335" s="145"/>
      <c r="G335" s="130"/>
      <c r="H335" s="117"/>
    </row>
    <row r="336" spans="2:8" s="13" customFormat="1" ht="30" customHeight="1" thickBot="1" x14ac:dyDescent="0.4">
      <c r="B336" s="48"/>
      <c r="C336" s="49" t="s">
        <v>139</v>
      </c>
      <c r="D336" s="11"/>
      <c r="E336" s="16"/>
      <c r="F336" s="145"/>
      <c r="G336" s="159">
        <f>SUM(G316:G335)</f>
        <v>42350.450000000004</v>
      </c>
      <c r="H336" s="117"/>
    </row>
    <row r="337" spans="2:8" s="81" customFormat="1" ht="30" customHeight="1" thickTop="1" x14ac:dyDescent="0.35">
      <c r="B337" s="82"/>
      <c r="C337" s="93" t="s">
        <v>190</v>
      </c>
      <c r="D337" s="194"/>
      <c r="E337" s="82"/>
      <c r="F337" s="143"/>
      <c r="G337" s="144"/>
    </row>
    <row r="338" spans="2:8" s="13" customFormat="1" ht="21.95" customHeight="1" x14ac:dyDescent="0.35">
      <c r="B338" s="14"/>
      <c r="C338" s="15" t="s">
        <v>142</v>
      </c>
      <c r="D338" s="11"/>
      <c r="E338" s="16"/>
      <c r="F338" s="145"/>
      <c r="G338" s="130"/>
      <c r="H338" s="117"/>
    </row>
    <row r="339" spans="2:8" s="13" customFormat="1" ht="21.95" customHeight="1" x14ac:dyDescent="0.35">
      <c r="B339" s="14" t="s">
        <v>31</v>
      </c>
      <c r="C339" s="17" t="s">
        <v>237</v>
      </c>
      <c r="D339" s="11">
        <f>'[8]Lift Shaft'!$L$17</f>
        <v>10.5</v>
      </c>
      <c r="E339" s="16" t="s">
        <v>111</v>
      </c>
      <c r="F339" s="145">
        <v>9</v>
      </c>
      <c r="G339" s="130">
        <f t="shared" ref="G339:G350" si="10">F339*D339</f>
        <v>94.5</v>
      </c>
      <c r="H339" s="117"/>
    </row>
    <row r="340" spans="2:8" s="13" customFormat="1" ht="21.95" customHeight="1" x14ac:dyDescent="0.35">
      <c r="B340" s="14" t="s">
        <v>32</v>
      </c>
      <c r="C340" s="17" t="s">
        <v>238</v>
      </c>
      <c r="D340" s="11">
        <v>1282</v>
      </c>
      <c r="E340" s="16" t="s">
        <v>111</v>
      </c>
      <c r="F340" s="145">
        <v>9</v>
      </c>
      <c r="G340" s="130">
        <f t="shared" si="10"/>
        <v>11538</v>
      </c>
      <c r="H340" s="117"/>
    </row>
    <row r="341" spans="2:8" s="13" customFormat="1" ht="21.95" customHeight="1" x14ac:dyDescent="0.35">
      <c r="B341" s="14" t="s">
        <v>33</v>
      </c>
      <c r="C341" s="17" t="s">
        <v>205</v>
      </c>
      <c r="D341" s="11">
        <f>D328+D327</f>
        <v>641</v>
      </c>
      <c r="E341" s="16" t="s">
        <v>111</v>
      </c>
      <c r="F341" s="145">
        <v>9</v>
      </c>
      <c r="G341" s="130">
        <f t="shared" si="10"/>
        <v>5769</v>
      </c>
      <c r="H341" s="117"/>
    </row>
    <row r="342" spans="2:8" s="13" customFormat="1" ht="21.95" customHeight="1" x14ac:dyDescent="0.35">
      <c r="B342" s="14" t="s">
        <v>34</v>
      </c>
      <c r="C342" s="17" t="s">
        <v>239</v>
      </c>
      <c r="D342" s="11">
        <v>108</v>
      </c>
      <c r="E342" s="16" t="s">
        <v>112</v>
      </c>
      <c r="F342" s="145">
        <v>2</v>
      </c>
      <c r="G342" s="130">
        <f t="shared" si="10"/>
        <v>216</v>
      </c>
      <c r="H342" s="117"/>
    </row>
    <row r="343" spans="2:8" s="13" customFormat="1" ht="21.95" customHeight="1" x14ac:dyDescent="0.35">
      <c r="B343" s="9"/>
      <c r="C343" s="114" t="s">
        <v>23</v>
      </c>
      <c r="D343" s="11"/>
      <c r="E343" s="12"/>
      <c r="F343" s="134"/>
      <c r="G343" s="130"/>
      <c r="H343" s="117"/>
    </row>
    <row r="344" spans="2:8" s="13" customFormat="1" ht="50.25" customHeight="1" x14ac:dyDescent="0.35">
      <c r="B344" s="9"/>
      <c r="C344" s="113" t="s">
        <v>264</v>
      </c>
      <c r="D344" s="11"/>
      <c r="E344" s="12"/>
      <c r="F344" s="134"/>
      <c r="G344" s="130"/>
      <c r="H344" s="117"/>
    </row>
    <row r="345" spans="2:8" s="13" customFormat="1" ht="21.95" customHeight="1" x14ac:dyDescent="0.35">
      <c r="B345" s="9" t="s">
        <v>35</v>
      </c>
      <c r="C345" s="44" t="s">
        <v>24</v>
      </c>
      <c r="D345" s="11"/>
      <c r="E345" s="12" t="s">
        <v>111</v>
      </c>
      <c r="F345" s="160">
        <v>16.5</v>
      </c>
      <c r="G345" s="130">
        <f t="shared" si="10"/>
        <v>0</v>
      </c>
      <c r="H345" s="117"/>
    </row>
    <row r="346" spans="2:8" s="13" customFormat="1" ht="48.75" customHeight="1" x14ac:dyDescent="0.35">
      <c r="B346" s="82"/>
      <c r="C346" s="68" t="s">
        <v>240</v>
      </c>
      <c r="D346" s="11"/>
      <c r="E346" s="83"/>
      <c r="F346" s="134"/>
      <c r="G346" s="130"/>
      <c r="H346" s="117"/>
    </row>
    <row r="347" spans="2:8" s="13" customFormat="1" ht="21.95" customHeight="1" x14ac:dyDescent="0.35">
      <c r="B347" s="82" t="s">
        <v>36</v>
      </c>
      <c r="C347" s="100" t="s">
        <v>248</v>
      </c>
      <c r="D347" s="11">
        <f>D328</f>
        <v>615</v>
      </c>
      <c r="E347" s="83" t="s">
        <v>111</v>
      </c>
      <c r="F347" s="134">
        <v>4.5</v>
      </c>
      <c r="G347" s="130">
        <f t="shared" si="10"/>
        <v>2767.5</v>
      </c>
      <c r="H347" s="117"/>
    </row>
    <row r="348" spans="2:8" s="13" customFormat="1" ht="21.95" customHeight="1" x14ac:dyDescent="0.35">
      <c r="B348" s="14"/>
      <c r="C348" s="15" t="s">
        <v>43</v>
      </c>
      <c r="D348" s="11"/>
      <c r="E348" s="16"/>
      <c r="F348" s="145"/>
      <c r="G348" s="130"/>
      <c r="H348" s="117"/>
    </row>
    <row r="349" spans="2:8" s="13" customFormat="1" ht="60" x14ac:dyDescent="0.35">
      <c r="B349" s="14"/>
      <c r="C349" s="68" t="s">
        <v>391</v>
      </c>
      <c r="D349" s="11"/>
      <c r="E349" s="16"/>
      <c r="F349" s="134"/>
      <c r="G349" s="130"/>
      <c r="H349" s="117"/>
    </row>
    <row r="350" spans="2:8" s="13" customFormat="1" ht="21.95" customHeight="1" x14ac:dyDescent="0.35">
      <c r="B350" s="14" t="s">
        <v>114</v>
      </c>
      <c r="C350" s="17" t="s">
        <v>219</v>
      </c>
      <c r="D350" s="11">
        <f>D347</f>
        <v>615</v>
      </c>
      <c r="E350" s="16" t="s">
        <v>111</v>
      </c>
      <c r="F350" s="134">
        <v>6</v>
      </c>
      <c r="G350" s="130">
        <f t="shared" si="10"/>
        <v>3690</v>
      </c>
      <c r="H350" s="117"/>
    </row>
    <row r="351" spans="2:8" s="13" customFormat="1" ht="24.95" customHeight="1" thickBot="1" x14ac:dyDescent="0.4">
      <c r="B351" s="48"/>
      <c r="C351" s="49" t="s">
        <v>139</v>
      </c>
      <c r="D351" s="11"/>
      <c r="E351" s="16"/>
      <c r="F351" s="145"/>
      <c r="G351" s="159">
        <f>SUM(G339:G350)</f>
        <v>24075</v>
      </c>
      <c r="H351" s="117"/>
    </row>
    <row r="352" spans="2:8" s="13" customFormat="1" ht="24.95" customHeight="1" thickTop="1" x14ac:dyDescent="0.35">
      <c r="B352" s="14"/>
      <c r="C352" s="55" t="s">
        <v>60</v>
      </c>
      <c r="D352" s="11"/>
      <c r="E352" s="16"/>
      <c r="F352" s="145"/>
      <c r="G352" s="130"/>
      <c r="H352" s="117"/>
    </row>
    <row r="353" spans="1:8" s="13" customFormat="1" ht="24.95" customHeight="1" x14ac:dyDescent="0.35">
      <c r="B353" s="14"/>
      <c r="C353" s="17" t="s">
        <v>241</v>
      </c>
      <c r="D353" s="11"/>
      <c r="E353" s="16"/>
      <c r="F353" s="145"/>
      <c r="G353" s="130">
        <f>G336</f>
        <v>42350.450000000004</v>
      </c>
      <c r="H353" s="117"/>
    </row>
    <row r="354" spans="1:8" s="13" customFormat="1" ht="24.95" customHeight="1" x14ac:dyDescent="0.35">
      <c r="B354" s="14"/>
      <c r="C354" s="17" t="s">
        <v>242</v>
      </c>
      <c r="D354" s="11"/>
      <c r="E354" s="16"/>
      <c r="F354" s="145"/>
      <c r="G354" s="130">
        <f>G351</f>
        <v>24075</v>
      </c>
      <c r="H354" s="117"/>
    </row>
    <row r="355" spans="1:8" s="13" customFormat="1" ht="24.95" customHeight="1" x14ac:dyDescent="0.35">
      <c r="B355" s="14"/>
      <c r="C355" s="17"/>
      <c r="D355" s="11"/>
      <c r="E355" s="16"/>
      <c r="F355" s="145"/>
      <c r="G355" s="130"/>
      <c r="H355" s="117"/>
    </row>
    <row r="356" spans="1:8" s="13" customFormat="1" ht="24.95" customHeight="1" x14ac:dyDescent="0.35">
      <c r="B356" s="14"/>
      <c r="C356" s="17"/>
      <c r="D356" s="11"/>
      <c r="E356" s="16"/>
      <c r="F356" s="145"/>
      <c r="G356" s="130"/>
      <c r="H356" s="117"/>
    </row>
    <row r="357" spans="1:8" s="13" customFormat="1" ht="24.95" customHeight="1" x14ac:dyDescent="0.35">
      <c r="B357" s="14"/>
      <c r="C357" s="17"/>
      <c r="D357" s="11"/>
      <c r="E357" s="16"/>
      <c r="F357" s="145"/>
      <c r="G357" s="130"/>
      <c r="H357" s="117"/>
    </row>
    <row r="358" spans="1:8" s="13" customFormat="1" ht="24.95" customHeight="1" x14ac:dyDescent="0.35">
      <c r="B358" s="14"/>
      <c r="C358" s="17"/>
      <c r="D358" s="11"/>
      <c r="E358" s="16"/>
      <c r="F358" s="145"/>
      <c r="G358" s="130"/>
      <c r="H358" s="117"/>
    </row>
    <row r="359" spans="1:8" s="13" customFormat="1" ht="24.95" customHeight="1" x14ac:dyDescent="0.35">
      <c r="B359" s="14"/>
      <c r="C359" s="17"/>
      <c r="D359" s="11"/>
      <c r="E359" s="16"/>
      <c r="F359" s="145"/>
      <c r="G359" s="130"/>
      <c r="H359" s="117"/>
    </row>
    <row r="360" spans="1:8" s="13" customFormat="1" ht="24.95" customHeight="1" x14ac:dyDescent="0.35">
      <c r="B360" s="14"/>
      <c r="C360" s="17"/>
      <c r="D360" s="11"/>
      <c r="E360" s="16"/>
      <c r="F360" s="145"/>
      <c r="G360" s="130"/>
      <c r="H360" s="117"/>
    </row>
    <row r="361" spans="1:8" s="13" customFormat="1" ht="24.95" customHeight="1" x14ac:dyDescent="0.35">
      <c r="B361" s="14"/>
      <c r="C361" s="17"/>
      <c r="D361" s="11"/>
      <c r="E361" s="16"/>
      <c r="F361" s="145"/>
      <c r="G361" s="130"/>
      <c r="H361" s="117"/>
    </row>
    <row r="362" spans="1:8" s="13" customFormat="1" ht="24.95" customHeight="1" x14ac:dyDescent="0.35">
      <c r="B362" s="14"/>
      <c r="C362" s="17"/>
      <c r="D362" s="11"/>
      <c r="E362" s="16"/>
      <c r="F362" s="145"/>
      <c r="G362" s="130"/>
      <c r="H362" s="117"/>
    </row>
    <row r="363" spans="1:8" s="13" customFormat="1" ht="24.95" customHeight="1" x14ac:dyDescent="0.35">
      <c r="B363" s="14"/>
      <c r="C363" s="17"/>
      <c r="D363" s="11"/>
      <c r="E363" s="16"/>
      <c r="F363" s="145"/>
      <c r="G363" s="130"/>
      <c r="H363" s="117"/>
    </row>
    <row r="364" spans="1:8" s="13" customFormat="1" ht="30" customHeight="1" thickBot="1" x14ac:dyDescent="0.4">
      <c r="B364" s="48"/>
      <c r="C364" s="49" t="s">
        <v>124</v>
      </c>
      <c r="D364" s="11"/>
      <c r="E364" s="16"/>
      <c r="F364" s="145"/>
      <c r="G364" s="159">
        <f>SUM(G353:G354)</f>
        <v>66425.450000000012</v>
      </c>
      <c r="H364" s="117"/>
    </row>
    <row r="365" spans="1:8" s="81" customFormat="1" ht="30" customHeight="1" thickTop="1" x14ac:dyDescent="0.35">
      <c r="B365" s="82"/>
      <c r="C365" s="93" t="s">
        <v>243</v>
      </c>
      <c r="D365" s="194"/>
      <c r="E365" s="82"/>
      <c r="F365" s="143"/>
      <c r="G365" s="144"/>
    </row>
    <row r="366" spans="1:8" s="80" customFormat="1" ht="21.95" customHeight="1" x14ac:dyDescent="0.35">
      <c r="A366" s="75"/>
      <c r="B366" s="76"/>
      <c r="C366" s="10" t="e">
        <f>C234</f>
        <v>#REF!</v>
      </c>
      <c r="D366" s="94"/>
      <c r="E366" s="77"/>
      <c r="F366" s="153"/>
      <c r="G366" s="154"/>
    </row>
    <row r="367" spans="1:8" s="86" customFormat="1" ht="21.95" customHeight="1" x14ac:dyDescent="0.35">
      <c r="A367" s="81"/>
      <c r="B367" s="82"/>
      <c r="C367" s="87" t="str">
        <f>C235</f>
        <v>APARTMENTS BLOCK</v>
      </c>
      <c r="D367" s="192"/>
      <c r="E367" s="83"/>
      <c r="F367" s="155"/>
      <c r="G367" s="144"/>
    </row>
    <row r="368" spans="1:8" s="86" customFormat="1" ht="21.95" customHeight="1" x14ac:dyDescent="0.35">
      <c r="A368" s="81"/>
      <c r="B368" s="82"/>
      <c r="C368" s="87" t="s">
        <v>84</v>
      </c>
      <c r="D368" s="192"/>
      <c r="E368" s="83"/>
      <c r="F368" s="155"/>
      <c r="G368" s="144"/>
    </row>
    <row r="369" spans="2:8" s="8" customFormat="1" ht="21.95" customHeight="1" x14ac:dyDescent="0.35">
      <c r="B369" s="9"/>
      <c r="C369" s="10" t="s">
        <v>129</v>
      </c>
      <c r="D369" s="11"/>
      <c r="E369" s="12"/>
      <c r="F369" s="135"/>
      <c r="G369" s="140"/>
    </row>
    <row r="370" spans="2:8" s="13" customFormat="1" ht="48" customHeight="1" x14ac:dyDescent="0.35">
      <c r="B370" s="14"/>
      <c r="C370" s="68" t="s">
        <v>130</v>
      </c>
      <c r="D370" s="11"/>
      <c r="E370" s="16"/>
      <c r="F370" s="132"/>
      <c r="G370" s="140"/>
    </row>
    <row r="371" spans="2:8" s="13" customFormat="1" ht="21.95" customHeight="1" x14ac:dyDescent="0.35">
      <c r="B371" s="14" t="s">
        <v>31</v>
      </c>
      <c r="C371" s="17" t="s">
        <v>332</v>
      </c>
      <c r="D371" s="11">
        <v>247</v>
      </c>
      <c r="E371" s="16" t="s">
        <v>112</v>
      </c>
      <c r="F371" s="132">
        <v>15.2</v>
      </c>
      <c r="G371" s="133">
        <f>F371*D371</f>
        <v>3754.3999999999996</v>
      </c>
    </row>
    <row r="372" spans="2:8" s="13" customFormat="1" ht="33.75" customHeight="1" x14ac:dyDescent="0.35">
      <c r="B372" s="14" t="s">
        <v>32</v>
      </c>
      <c r="C372" s="27" t="s">
        <v>331</v>
      </c>
      <c r="D372" s="11">
        <v>135</v>
      </c>
      <c r="E372" s="16" t="s">
        <v>112</v>
      </c>
      <c r="F372" s="145">
        <v>18</v>
      </c>
      <c r="G372" s="130">
        <f>F372*D372</f>
        <v>2430</v>
      </c>
      <c r="H372" s="117"/>
    </row>
    <row r="373" spans="2:8" s="13" customFormat="1" ht="21.95" customHeight="1" x14ac:dyDescent="0.35">
      <c r="B373" s="14"/>
      <c r="C373" s="15" t="s">
        <v>131</v>
      </c>
      <c r="D373" s="11"/>
      <c r="E373" s="16"/>
      <c r="F373" s="132"/>
      <c r="G373" s="130"/>
    </row>
    <row r="374" spans="2:8" s="13" customFormat="1" ht="60" x14ac:dyDescent="0.35">
      <c r="B374" s="14"/>
      <c r="C374" s="113" t="s">
        <v>330</v>
      </c>
      <c r="D374" s="11"/>
      <c r="E374" s="16"/>
      <c r="F374" s="132"/>
      <c r="G374" s="130"/>
    </row>
    <row r="375" spans="2:8" s="13" customFormat="1" ht="21.95" customHeight="1" x14ac:dyDescent="0.35">
      <c r="B375" s="14" t="s">
        <v>33</v>
      </c>
      <c r="C375" s="17" t="s">
        <v>256</v>
      </c>
      <c r="D375" s="11">
        <v>15369</v>
      </c>
      <c r="E375" s="16" t="s">
        <v>111</v>
      </c>
      <c r="F375" s="132">
        <v>24</v>
      </c>
      <c r="G375" s="130">
        <f t="shared" ref="G375:G383" si="11">F375*D375</f>
        <v>368856</v>
      </c>
    </row>
    <row r="376" spans="2:8" s="13" customFormat="1" ht="21.95" customHeight="1" x14ac:dyDescent="0.35">
      <c r="B376" s="14" t="s">
        <v>34</v>
      </c>
      <c r="C376" s="17" t="s">
        <v>257</v>
      </c>
      <c r="D376" s="11">
        <v>155</v>
      </c>
      <c r="E376" s="16" t="s">
        <v>111</v>
      </c>
      <c r="F376" s="132">
        <v>24</v>
      </c>
      <c r="G376" s="130">
        <f t="shared" si="11"/>
        <v>3720</v>
      </c>
    </row>
    <row r="377" spans="2:8" s="13" customFormat="1" ht="21.95" customHeight="1" x14ac:dyDescent="0.35">
      <c r="B377" s="14" t="s">
        <v>35</v>
      </c>
      <c r="C377" s="17" t="s">
        <v>258</v>
      </c>
      <c r="D377" s="11">
        <v>2079</v>
      </c>
      <c r="E377" s="16" t="s">
        <v>111</v>
      </c>
      <c r="F377" s="132">
        <v>18</v>
      </c>
      <c r="G377" s="130">
        <f t="shared" si="11"/>
        <v>37422</v>
      </c>
    </row>
    <row r="378" spans="2:8" s="13" customFormat="1" ht="45" x14ac:dyDescent="0.35">
      <c r="B378" s="14"/>
      <c r="C378" s="68" t="s">
        <v>334</v>
      </c>
      <c r="D378" s="11"/>
      <c r="E378" s="16"/>
      <c r="F378" s="132"/>
      <c r="G378" s="130"/>
    </row>
    <row r="379" spans="2:8" s="13" customFormat="1" ht="21.95" customHeight="1" x14ac:dyDescent="0.35">
      <c r="B379" s="14" t="s">
        <v>36</v>
      </c>
      <c r="C379" s="17" t="s">
        <v>259</v>
      </c>
      <c r="D379" s="11">
        <v>55</v>
      </c>
      <c r="E379" s="16" t="s">
        <v>112</v>
      </c>
      <c r="F379" s="132">
        <v>2</v>
      </c>
      <c r="G379" s="130">
        <f t="shared" si="11"/>
        <v>110</v>
      </c>
    </row>
    <row r="380" spans="2:8" s="13" customFormat="1" ht="21.95" customHeight="1" x14ac:dyDescent="0.35">
      <c r="B380" s="14" t="s">
        <v>114</v>
      </c>
      <c r="C380" s="17" t="s">
        <v>260</v>
      </c>
      <c r="D380" s="11">
        <v>18</v>
      </c>
      <c r="E380" s="16" t="s">
        <v>112</v>
      </c>
      <c r="F380" s="132">
        <v>2</v>
      </c>
      <c r="G380" s="130">
        <f t="shared" si="11"/>
        <v>36</v>
      </c>
    </row>
    <row r="381" spans="2:8" s="13" customFormat="1" ht="21.95" customHeight="1" x14ac:dyDescent="0.35">
      <c r="B381" s="14"/>
      <c r="C381" s="15" t="s">
        <v>333</v>
      </c>
      <c r="D381" s="11"/>
      <c r="E381" s="16"/>
      <c r="F381" s="132"/>
      <c r="G381" s="130"/>
    </row>
    <row r="382" spans="2:8" s="13" customFormat="1" ht="90" x14ac:dyDescent="0.35">
      <c r="B382" s="14"/>
      <c r="C382" s="68" t="s">
        <v>336</v>
      </c>
      <c r="D382" s="11"/>
      <c r="E382" s="16"/>
      <c r="F382" s="132"/>
      <c r="G382" s="130"/>
    </row>
    <row r="383" spans="2:8" s="13" customFormat="1" ht="21.95" customHeight="1" x14ac:dyDescent="0.35">
      <c r="B383" s="14" t="s">
        <v>39</v>
      </c>
      <c r="C383" s="17" t="s">
        <v>335</v>
      </c>
      <c r="D383" s="11"/>
      <c r="E383" s="16" t="s">
        <v>111</v>
      </c>
      <c r="F383" s="132">
        <v>75</v>
      </c>
      <c r="G383" s="130">
        <f t="shared" si="11"/>
        <v>0</v>
      </c>
    </row>
    <row r="384" spans="2:8" s="13" customFormat="1" ht="24.95" customHeight="1" x14ac:dyDescent="0.35">
      <c r="B384" s="14"/>
      <c r="C384" s="17"/>
      <c r="D384" s="11"/>
      <c r="E384" s="16"/>
      <c r="F384" s="145"/>
      <c r="G384" s="130"/>
      <c r="H384" s="117"/>
    </row>
    <row r="385" spans="2:8" s="13" customFormat="1" ht="24.95" customHeight="1" x14ac:dyDescent="0.35">
      <c r="B385" s="14"/>
      <c r="C385" s="17"/>
      <c r="D385" s="11"/>
      <c r="E385" s="16"/>
      <c r="F385" s="145"/>
      <c r="G385" s="130"/>
      <c r="H385" s="117"/>
    </row>
    <row r="386" spans="2:8" s="13" customFormat="1" ht="24.95" customHeight="1" x14ac:dyDescent="0.35">
      <c r="B386" s="14"/>
      <c r="C386" s="17"/>
      <c r="D386" s="11"/>
      <c r="E386" s="16"/>
      <c r="F386" s="145"/>
      <c r="G386" s="130"/>
      <c r="H386" s="117"/>
    </row>
    <row r="387" spans="2:8" s="13" customFormat="1" ht="24.95" customHeight="1" x14ac:dyDescent="0.35">
      <c r="B387" s="14"/>
      <c r="C387" s="17"/>
      <c r="D387" s="11"/>
      <c r="E387" s="16"/>
      <c r="F387" s="145"/>
      <c r="G387" s="130"/>
      <c r="H387" s="117"/>
    </row>
    <row r="388" spans="2:8" s="13" customFormat="1" ht="30" customHeight="1" thickBot="1" x14ac:dyDescent="0.4">
      <c r="B388" s="48"/>
      <c r="C388" s="49" t="s">
        <v>139</v>
      </c>
      <c r="D388" s="11"/>
      <c r="E388" s="16"/>
      <c r="F388" s="145"/>
      <c r="G388" s="159">
        <f>SUM(G369:G384)</f>
        <v>416328.4</v>
      </c>
      <c r="H388" s="117"/>
    </row>
    <row r="389" spans="2:8" s="81" customFormat="1" ht="30" customHeight="1" thickTop="1" x14ac:dyDescent="0.35">
      <c r="B389" s="82"/>
      <c r="C389" s="93" t="s">
        <v>175</v>
      </c>
      <c r="D389" s="194"/>
      <c r="E389" s="82"/>
      <c r="F389" s="143"/>
      <c r="G389" s="144"/>
    </row>
    <row r="390" spans="2:8" s="13" customFormat="1" ht="21.95" customHeight="1" x14ac:dyDescent="0.35">
      <c r="B390" s="33"/>
      <c r="C390" s="236" t="s">
        <v>504</v>
      </c>
      <c r="D390" s="188"/>
      <c r="E390" s="23"/>
      <c r="F390" s="237"/>
      <c r="G390" s="202"/>
    </row>
    <row r="391" spans="2:8" s="13" customFormat="1" ht="105" x14ac:dyDescent="0.35">
      <c r="B391" s="14"/>
      <c r="C391" s="68" t="s">
        <v>505</v>
      </c>
      <c r="D391" s="11"/>
      <c r="E391" s="16"/>
      <c r="F391" s="184"/>
      <c r="G391" s="202"/>
    </row>
    <row r="392" spans="2:8" s="13" customFormat="1" ht="21.95" customHeight="1" x14ac:dyDescent="0.35">
      <c r="B392" s="14" t="s">
        <v>31</v>
      </c>
      <c r="C392" s="17" t="s">
        <v>506</v>
      </c>
      <c r="D392" s="11"/>
      <c r="E392" s="16" t="s">
        <v>111</v>
      </c>
      <c r="F392" s="132">
        <v>105</v>
      </c>
      <c r="G392" s="130">
        <f>F392*D392</f>
        <v>0</v>
      </c>
    </row>
    <row r="393" spans="2:8" s="13" customFormat="1" ht="24.95" customHeight="1" thickBot="1" x14ac:dyDescent="0.4">
      <c r="B393" s="48"/>
      <c r="C393" s="49" t="s">
        <v>139</v>
      </c>
      <c r="D393" s="11"/>
      <c r="E393" s="16"/>
      <c r="F393" s="145"/>
      <c r="G393" s="159">
        <f>SUM(G392)</f>
        <v>0</v>
      </c>
      <c r="H393" s="117"/>
    </row>
    <row r="394" spans="2:8" s="13" customFormat="1" ht="24.95" customHeight="1" thickTop="1" x14ac:dyDescent="0.35">
      <c r="B394" s="14"/>
      <c r="C394" s="17"/>
      <c r="D394" s="11"/>
      <c r="E394" s="16"/>
      <c r="F394" s="145"/>
      <c r="G394" s="163"/>
      <c r="H394" s="117"/>
    </row>
    <row r="395" spans="2:8" s="13" customFormat="1" ht="24.95" customHeight="1" x14ac:dyDescent="0.35">
      <c r="B395" s="14"/>
      <c r="C395" s="17"/>
      <c r="D395" s="11"/>
      <c r="E395" s="16"/>
      <c r="F395" s="145"/>
      <c r="G395" s="130"/>
      <c r="H395" s="117"/>
    </row>
    <row r="396" spans="2:8" s="13" customFormat="1" ht="24.95" customHeight="1" x14ac:dyDescent="0.35">
      <c r="B396" s="14"/>
      <c r="C396" s="17"/>
      <c r="D396" s="11"/>
      <c r="E396" s="16"/>
      <c r="F396" s="145"/>
      <c r="G396" s="130"/>
      <c r="H396" s="117"/>
    </row>
    <row r="397" spans="2:8" s="13" customFormat="1" ht="24.95" customHeight="1" x14ac:dyDescent="0.35">
      <c r="B397" s="14"/>
      <c r="C397" s="55" t="s">
        <v>60</v>
      </c>
      <c r="D397" s="11"/>
      <c r="E397" s="16"/>
      <c r="F397" s="145"/>
      <c r="G397" s="130"/>
      <c r="H397" s="117"/>
    </row>
    <row r="398" spans="2:8" s="13" customFormat="1" ht="24.95" customHeight="1" x14ac:dyDescent="0.35">
      <c r="B398" s="14"/>
      <c r="C398" s="17" t="s">
        <v>507</v>
      </c>
      <c r="D398" s="11"/>
      <c r="E398" s="16"/>
      <c r="F398" s="145"/>
      <c r="G398" s="130">
        <f>G388</f>
        <v>416328.4</v>
      </c>
      <c r="H398" s="117"/>
    </row>
    <row r="399" spans="2:8" s="13" customFormat="1" ht="24.95" customHeight="1" x14ac:dyDescent="0.35">
      <c r="B399" s="14"/>
      <c r="C399" s="17" t="s">
        <v>508</v>
      </c>
      <c r="D399" s="11"/>
      <c r="E399" s="16"/>
      <c r="F399" s="145"/>
      <c r="G399" s="130">
        <f>G393</f>
        <v>0</v>
      </c>
      <c r="H399" s="117"/>
    </row>
    <row r="400" spans="2:8" s="13" customFormat="1" ht="24.95" customHeight="1" x14ac:dyDescent="0.35">
      <c r="B400" s="14"/>
      <c r="C400" s="17"/>
      <c r="D400" s="11"/>
      <c r="E400" s="16"/>
      <c r="F400" s="132"/>
      <c r="G400" s="133"/>
    </row>
    <row r="401" spans="1:7" s="13" customFormat="1" ht="24.95" customHeight="1" x14ac:dyDescent="0.35">
      <c r="B401" s="14"/>
      <c r="C401" s="17"/>
      <c r="D401" s="11"/>
      <c r="E401" s="16"/>
      <c r="F401" s="132"/>
      <c r="G401" s="133"/>
    </row>
    <row r="402" spans="1:7" s="13" customFormat="1" ht="24.95" customHeight="1" x14ac:dyDescent="0.35">
      <c r="B402" s="14"/>
      <c r="C402" s="17"/>
      <c r="D402" s="11"/>
      <c r="E402" s="16"/>
      <c r="F402" s="132"/>
      <c r="G402" s="133"/>
    </row>
    <row r="403" spans="1:7" s="13" customFormat="1" ht="24.95" customHeight="1" x14ac:dyDescent="0.35">
      <c r="B403" s="14"/>
      <c r="C403" s="17"/>
      <c r="D403" s="11"/>
      <c r="E403" s="16"/>
      <c r="F403" s="132"/>
      <c r="G403" s="133"/>
    </row>
    <row r="404" spans="1:7" s="13" customFormat="1" ht="24.95" customHeight="1" x14ac:dyDescent="0.35">
      <c r="B404" s="14"/>
      <c r="C404" s="17"/>
      <c r="D404" s="11"/>
      <c r="E404" s="16"/>
      <c r="F404" s="132"/>
      <c r="G404" s="133"/>
    </row>
    <row r="405" spans="1:7" s="13" customFormat="1" ht="24.95" customHeight="1" x14ac:dyDescent="0.35">
      <c r="B405" s="14"/>
      <c r="C405" s="17"/>
      <c r="D405" s="11"/>
      <c r="E405" s="16"/>
      <c r="F405" s="132"/>
      <c r="G405" s="133"/>
    </row>
    <row r="406" spans="1:7" s="13" customFormat="1" ht="24.95" customHeight="1" x14ac:dyDescent="0.35">
      <c r="B406" s="14"/>
      <c r="C406" s="17"/>
      <c r="D406" s="11"/>
      <c r="E406" s="16"/>
      <c r="F406" s="132"/>
      <c r="G406" s="133"/>
    </row>
    <row r="407" spans="1:7" s="13" customFormat="1" ht="24.95" customHeight="1" x14ac:dyDescent="0.35">
      <c r="B407" s="14"/>
      <c r="C407" s="17"/>
      <c r="D407" s="11"/>
      <c r="E407" s="16"/>
      <c r="F407" s="132"/>
      <c r="G407" s="133"/>
    </row>
    <row r="408" spans="1:7" s="13" customFormat="1" ht="24.95" customHeight="1" x14ac:dyDescent="0.35">
      <c r="B408" s="14"/>
      <c r="C408" s="17"/>
      <c r="D408" s="11"/>
      <c r="E408" s="16"/>
      <c r="F408" s="132"/>
      <c r="G408" s="133"/>
    </row>
    <row r="409" spans="1:7" s="13" customFormat="1" ht="24.95" customHeight="1" x14ac:dyDescent="0.35">
      <c r="B409" s="14"/>
      <c r="C409" s="17"/>
      <c r="D409" s="11"/>
      <c r="E409" s="16"/>
      <c r="F409" s="132"/>
      <c r="G409" s="133"/>
    </row>
    <row r="410" spans="1:7" s="13" customFormat="1" ht="24.95" customHeight="1" x14ac:dyDescent="0.35">
      <c r="B410" s="14"/>
      <c r="C410" s="17"/>
      <c r="D410" s="11"/>
      <c r="E410" s="16"/>
      <c r="F410" s="132"/>
      <c r="G410" s="133"/>
    </row>
    <row r="411" spans="1:7" s="13" customFormat="1" ht="24.95" customHeight="1" x14ac:dyDescent="0.35">
      <c r="B411" s="14"/>
      <c r="C411" s="17"/>
      <c r="D411" s="11"/>
      <c r="E411" s="16"/>
      <c r="F411" s="132"/>
      <c r="G411" s="133"/>
    </row>
    <row r="412" spans="1:7" s="13" customFormat="1" ht="24.95" customHeight="1" x14ac:dyDescent="0.35">
      <c r="B412" s="14"/>
      <c r="C412" s="17"/>
      <c r="D412" s="11"/>
      <c r="E412" s="16"/>
      <c r="F412" s="132"/>
      <c r="G412" s="133"/>
    </row>
    <row r="413" spans="1:7" s="13" customFormat="1" ht="24.95" customHeight="1" x14ac:dyDescent="0.35">
      <c r="B413" s="14"/>
      <c r="C413" s="17"/>
      <c r="D413" s="11"/>
      <c r="E413" s="16"/>
      <c r="F413" s="132"/>
      <c r="G413" s="133"/>
    </row>
    <row r="414" spans="1:7" s="13" customFormat="1" ht="24.95" customHeight="1" x14ac:dyDescent="0.35">
      <c r="B414" s="14"/>
      <c r="C414" s="17"/>
      <c r="D414" s="11"/>
      <c r="E414" s="16"/>
      <c r="F414" s="132"/>
      <c r="G414" s="133"/>
    </row>
    <row r="415" spans="1:7" s="92" customFormat="1" ht="30" customHeight="1" thickBot="1" x14ac:dyDescent="0.4">
      <c r="A415" s="88"/>
      <c r="B415" s="89"/>
      <c r="C415" s="90" t="s">
        <v>55</v>
      </c>
      <c r="D415" s="193"/>
      <c r="E415" s="91"/>
      <c r="F415" s="141"/>
      <c r="G415" s="142">
        <f>SUM(G398:G401)</f>
        <v>416328.4</v>
      </c>
    </row>
    <row r="416" spans="1:7" s="86" customFormat="1" ht="30" customHeight="1" thickTop="1" x14ac:dyDescent="0.35">
      <c r="A416" s="81"/>
      <c r="B416" s="82"/>
      <c r="C416" s="93" t="s">
        <v>509</v>
      </c>
      <c r="D416" s="194"/>
      <c r="E416" s="82"/>
      <c r="F416" s="143"/>
      <c r="G416" s="147"/>
    </row>
    <row r="417" spans="2:7" s="8" customFormat="1" ht="21.95" customHeight="1" x14ac:dyDescent="0.35">
      <c r="B417" s="9"/>
      <c r="C417" s="10" t="e">
        <f>C366</f>
        <v>#REF!</v>
      </c>
      <c r="D417" s="11"/>
      <c r="E417" s="12"/>
      <c r="F417" s="135"/>
      <c r="G417" s="133"/>
    </row>
    <row r="418" spans="2:7" s="8" customFormat="1" ht="21.95" customHeight="1" x14ac:dyDescent="0.35">
      <c r="B418" s="9"/>
      <c r="C418" s="10" t="str">
        <f>C367</f>
        <v>APARTMENTS BLOCK</v>
      </c>
      <c r="D418" s="11"/>
      <c r="E418" s="12"/>
      <c r="F418" s="135"/>
      <c r="G418" s="133"/>
    </row>
    <row r="419" spans="2:7" s="8" customFormat="1" ht="21.95" customHeight="1" x14ac:dyDescent="0.35">
      <c r="B419" s="9"/>
      <c r="C419" s="10" t="s">
        <v>223</v>
      </c>
      <c r="D419" s="11"/>
      <c r="E419" s="12"/>
      <c r="F419" s="135"/>
      <c r="G419" s="133"/>
    </row>
    <row r="420" spans="2:7" s="8" customFormat="1" ht="21.95" customHeight="1" x14ac:dyDescent="0.35">
      <c r="B420" s="9"/>
      <c r="C420" s="87" t="s">
        <v>355</v>
      </c>
      <c r="D420" s="25"/>
      <c r="E420" s="12"/>
      <c r="F420" s="161"/>
      <c r="G420" s="180"/>
    </row>
    <row r="421" spans="2:7" s="13" customFormat="1" ht="21.95" customHeight="1" x14ac:dyDescent="0.35">
      <c r="B421" s="14"/>
      <c r="C421" s="68" t="s">
        <v>353</v>
      </c>
      <c r="D421" s="11"/>
      <c r="E421" s="16"/>
      <c r="F421" s="132"/>
      <c r="G421" s="130"/>
    </row>
    <row r="422" spans="2:7" s="13" customFormat="1" ht="120" x14ac:dyDescent="0.35">
      <c r="B422" s="14"/>
      <c r="C422" s="15" t="s">
        <v>354</v>
      </c>
      <c r="D422" s="11"/>
      <c r="E422" s="16"/>
      <c r="F422" s="132"/>
      <c r="G422" s="130"/>
    </row>
    <row r="423" spans="2:7" s="13" customFormat="1" ht="60" x14ac:dyDescent="0.35">
      <c r="B423" s="14"/>
      <c r="C423" s="68" t="s">
        <v>356</v>
      </c>
      <c r="D423" s="11"/>
      <c r="E423" s="16"/>
      <c r="F423" s="132"/>
      <c r="G423" s="130"/>
    </row>
    <row r="424" spans="2:7" s="13" customFormat="1" ht="21.95" customHeight="1" x14ac:dyDescent="0.35">
      <c r="B424" s="14" t="s">
        <v>31</v>
      </c>
      <c r="C424" s="17" t="s">
        <v>352</v>
      </c>
      <c r="D424" s="11"/>
      <c r="E424" s="16" t="s">
        <v>1</v>
      </c>
      <c r="F424" s="132">
        <v>2.0499999999999998</v>
      </c>
      <c r="G424" s="130">
        <f>F424*D424</f>
        <v>0</v>
      </c>
    </row>
    <row r="425" spans="2:7" s="13" customFormat="1" ht="21.95" customHeight="1" x14ac:dyDescent="0.35">
      <c r="B425" s="14" t="s">
        <v>32</v>
      </c>
      <c r="C425" s="17" t="s">
        <v>347</v>
      </c>
      <c r="D425" s="11"/>
      <c r="E425" s="16" t="s">
        <v>1</v>
      </c>
      <c r="F425" s="132">
        <v>2.0499999999999998</v>
      </c>
      <c r="G425" s="130">
        <f t="shared" ref="G425:G435" si="12">F425*D425</f>
        <v>0</v>
      </c>
    </row>
    <row r="426" spans="2:7" s="13" customFormat="1" ht="21.95" customHeight="1" x14ac:dyDescent="0.35">
      <c r="B426" s="14" t="s">
        <v>33</v>
      </c>
      <c r="C426" s="17" t="s">
        <v>351</v>
      </c>
      <c r="D426" s="11"/>
      <c r="E426" s="16" t="s">
        <v>1</v>
      </c>
      <c r="F426" s="132">
        <v>2.0499999999999998</v>
      </c>
      <c r="G426" s="130">
        <f t="shared" si="12"/>
        <v>0</v>
      </c>
    </row>
    <row r="427" spans="2:7" s="13" customFormat="1" ht="21.95" customHeight="1" x14ac:dyDescent="0.35">
      <c r="B427" s="14" t="s">
        <v>34</v>
      </c>
      <c r="C427" s="17" t="s">
        <v>348</v>
      </c>
      <c r="D427" s="11"/>
      <c r="E427" s="16" t="s">
        <v>1</v>
      </c>
      <c r="F427" s="132">
        <v>2.0499999999999998</v>
      </c>
      <c r="G427" s="130">
        <f t="shared" si="12"/>
        <v>0</v>
      </c>
    </row>
    <row r="428" spans="2:7" s="13" customFormat="1" ht="21.95" customHeight="1" x14ac:dyDescent="0.35">
      <c r="B428" s="14" t="s">
        <v>35</v>
      </c>
      <c r="C428" s="17" t="s">
        <v>349</v>
      </c>
      <c r="D428" s="11"/>
      <c r="E428" s="16" t="s">
        <v>1</v>
      </c>
      <c r="F428" s="132">
        <v>2.0499999999999998</v>
      </c>
      <c r="G428" s="130">
        <f t="shared" si="12"/>
        <v>0</v>
      </c>
    </row>
    <row r="429" spans="2:7" s="13" customFormat="1" ht="21.95" customHeight="1" x14ac:dyDescent="0.35">
      <c r="B429" s="14" t="s">
        <v>36</v>
      </c>
      <c r="C429" s="17" t="s">
        <v>350</v>
      </c>
      <c r="D429" s="11"/>
      <c r="E429" s="16" t="s">
        <v>1</v>
      </c>
      <c r="F429" s="132">
        <v>2.0499999999999998</v>
      </c>
      <c r="G429" s="130">
        <f t="shared" si="12"/>
        <v>0</v>
      </c>
    </row>
    <row r="430" spans="2:7" s="13" customFormat="1" ht="30" x14ac:dyDescent="0.35">
      <c r="B430" s="14"/>
      <c r="C430" s="215" t="s">
        <v>14</v>
      </c>
      <c r="D430" s="183"/>
      <c r="E430" s="183"/>
      <c r="F430" s="216"/>
      <c r="G430" s="130"/>
    </row>
    <row r="431" spans="2:7" s="13" customFormat="1" x14ac:dyDescent="0.35">
      <c r="B431" s="14" t="s">
        <v>114</v>
      </c>
      <c r="C431" s="217" t="s">
        <v>337</v>
      </c>
      <c r="D431" s="183"/>
      <c r="E431" s="127" t="s">
        <v>112</v>
      </c>
      <c r="F431" s="132">
        <v>5.48</v>
      </c>
      <c r="G431" s="130">
        <f t="shared" si="12"/>
        <v>0</v>
      </c>
    </row>
    <row r="432" spans="2:7" s="13" customFormat="1" ht="21.95" customHeight="1" x14ac:dyDescent="0.35">
      <c r="B432" s="14"/>
      <c r="C432" s="215" t="s">
        <v>338</v>
      </c>
      <c r="D432" s="183"/>
      <c r="E432" s="183"/>
      <c r="F432" s="132"/>
      <c r="G432" s="130"/>
    </row>
    <row r="433" spans="2:8" s="13" customFormat="1" ht="21.95" customHeight="1" x14ac:dyDescent="0.35">
      <c r="B433" s="14"/>
      <c r="C433" s="215" t="s">
        <v>339</v>
      </c>
      <c r="D433" s="183"/>
      <c r="E433" s="218"/>
      <c r="F433" s="132"/>
      <c r="G433" s="130"/>
    </row>
    <row r="434" spans="2:8" s="13" customFormat="1" ht="45" x14ac:dyDescent="0.35">
      <c r="B434" s="14" t="s">
        <v>39</v>
      </c>
      <c r="C434" s="217" t="s">
        <v>360</v>
      </c>
      <c r="D434" s="183"/>
      <c r="E434" s="127" t="s">
        <v>112</v>
      </c>
      <c r="F434" s="132">
        <v>6.85</v>
      </c>
      <c r="G434" s="130">
        <f t="shared" si="12"/>
        <v>0</v>
      </c>
    </row>
    <row r="435" spans="2:8" s="13" customFormat="1" ht="30" x14ac:dyDescent="0.35">
      <c r="B435" s="14" t="s">
        <v>40</v>
      </c>
      <c r="C435" s="217" t="s">
        <v>340</v>
      </c>
      <c r="D435" s="183"/>
      <c r="E435" s="127" t="s">
        <v>111</v>
      </c>
      <c r="F435" s="132">
        <v>8.25</v>
      </c>
      <c r="G435" s="130">
        <f t="shared" si="12"/>
        <v>0</v>
      </c>
    </row>
    <row r="436" spans="2:8" s="13" customFormat="1" ht="24.95" customHeight="1" x14ac:dyDescent="0.35">
      <c r="B436" s="14"/>
      <c r="C436" s="17"/>
      <c r="D436" s="11"/>
      <c r="E436" s="16"/>
      <c r="F436" s="145"/>
      <c r="G436" s="130"/>
      <c r="H436" s="117"/>
    </row>
    <row r="437" spans="2:8" s="13" customFormat="1" ht="24.95" customHeight="1" x14ac:dyDescent="0.35">
      <c r="B437" s="14"/>
      <c r="C437" s="17"/>
      <c r="D437" s="11"/>
      <c r="E437" s="16"/>
      <c r="F437" s="145"/>
      <c r="G437" s="130"/>
      <c r="H437" s="117"/>
    </row>
    <row r="438" spans="2:8" s="13" customFormat="1" ht="24.95" customHeight="1" x14ac:dyDescent="0.35">
      <c r="B438" s="14"/>
      <c r="C438" s="17"/>
      <c r="D438" s="11"/>
      <c r="E438" s="16"/>
      <c r="F438" s="145"/>
      <c r="G438" s="130"/>
      <c r="H438" s="117"/>
    </row>
    <row r="439" spans="2:8" s="13" customFormat="1" ht="24.95" customHeight="1" x14ac:dyDescent="0.35">
      <c r="B439" s="14"/>
      <c r="C439" s="17"/>
      <c r="D439" s="11"/>
      <c r="E439" s="16"/>
      <c r="F439" s="145"/>
      <c r="G439" s="130"/>
      <c r="H439" s="117"/>
    </row>
    <row r="440" spans="2:8" s="13" customFormat="1" ht="30" customHeight="1" thickBot="1" x14ac:dyDescent="0.4">
      <c r="B440" s="48"/>
      <c r="C440" s="49" t="s">
        <v>139</v>
      </c>
      <c r="D440" s="11"/>
      <c r="E440" s="16"/>
      <c r="F440" s="145"/>
      <c r="G440" s="159">
        <f>SUM(G424:G439)</f>
        <v>0</v>
      </c>
      <c r="H440" s="117"/>
    </row>
    <row r="441" spans="2:8" s="81" customFormat="1" ht="30" customHeight="1" thickTop="1" x14ac:dyDescent="0.35">
      <c r="B441" s="82"/>
      <c r="C441" s="93" t="s">
        <v>175</v>
      </c>
      <c r="D441" s="194"/>
      <c r="E441" s="82"/>
      <c r="F441" s="143"/>
      <c r="G441" s="144"/>
    </row>
    <row r="442" spans="2:8" s="13" customFormat="1" ht="21.95" customHeight="1" x14ac:dyDescent="0.35">
      <c r="B442" s="14"/>
      <c r="C442" s="219" t="s">
        <v>341</v>
      </c>
      <c r="D442" s="183"/>
      <c r="E442" s="218"/>
      <c r="F442" s="132"/>
      <c r="G442" s="130"/>
    </row>
    <row r="443" spans="2:8" s="13" customFormat="1" ht="30" x14ac:dyDescent="0.35">
      <c r="B443" s="14"/>
      <c r="C443" s="215" t="s">
        <v>342</v>
      </c>
      <c r="D443" s="183"/>
      <c r="E443" s="183"/>
      <c r="F443" s="132"/>
      <c r="G443" s="130"/>
    </row>
    <row r="444" spans="2:8" s="13" customFormat="1" ht="30" x14ac:dyDescent="0.35">
      <c r="B444" s="14" t="s">
        <v>31</v>
      </c>
      <c r="C444" s="217" t="s">
        <v>357</v>
      </c>
      <c r="D444" s="183"/>
      <c r="E444" s="127" t="s">
        <v>111</v>
      </c>
      <c r="F444" s="132">
        <v>16</v>
      </c>
      <c r="G444" s="130">
        <f>F444*D444</f>
        <v>0</v>
      </c>
    </row>
    <row r="445" spans="2:8" s="13" customFormat="1" ht="21.95" customHeight="1" x14ac:dyDescent="0.35">
      <c r="B445" s="14" t="s">
        <v>32</v>
      </c>
      <c r="C445" s="123" t="s">
        <v>343</v>
      </c>
      <c r="D445" s="183"/>
      <c r="E445" s="127" t="s">
        <v>112</v>
      </c>
      <c r="F445" s="132">
        <v>4</v>
      </c>
      <c r="G445" s="130">
        <f t="shared" ref="G445:G459" si="13">F445*D445</f>
        <v>0</v>
      </c>
    </row>
    <row r="446" spans="2:8" s="13" customFormat="1" ht="21.95" customHeight="1" x14ac:dyDescent="0.35">
      <c r="B446" s="14" t="s">
        <v>33</v>
      </c>
      <c r="C446" s="123" t="s">
        <v>344</v>
      </c>
      <c r="D446" s="183"/>
      <c r="E446" s="127" t="s">
        <v>112</v>
      </c>
      <c r="F446" s="132">
        <v>4</v>
      </c>
      <c r="G446" s="130">
        <f t="shared" si="13"/>
        <v>0</v>
      </c>
    </row>
    <row r="447" spans="2:8" s="13" customFormat="1" ht="21.95" customHeight="1" x14ac:dyDescent="0.35">
      <c r="B447" s="14" t="s">
        <v>34</v>
      </c>
      <c r="C447" s="123" t="s">
        <v>345</v>
      </c>
      <c r="D447" s="183"/>
      <c r="E447" s="127" t="s">
        <v>112</v>
      </c>
      <c r="F447" s="132">
        <v>2.85</v>
      </c>
      <c r="G447" s="130">
        <f t="shared" si="13"/>
        <v>0</v>
      </c>
    </row>
    <row r="448" spans="2:8" s="13" customFormat="1" ht="21.95" customHeight="1" x14ac:dyDescent="0.35">
      <c r="B448" s="14" t="s">
        <v>35</v>
      </c>
      <c r="C448" s="123" t="s">
        <v>346</v>
      </c>
      <c r="D448" s="183"/>
      <c r="E448" s="127" t="s">
        <v>112</v>
      </c>
      <c r="F448" s="132">
        <f>F447</f>
        <v>2.85</v>
      </c>
      <c r="G448" s="130">
        <f t="shared" si="13"/>
        <v>0</v>
      </c>
    </row>
    <row r="449" spans="2:8" s="13" customFormat="1" ht="21.95" customHeight="1" x14ac:dyDescent="0.35">
      <c r="B449" s="14"/>
      <c r="C449" s="219" t="s">
        <v>358</v>
      </c>
      <c r="D449" s="183"/>
      <c r="E449" s="218"/>
      <c r="F449" s="132"/>
      <c r="G449" s="130"/>
    </row>
    <row r="450" spans="2:8" s="13" customFormat="1" ht="165" x14ac:dyDescent="0.35">
      <c r="B450" s="14"/>
      <c r="C450" s="215" t="s">
        <v>364</v>
      </c>
      <c r="D450" s="183"/>
      <c r="E450" s="183"/>
      <c r="F450" s="132"/>
      <c r="G450" s="130"/>
    </row>
    <row r="451" spans="2:8" s="13" customFormat="1" ht="21.95" customHeight="1" x14ac:dyDescent="0.35">
      <c r="B451" s="14" t="s">
        <v>35</v>
      </c>
      <c r="C451" s="123" t="s">
        <v>449</v>
      </c>
      <c r="D451" s="183">
        <v>382</v>
      </c>
      <c r="E451" s="127" t="s">
        <v>111</v>
      </c>
      <c r="F451" s="132">
        <v>28</v>
      </c>
      <c r="G451" s="130">
        <f t="shared" si="13"/>
        <v>10696</v>
      </c>
    </row>
    <row r="452" spans="2:8" s="13" customFormat="1" ht="60" x14ac:dyDescent="0.35">
      <c r="B452" s="14" t="s">
        <v>36</v>
      </c>
      <c r="C452" s="217" t="s">
        <v>359</v>
      </c>
      <c r="D452" s="183">
        <v>339</v>
      </c>
      <c r="E452" s="127" t="s">
        <v>112</v>
      </c>
      <c r="F452" s="132">
        <v>12.5</v>
      </c>
      <c r="G452" s="130">
        <f t="shared" si="13"/>
        <v>4237.5</v>
      </c>
    </row>
    <row r="453" spans="2:8" s="13" customFormat="1" ht="21.95" customHeight="1" x14ac:dyDescent="0.35">
      <c r="B453" s="14"/>
      <c r="C453" s="219" t="s">
        <v>210</v>
      </c>
      <c r="D453" s="183"/>
      <c r="E453" s="218"/>
      <c r="F453" s="132"/>
      <c r="G453" s="130"/>
    </row>
    <row r="454" spans="2:8" s="13" customFormat="1" ht="30" x14ac:dyDescent="0.35">
      <c r="B454" s="14"/>
      <c r="C454" s="113" t="s">
        <v>211</v>
      </c>
      <c r="D454" s="23"/>
      <c r="E454" s="16"/>
      <c r="F454" s="145"/>
      <c r="G454" s="130"/>
    </row>
    <row r="455" spans="2:8" s="13" customFormat="1" ht="21.95" customHeight="1" x14ac:dyDescent="0.35">
      <c r="B455" s="14" t="s">
        <v>114</v>
      </c>
      <c r="C455" s="105" t="s">
        <v>214</v>
      </c>
      <c r="D455" s="23">
        <f>D184+D185</f>
        <v>1960</v>
      </c>
      <c r="E455" s="16" t="s">
        <v>111</v>
      </c>
      <c r="F455" s="145">
        <v>5.6</v>
      </c>
      <c r="G455" s="130">
        <f t="shared" si="13"/>
        <v>10976</v>
      </c>
    </row>
    <row r="456" spans="2:8" s="13" customFormat="1" ht="21.95" customHeight="1" x14ac:dyDescent="0.35">
      <c r="B456" s="14" t="s">
        <v>39</v>
      </c>
      <c r="C456" s="105" t="s">
        <v>293</v>
      </c>
      <c r="D456" s="23">
        <v>12</v>
      </c>
      <c r="E456" s="16" t="s">
        <v>113</v>
      </c>
      <c r="F456" s="145">
        <v>7</v>
      </c>
      <c r="G456" s="130">
        <f t="shared" si="13"/>
        <v>84</v>
      </c>
    </row>
    <row r="457" spans="2:8" s="13" customFormat="1" ht="84.75" customHeight="1" x14ac:dyDescent="0.35">
      <c r="B457" s="14"/>
      <c r="C457" s="113" t="s">
        <v>452</v>
      </c>
      <c r="D457" s="23"/>
      <c r="E457" s="16"/>
      <c r="F457" s="162"/>
      <c r="G457" s="130"/>
    </row>
    <row r="458" spans="2:8" s="13" customFormat="1" ht="21.95" customHeight="1" x14ac:dyDescent="0.35">
      <c r="B458" s="14" t="s">
        <v>40</v>
      </c>
      <c r="C458" s="105" t="s">
        <v>213</v>
      </c>
      <c r="D458" s="23">
        <v>1981</v>
      </c>
      <c r="E458" s="16" t="s">
        <v>111</v>
      </c>
      <c r="F458" s="145">
        <v>22.5</v>
      </c>
      <c r="G458" s="130">
        <f t="shared" si="13"/>
        <v>44572.5</v>
      </c>
    </row>
    <row r="459" spans="2:8" s="13" customFormat="1" ht="21.95" customHeight="1" x14ac:dyDescent="0.35">
      <c r="B459" s="14" t="s">
        <v>15</v>
      </c>
      <c r="C459" s="105" t="s">
        <v>212</v>
      </c>
      <c r="D459" s="23">
        <v>12</v>
      </c>
      <c r="E459" s="16" t="s">
        <v>113</v>
      </c>
      <c r="F459" s="145">
        <v>8</v>
      </c>
      <c r="G459" s="130">
        <f t="shared" si="13"/>
        <v>96</v>
      </c>
    </row>
    <row r="460" spans="2:8" s="13" customFormat="1" ht="21.95" customHeight="1" x14ac:dyDescent="0.35">
      <c r="B460" s="14"/>
      <c r="C460" s="105"/>
      <c r="D460" s="23"/>
      <c r="E460" s="16"/>
      <c r="F460" s="145"/>
      <c r="G460" s="130"/>
    </row>
    <row r="461" spans="2:8" s="13" customFormat="1" ht="30" customHeight="1" thickBot="1" x14ac:dyDescent="0.4">
      <c r="B461" s="48"/>
      <c r="C461" s="49" t="s">
        <v>139</v>
      </c>
      <c r="D461" s="11"/>
      <c r="E461" s="16"/>
      <c r="F461" s="145"/>
      <c r="G461" s="159">
        <f>SUM(G444:G460)</f>
        <v>70662</v>
      </c>
      <c r="H461" s="117"/>
    </row>
    <row r="462" spans="2:8" s="81" customFormat="1" ht="30" customHeight="1" thickTop="1" x14ac:dyDescent="0.35">
      <c r="B462" s="82"/>
      <c r="C462" s="93" t="s">
        <v>361</v>
      </c>
      <c r="D462" s="194"/>
      <c r="E462" s="82"/>
      <c r="F462" s="143"/>
      <c r="G462" s="144"/>
    </row>
    <row r="463" spans="2:8" s="13" customFormat="1" ht="21.95" customHeight="1" x14ac:dyDescent="0.35">
      <c r="B463" s="14"/>
      <c r="C463" s="15" t="s">
        <v>461</v>
      </c>
      <c r="D463" s="11"/>
      <c r="E463" s="16"/>
      <c r="F463" s="186"/>
      <c r="G463" s="187"/>
    </row>
    <row r="464" spans="2:8" s="13" customFormat="1" ht="80.25" customHeight="1" x14ac:dyDescent="0.35">
      <c r="B464" s="33"/>
      <c r="C464" s="68" t="s">
        <v>477</v>
      </c>
      <c r="D464" s="188"/>
      <c r="E464" s="23"/>
      <c r="F464" s="128"/>
      <c r="G464" s="129"/>
    </row>
    <row r="465" spans="2:8" s="13" customFormat="1" ht="21.95" customHeight="1" x14ac:dyDescent="0.35">
      <c r="B465" s="14" t="s">
        <v>31</v>
      </c>
      <c r="C465" s="105" t="s">
        <v>462</v>
      </c>
      <c r="D465" s="23">
        <v>25</v>
      </c>
      <c r="E465" s="16" t="s">
        <v>111</v>
      </c>
      <c r="F465" s="145">
        <v>85.6</v>
      </c>
      <c r="G465" s="130">
        <f>F465*D465</f>
        <v>2140</v>
      </c>
    </row>
    <row r="466" spans="2:8" s="13" customFormat="1" ht="24.95" customHeight="1" thickBot="1" x14ac:dyDescent="0.4">
      <c r="B466" s="48"/>
      <c r="C466" s="49" t="s">
        <v>139</v>
      </c>
      <c r="D466" s="11"/>
      <c r="E466" s="16"/>
      <c r="F466" s="145"/>
      <c r="G466" s="159">
        <f>SUM(G465)</f>
        <v>2140</v>
      </c>
      <c r="H466" s="117"/>
    </row>
    <row r="467" spans="2:8" s="13" customFormat="1" ht="24.95" customHeight="1" thickTop="1" x14ac:dyDescent="0.35">
      <c r="B467" s="14"/>
      <c r="C467" s="17"/>
      <c r="D467" s="11"/>
      <c r="E467" s="16"/>
      <c r="F467" s="145"/>
      <c r="G467" s="163"/>
      <c r="H467" s="117"/>
    </row>
    <row r="468" spans="2:8" s="13" customFormat="1" ht="24.95" customHeight="1" x14ac:dyDescent="0.35">
      <c r="B468" s="14"/>
      <c r="C468" s="17"/>
      <c r="D468" s="11"/>
      <c r="E468" s="16"/>
      <c r="F468" s="145"/>
      <c r="G468" s="130"/>
      <c r="H468" s="117"/>
    </row>
    <row r="469" spans="2:8" s="13" customFormat="1" ht="24.95" customHeight="1" x14ac:dyDescent="0.35">
      <c r="B469" s="14"/>
      <c r="C469" s="17"/>
      <c r="D469" s="11"/>
      <c r="E469" s="16"/>
      <c r="F469" s="145"/>
      <c r="G469" s="130"/>
      <c r="H469" s="117"/>
    </row>
    <row r="470" spans="2:8" s="13" customFormat="1" ht="24.95" customHeight="1" x14ac:dyDescent="0.35">
      <c r="B470" s="14"/>
      <c r="C470" s="55" t="s">
        <v>60</v>
      </c>
      <c r="D470" s="11"/>
      <c r="E470" s="16"/>
      <c r="F470" s="145"/>
      <c r="G470" s="130"/>
      <c r="H470" s="117"/>
    </row>
    <row r="471" spans="2:8" s="13" customFormat="1" ht="24.95" customHeight="1" x14ac:dyDescent="0.35">
      <c r="B471" s="14"/>
      <c r="C471" s="17" t="s">
        <v>362</v>
      </c>
      <c r="D471" s="11"/>
      <c r="E471" s="16"/>
      <c r="F471" s="145"/>
      <c r="G471" s="130">
        <f>G440</f>
        <v>0</v>
      </c>
      <c r="H471" s="117"/>
    </row>
    <row r="472" spans="2:8" s="13" customFormat="1" ht="24.95" customHeight="1" x14ac:dyDescent="0.35">
      <c r="B472" s="14"/>
      <c r="C472" s="17" t="s">
        <v>363</v>
      </c>
      <c r="D472" s="11"/>
      <c r="E472" s="16"/>
      <c r="F472" s="145"/>
      <c r="G472" s="130">
        <f>G461</f>
        <v>70662</v>
      </c>
      <c r="H472" s="117"/>
    </row>
    <row r="473" spans="2:8" s="13" customFormat="1" ht="24.95" customHeight="1" x14ac:dyDescent="0.35">
      <c r="B473" s="14"/>
      <c r="C473" s="17" t="s">
        <v>467</v>
      </c>
      <c r="D473" s="11"/>
      <c r="E473" s="16"/>
      <c r="F473" s="145"/>
      <c r="G473" s="130">
        <f>G466</f>
        <v>2140</v>
      </c>
      <c r="H473" s="117"/>
    </row>
    <row r="474" spans="2:8" s="13" customFormat="1" ht="24.95" customHeight="1" x14ac:dyDescent="0.35">
      <c r="B474" s="14"/>
      <c r="C474" s="17"/>
      <c r="D474" s="11"/>
      <c r="E474" s="16"/>
      <c r="F474" s="145"/>
      <c r="G474" s="130"/>
      <c r="H474" s="117"/>
    </row>
    <row r="475" spans="2:8" s="13" customFormat="1" ht="24.95" customHeight="1" x14ac:dyDescent="0.35">
      <c r="B475" s="14"/>
      <c r="C475" s="17"/>
      <c r="D475" s="11"/>
      <c r="E475" s="16"/>
      <c r="F475" s="145"/>
      <c r="G475" s="130"/>
      <c r="H475" s="117"/>
    </row>
    <row r="476" spans="2:8" s="13" customFormat="1" ht="24.95" customHeight="1" x14ac:dyDescent="0.35">
      <c r="B476" s="14"/>
      <c r="C476" s="17"/>
      <c r="D476" s="11"/>
      <c r="E476" s="16"/>
      <c r="F476" s="145"/>
      <c r="G476" s="130"/>
      <c r="H476" s="117"/>
    </row>
    <row r="477" spans="2:8" s="13" customFormat="1" ht="24.95" customHeight="1" x14ac:dyDescent="0.35">
      <c r="B477" s="14"/>
      <c r="C477" s="17"/>
      <c r="D477" s="11"/>
      <c r="E477" s="16"/>
      <c r="F477" s="145"/>
      <c r="G477" s="130"/>
      <c r="H477" s="117"/>
    </row>
    <row r="478" spans="2:8" s="13" customFormat="1" ht="24.95" customHeight="1" x14ac:dyDescent="0.35">
      <c r="B478" s="14"/>
      <c r="C478" s="17"/>
      <c r="D478" s="11"/>
      <c r="E478" s="16"/>
      <c r="F478" s="145"/>
      <c r="G478" s="130"/>
      <c r="H478" s="117"/>
    </row>
    <row r="479" spans="2:8" s="13" customFormat="1" ht="24.95" customHeight="1" x14ac:dyDescent="0.35">
      <c r="B479" s="14"/>
      <c r="C479" s="17"/>
      <c r="D479" s="11"/>
      <c r="E479" s="16"/>
      <c r="F479" s="145"/>
      <c r="G479" s="130"/>
      <c r="H479" s="117"/>
    </row>
    <row r="480" spans="2:8" s="13" customFormat="1" ht="24.95" customHeight="1" x14ac:dyDescent="0.35">
      <c r="B480" s="14"/>
      <c r="C480" s="17"/>
      <c r="D480" s="11"/>
      <c r="E480" s="16"/>
      <c r="F480" s="145"/>
      <c r="G480" s="130"/>
      <c r="H480" s="117"/>
    </row>
    <row r="481" spans="1:8" s="13" customFormat="1" ht="24.95" customHeight="1" x14ac:dyDescent="0.35">
      <c r="B481" s="14"/>
      <c r="C481" s="17"/>
      <c r="D481" s="11"/>
      <c r="E481" s="16"/>
      <c r="F481" s="145"/>
      <c r="G481" s="130"/>
      <c r="H481" s="117"/>
    </row>
    <row r="482" spans="1:8" s="13" customFormat="1" ht="24.95" customHeight="1" x14ac:dyDescent="0.35">
      <c r="B482" s="14"/>
      <c r="C482" s="17"/>
      <c r="D482" s="11"/>
      <c r="E482" s="16"/>
      <c r="F482" s="145"/>
      <c r="G482" s="130"/>
      <c r="H482" s="117"/>
    </row>
    <row r="483" spans="1:8" s="13" customFormat="1" ht="24.95" customHeight="1" x14ac:dyDescent="0.35">
      <c r="B483" s="14"/>
      <c r="C483" s="17"/>
      <c r="D483" s="11"/>
      <c r="E483" s="16"/>
      <c r="F483" s="145"/>
      <c r="G483" s="130"/>
      <c r="H483" s="117"/>
    </row>
    <row r="484" spans="1:8" s="13" customFormat="1" ht="24.95" customHeight="1" x14ac:dyDescent="0.35">
      <c r="B484" s="14"/>
      <c r="C484" s="17"/>
      <c r="D484" s="11"/>
      <c r="E484" s="16"/>
      <c r="F484" s="145"/>
      <c r="G484" s="130"/>
      <c r="H484" s="117"/>
    </row>
    <row r="485" spans="1:8" s="13" customFormat="1" ht="24.95" customHeight="1" x14ac:dyDescent="0.35">
      <c r="B485" s="14"/>
      <c r="C485" s="17"/>
      <c r="D485" s="11"/>
      <c r="E485" s="16"/>
      <c r="F485" s="145"/>
      <c r="G485" s="130"/>
      <c r="H485" s="117"/>
    </row>
    <row r="486" spans="1:8" s="13" customFormat="1" ht="33" customHeight="1" x14ac:dyDescent="0.35">
      <c r="B486" s="14"/>
      <c r="C486" s="17"/>
      <c r="D486" s="11"/>
      <c r="E486" s="16"/>
      <c r="F486" s="145"/>
      <c r="G486" s="130"/>
      <c r="H486" s="117"/>
    </row>
    <row r="487" spans="1:8" s="13" customFormat="1" ht="24.95" customHeight="1" x14ac:dyDescent="0.35">
      <c r="B487" s="14"/>
      <c r="C487" s="105"/>
      <c r="D487" s="23"/>
      <c r="E487" s="16"/>
      <c r="F487" s="145"/>
      <c r="G487" s="130"/>
    </row>
    <row r="488" spans="1:8" s="13" customFormat="1" ht="24.95" customHeight="1" x14ac:dyDescent="0.35">
      <c r="B488" s="14"/>
      <c r="C488" s="17"/>
      <c r="D488" s="23"/>
      <c r="E488" s="16"/>
      <c r="F488" s="145"/>
      <c r="G488" s="130"/>
    </row>
    <row r="489" spans="1:8" s="92" customFormat="1" ht="30" customHeight="1" thickBot="1" x14ac:dyDescent="0.4">
      <c r="A489" s="88"/>
      <c r="B489" s="89"/>
      <c r="C489" s="90" t="s">
        <v>55</v>
      </c>
      <c r="D489" s="193"/>
      <c r="E489" s="91"/>
      <c r="F489" s="141"/>
      <c r="G489" s="142">
        <f>SUM(G471:G473)</f>
        <v>72802</v>
      </c>
    </row>
    <row r="490" spans="1:8" s="86" customFormat="1" ht="30" customHeight="1" thickTop="1" x14ac:dyDescent="0.35">
      <c r="A490" s="81"/>
      <c r="B490" s="82"/>
      <c r="C490" s="93" t="s">
        <v>365</v>
      </c>
      <c r="D490" s="194"/>
      <c r="E490" s="82"/>
      <c r="F490" s="143"/>
      <c r="G490" s="147"/>
    </row>
    <row r="491" spans="1:8" s="80" customFormat="1" ht="21.95" customHeight="1" x14ac:dyDescent="0.35">
      <c r="A491" s="75"/>
      <c r="B491" s="76"/>
      <c r="C491" s="10" t="e">
        <f>C417</f>
        <v>#REF!</v>
      </c>
      <c r="D491" s="94"/>
      <c r="E491" s="77"/>
      <c r="F491" s="153"/>
      <c r="G491" s="164"/>
    </row>
    <row r="492" spans="1:8" s="80" customFormat="1" ht="21.95" customHeight="1" x14ac:dyDescent="0.35">
      <c r="A492" s="75"/>
      <c r="B492" s="76"/>
      <c r="C492" s="10" t="str">
        <f>C418</f>
        <v>APARTMENTS BLOCK</v>
      </c>
      <c r="D492" s="94"/>
      <c r="E492" s="77"/>
      <c r="F492" s="153"/>
      <c r="G492" s="164"/>
    </row>
    <row r="493" spans="1:8" s="80" customFormat="1" ht="21.95" customHeight="1" x14ac:dyDescent="0.35">
      <c r="A493" s="75"/>
      <c r="B493" s="76"/>
      <c r="C493" s="87" t="s">
        <v>244</v>
      </c>
      <c r="D493" s="94"/>
      <c r="E493" s="77"/>
      <c r="F493" s="153"/>
      <c r="G493" s="164"/>
    </row>
    <row r="494" spans="1:8" s="80" customFormat="1" ht="21.95" customHeight="1" x14ac:dyDescent="0.35">
      <c r="A494" s="75"/>
      <c r="B494" s="76"/>
      <c r="C494" s="87" t="s">
        <v>115</v>
      </c>
      <c r="D494" s="94"/>
      <c r="E494" s="77"/>
      <c r="F494" s="153"/>
      <c r="G494" s="164"/>
    </row>
    <row r="495" spans="1:8" s="13" customFormat="1" ht="21.95" customHeight="1" x14ac:dyDescent="0.35">
      <c r="B495" s="33"/>
      <c r="C495" s="113" t="s">
        <v>216</v>
      </c>
      <c r="D495" s="19"/>
      <c r="E495" s="23"/>
      <c r="F495" s="165"/>
      <c r="G495" s="166"/>
    </row>
    <row r="496" spans="1:8" s="8" customFormat="1" ht="129" customHeight="1" x14ac:dyDescent="0.35">
      <c r="B496" s="33"/>
      <c r="C496" s="113" t="s">
        <v>376</v>
      </c>
      <c r="D496" s="19"/>
      <c r="E496" s="23"/>
      <c r="F496" s="165"/>
      <c r="G496" s="166"/>
    </row>
    <row r="497" spans="1:7" s="13" customFormat="1" ht="49.5" customHeight="1" x14ac:dyDescent="0.35">
      <c r="B497" s="14" t="s">
        <v>31</v>
      </c>
      <c r="C497" s="217" t="s">
        <v>366</v>
      </c>
      <c r="D497" s="183">
        <v>2</v>
      </c>
      <c r="E497" s="127" t="s">
        <v>113</v>
      </c>
      <c r="F497" s="132">
        <v>1008</v>
      </c>
      <c r="G497" s="130">
        <f>F497*D497</f>
        <v>2016</v>
      </c>
    </row>
    <row r="498" spans="1:7" s="13" customFormat="1" ht="30" x14ac:dyDescent="0.35">
      <c r="B498" s="14" t="s">
        <v>32</v>
      </c>
      <c r="C498" s="217" t="s">
        <v>367</v>
      </c>
      <c r="D498" s="183">
        <v>7</v>
      </c>
      <c r="E498" s="127" t="s">
        <v>113</v>
      </c>
      <c r="F498" s="132">
        <v>576</v>
      </c>
      <c r="G498" s="130">
        <f t="shared" ref="G498:G505" si="14">F498*D498</f>
        <v>4032</v>
      </c>
    </row>
    <row r="499" spans="1:7" s="13" customFormat="1" ht="30" x14ac:dyDescent="0.35">
      <c r="B499" s="14" t="s">
        <v>33</v>
      </c>
      <c r="C499" s="217" t="s">
        <v>368</v>
      </c>
      <c r="D499" s="183">
        <v>21</v>
      </c>
      <c r="E499" s="127" t="s">
        <v>113</v>
      </c>
      <c r="F499" s="132">
        <v>921.59999999999991</v>
      </c>
      <c r="G499" s="130">
        <f t="shared" si="14"/>
        <v>19353.599999999999</v>
      </c>
    </row>
    <row r="500" spans="1:7" s="13" customFormat="1" ht="49.5" customHeight="1" x14ac:dyDescent="0.35">
      <c r="B500" s="14" t="s">
        <v>34</v>
      </c>
      <c r="C500" s="217" t="s">
        <v>369</v>
      </c>
      <c r="D500" s="183">
        <v>14</v>
      </c>
      <c r="E500" s="127" t="s">
        <v>113</v>
      </c>
      <c r="F500" s="132">
        <v>364.8</v>
      </c>
      <c r="G500" s="130">
        <f t="shared" si="14"/>
        <v>5107.2</v>
      </c>
    </row>
    <row r="501" spans="1:7" s="13" customFormat="1" ht="30" x14ac:dyDescent="0.35">
      <c r="B501" s="14" t="s">
        <v>35</v>
      </c>
      <c r="C501" s="217" t="s">
        <v>370</v>
      </c>
      <c r="D501" s="183">
        <v>2</v>
      </c>
      <c r="E501" s="127" t="s">
        <v>113</v>
      </c>
      <c r="F501" s="132">
        <v>576</v>
      </c>
      <c r="G501" s="130">
        <f t="shared" si="14"/>
        <v>1152</v>
      </c>
    </row>
    <row r="502" spans="1:7" s="13" customFormat="1" ht="30" x14ac:dyDescent="0.35">
      <c r="B502" s="14" t="s">
        <v>36</v>
      </c>
      <c r="C502" s="217" t="s">
        <v>371</v>
      </c>
      <c r="D502" s="183">
        <v>13</v>
      </c>
      <c r="E502" s="127" t="s">
        <v>113</v>
      </c>
      <c r="F502" s="132">
        <v>576</v>
      </c>
      <c r="G502" s="130">
        <f t="shared" si="14"/>
        <v>7488</v>
      </c>
    </row>
    <row r="503" spans="1:7" s="13" customFormat="1" ht="30" x14ac:dyDescent="0.35">
      <c r="B503" s="14" t="s">
        <v>114</v>
      </c>
      <c r="C503" s="217" t="s">
        <v>372</v>
      </c>
      <c r="D503" s="183">
        <v>15</v>
      </c>
      <c r="E503" s="127" t="s">
        <v>113</v>
      </c>
      <c r="F503" s="132">
        <v>1152</v>
      </c>
      <c r="G503" s="130">
        <f t="shared" si="14"/>
        <v>17280</v>
      </c>
    </row>
    <row r="504" spans="1:7" s="13" customFormat="1" ht="30" x14ac:dyDescent="0.35">
      <c r="B504" s="14" t="s">
        <v>39</v>
      </c>
      <c r="C504" s="217" t="s">
        <v>373</v>
      </c>
      <c r="D504" s="183">
        <v>2</v>
      </c>
      <c r="E504" s="127" t="s">
        <v>113</v>
      </c>
      <c r="F504" s="132">
        <v>691.19999999999993</v>
      </c>
      <c r="G504" s="130">
        <f t="shared" si="14"/>
        <v>1382.3999999999999</v>
      </c>
    </row>
    <row r="505" spans="1:7" s="13" customFormat="1" ht="30" x14ac:dyDescent="0.35">
      <c r="B505" s="14" t="s">
        <v>40</v>
      </c>
      <c r="C505" s="217" t="s">
        <v>374</v>
      </c>
      <c r="D505" s="183">
        <v>74</v>
      </c>
      <c r="E505" s="127" t="s">
        <v>113</v>
      </c>
      <c r="F505" s="132">
        <v>691.19999999999993</v>
      </c>
      <c r="G505" s="130">
        <f t="shared" si="14"/>
        <v>51148.799999999996</v>
      </c>
    </row>
    <row r="506" spans="1:7" s="13" customFormat="1" ht="24.95" customHeight="1" x14ac:dyDescent="0.35">
      <c r="B506" s="14"/>
      <c r="C506" s="217"/>
      <c r="D506" s="183"/>
      <c r="E506" s="127"/>
      <c r="F506" s="132"/>
      <c r="G506" s="130"/>
    </row>
    <row r="507" spans="1:7" s="13" customFormat="1" ht="24.95" customHeight="1" x14ac:dyDescent="0.35">
      <c r="B507" s="14"/>
      <c r="C507" s="217"/>
      <c r="D507" s="183"/>
      <c r="E507" s="127"/>
      <c r="F507" s="132"/>
      <c r="G507" s="130"/>
    </row>
    <row r="508" spans="1:7" s="13" customFormat="1" ht="24.95" customHeight="1" x14ac:dyDescent="0.35">
      <c r="B508" s="14"/>
      <c r="C508" s="217"/>
      <c r="D508" s="183"/>
      <c r="E508" s="127"/>
      <c r="F508" s="132"/>
      <c r="G508" s="130"/>
    </row>
    <row r="509" spans="1:7" s="13" customFormat="1" ht="24.95" customHeight="1" x14ac:dyDescent="0.35">
      <c r="B509" s="14"/>
      <c r="C509" s="217"/>
      <c r="D509" s="183"/>
      <c r="E509" s="127"/>
      <c r="F509" s="132"/>
      <c r="G509" s="130"/>
    </row>
    <row r="510" spans="1:7" s="92" customFormat="1" ht="30" customHeight="1" thickBot="1" x14ac:dyDescent="0.4">
      <c r="A510" s="88"/>
      <c r="B510" s="89"/>
      <c r="C510" s="90" t="s">
        <v>56</v>
      </c>
      <c r="D510" s="193"/>
      <c r="E510" s="91"/>
      <c r="F510" s="141"/>
      <c r="G510" s="142">
        <f>SUM(G497:G509)</f>
        <v>108960</v>
      </c>
    </row>
    <row r="511" spans="1:7" s="86" customFormat="1" ht="30" customHeight="1" thickTop="1" x14ac:dyDescent="0.35">
      <c r="A511" s="81"/>
      <c r="B511" s="82"/>
      <c r="C511" s="93" t="s">
        <v>306</v>
      </c>
      <c r="D511" s="194"/>
      <c r="E511" s="82"/>
      <c r="F511" s="143"/>
      <c r="G511" s="147"/>
    </row>
    <row r="512" spans="1:7" s="13" customFormat="1" ht="21.95" customHeight="1" x14ac:dyDescent="0.35">
      <c r="B512" s="33"/>
      <c r="C512" s="113" t="s">
        <v>375</v>
      </c>
      <c r="D512" s="19"/>
      <c r="E512" s="23"/>
      <c r="F512" s="165"/>
      <c r="G512" s="166"/>
    </row>
    <row r="513" spans="2:8" s="13" customFormat="1" ht="21.95" customHeight="1" x14ac:dyDescent="0.35">
      <c r="B513" s="33"/>
      <c r="C513" s="113" t="s">
        <v>377</v>
      </c>
      <c r="D513" s="19"/>
      <c r="E513" s="23"/>
      <c r="F513" s="165"/>
      <c r="G513" s="166"/>
    </row>
    <row r="514" spans="2:8" s="8" customFormat="1" ht="90" x14ac:dyDescent="0.35">
      <c r="B514" s="33"/>
      <c r="C514" s="113" t="s">
        <v>382</v>
      </c>
      <c r="D514" s="19"/>
      <c r="E514" s="23"/>
      <c r="F514" s="165"/>
      <c r="G514" s="166"/>
    </row>
    <row r="515" spans="2:8" s="13" customFormat="1" ht="21.95" customHeight="1" x14ac:dyDescent="0.35">
      <c r="B515" s="14" t="s">
        <v>31</v>
      </c>
      <c r="C515" s="17" t="s">
        <v>378</v>
      </c>
      <c r="D515" s="11">
        <v>1</v>
      </c>
      <c r="E515" s="16" t="s">
        <v>113</v>
      </c>
      <c r="F515" s="132">
        <v>449.82</v>
      </c>
      <c r="G515" s="166">
        <f>F515+D515</f>
        <v>450.82</v>
      </c>
      <c r="H515" s="109"/>
    </row>
    <row r="516" spans="2:8" s="13" customFormat="1" ht="48.75" customHeight="1" x14ac:dyDescent="0.35">
      <c r="B516" s="14" t="s">
        <v>32</v>
      </c>
      <c r="C516" s="217" t="s">
        <v>381</v>
      </c>
      <c r="D516" s="183">
        <v>1</v>
      </c>
      <c r="E516" s="127" t="s">
        <v>113</v>
      </c>
      <c r="F516" s="132">
        <v>1224</v>
      </c>
      <c r="G516" s="166">
        <f t="shared" ref="G516:G529" si="15">F516+D516</f>
        <v>1225</v>
      </c>
    </row>
    <row r="517" spans="2:8" s="13" customFormat="1" ht="30" x14ac:dyDescent="0.35">
      <c r="B517" s="14" t="s">
        <v>33</v>
      </c>
      <c r="C517" s="217" t="s">
        <v>384</v>
      </c>
      <c r="D517" s="183">
        <v>1</v>
      </c>
      <c r="E517" s="127" t="s">
        <v>113</v>
      </c>
      <c r="F517" s="132">
        <v>498.24</v>
      </c>
      <c r="G517" s="166">
        <f t="shared" si="15"/>
        <v>499.24</v>
      </c>
    </row>
    <row r="518" spans="2:8" s="13" customFormat="1" ht="30" x14ac:dyDescent="0.35">
      <c r="B518" s="14" t="s">
        <v>34</v>
      </c>
      <c r="C518" s="217" t="s">
        <v>383</v>
      </c>
      <c r="D518" s="183">
        <v>15</v>
      </c>
      <c r="E518" s="127" t="s">
        <v>113</v>
      </c>
      <c r="F518" s="132">
        <v>291.46500000000003</v>
      </c>
      <c r="G518" s="166">
        <f t="shared" si="15"/>
        <v>306.46500000000003</v>
      </c>
    </row>
    <row r="519" spans="2:8" s="8" customFormat="1" ht="30" x14ac:dyDescent="0.35">
      <c r="B519" s="33"/>
      <c r="C519" s="220" t="s">
        <v>380</v>
      </c>
      <c r="D519" s="19"/>
      <c r="E519" s="23"/>
      <c r="F519" s="165"/>
      <c r="G519" s="166"/>
    </row>
    <row r="520" spans="2:8" s="13" customFormat="1" ht="21.95" customHeight="1" x14ac:dyDescent="0.35">
      <c r="B520" s="14" t="s">
        <v>35</v>
      </c>
      <c r="C520" s="221" t="s">
        <v>379</v>
      </c>
      <c r="D520" s="11">
        <v>82</v>
      </c>
      <c r="E520" s="16" t="s">
        <v>111</v>
      </c>
      <c r="F520" s="132">
        <v>19.2</v>
      </c>
      <c r="G520" s="166">
        <f t="shared" si="15"/>
        <v>101.2</v>
      </c>
      <c r="H520" s="109"/>
    </row>
    <row r="521" spans="2:8" s="13" customFormat="1" ht="21.95" customHeight="1" x14ac:dyDescent="0.35">
      <c r="B521" s="33"/>
      <c r="C521" s="113" t="s">
        <v>385</v>
      </c>
      <c r="D521" s="19"/>
      <c r="E521" s="23"/>
      <c r="F521" s="165"/>
      <c r="G521" s="166"/>
    </row>
    <row r="522" spans="2:8" s="8" customFormat="1" ht="120" x14ac:dyDescent="0.35">
      <c r="B522" s="33"/>
      <c r="C522" s="113" t="s">
        <v>386</v>
      </c>
      <c r="D522" s="19"/>
      <c r="E522" s="23"/>
      <c r="F522" s="165"/>
      <c r="G522" s="166"/>
    </row>
    <row r="523" spans="2:8" s="13" customFormat="1" ht="30" x14ac:dyDescent="0.35">
      <c r="B523" s="14" t="s">
        <v>36</v>
      </c>
      <c r="C523" s="217" t="s">
        <v>387</v>
      </c>
      <c r="D523" s="183">
        <v>2</v>
      </c>
      <c r="E523" s="127" t="s">
        <v>113</v>
      </c>
      <c r="F523" s="132">
        <v>81</v>
      </c>
      <c r="G523" s="166">
        <f t="shared" si="15"/>
        <v>83</v>
      </c>
    </row>
    <row r="524" spans="2:8" s="13" customFormat="1" ht="21.95" customHeight="1" x14ac:dyDescent="0.35">
      <c r="B524" s="14" t="s">
        <v>114</v>
      </c>
      <c r="C524" s="17" t="s">
        <v>388</v>
      </c>
      <c r="D524" s="11">
        <v>30</v>
      </c>
      <c r="E524" s="16" t="s">
        <v>113</v>
      </c>
      <c r="F524" s="132">
        <v>69.3</v>
      </c>
      <c r="G524" s="166">
        <f t="shared" si="15"/>
        <v>99.3</v>
      </c>
      <c r="H524" s="109"/>
    </row>
    <row r="525" spans="2:8" s="13" customFormat="1" ht="21.95" customHeight="1" x14ac:dyDescent="0.35">
      <c r="B525" s="14" t="s">
        <v>39</v>
      </c>
      <c r="C525" s="17" t="s">
        <v>389</v>
      </c>
      <c r="D525" s="11">
        <v>200</v>
      </c>
      <c r="E525" s="16" t="s">
        <v>113</v>
      </c>
      <c r="F525" s="132">
        <v>39.6</v>
      </c>
      <c r="G525" s="166">
        <f t="shared" si="15"/>
        <v>239.6</v>
      </c>
      <c r="H525" s="109"/>
    </row>
    <row r="526" spans="2:8" s="13" customFormat="1" ht="45" x14ac:dyDescent="0.35">
      <c r="B526" s="14" t="s">
        <v>40</v>
      </c>
      <c r="C526" s="217" t="s">
        <v>392</v>
      </c>
      <c r="D526" s="183">
        <v>2</v>
      </c>
      <c r="E526" s="127" t="s">
        <v>113</v>
      </c>
      <c r="F526" s="132">
        <v>198.45000000000002</v>
      </c>
      <c r="G526" s="166">
        <f t="shared" si="15"/>
        <v>200.45000000000002</v>
      </c>
    </row>
    <row r="527" spans="2:8" s="13" customFormat="1" ht="21.95" customHeight="1" x14ac:dyDescent="0.35">
      <c r="B527" s="33"/>
      <c r="C527" s="113" t="s">
        <v>43</v>
      </c>
      <c r="D527" s="19"/>
      <c r="E527" s="23"/>
      <c r="F527" s="165"/>
      <c r="G527" s="166"/>
    </row>
    <row r="528" spans="2:8" s="8" customFormat="1" ht="45" x14ac:dyDescent="0.35">
      <c r="B528" s="33"/>
      <c r="C528" s="113" t="s">
        <v>278</v>
      </c>
      <c r="D528" s="19"/>
      <c r="E528" s="23"/>
      <c r="F528" s="165"/>
      <c r="G528" s="166"/>
    </row>
    <row r="529" spans="1:8" s="13" customFormat="1" ht="21.95" customHeight="1" x14ac:dyDescent="0.35">
      <c r="B529" s="14" t="s">
        <v>15</v>
      </c>
      <c r="C529" s="17" t="s">
        <v>390</v>
      </c>
      <c r="D529" s="11">
        <v>403</v>
      </c>
      <c r="E529" s="16" t="s">
        <v>111</v>
      </c>
      <c r="F529" s="132">
        <v>4</v>
      </c>
      <c r="G529" s="166">
        <f t="shared" si="15"/>
        <v>407</v>
      </c>
      <c r="H529" s="109"/>
    </row>
    <row r="530" spans="1:8" s="92" customFormat="1" ht="30" customHeight="1" thickBot="1" x14ac:dyDescent="0.4">
      <c r="A530" s="88"/>
      <c r="B530" s="89"/>
      <c r="C530" s="90" t="s">
        <v>56</v>
      </c>
      <c r="D530" s="193"/>
      <c r="E530" s="91"/>
      <c r="F530" s="141"/>
      <c r="G530" s="142">
        <f>SUM(G515:G529)</f>
        <v>3612.0749999999998</v>
      </c>
    </row>
    <row r="531" spans="1:8" s="86" customFormat="1" ht="30" customHeight="1" thickTop="1" x14ac:dyDescent="0.35">
      <c r="A531" s="81"/>
      <c r="B531" s="82"/>
      <c r="C531" s="93" t="s">
        <v>308</v>
      </c>
      <c r="D531" s="194"/>
      <c r="E531" s="82"/>
      <c r="F531" s="143"/>
      <c r="G531" s="147"/>
    </row>
    <row r="532" spans="1:8" s="13" customFormat="1" ht="21.95" customHeight="1" x14ac:dyDescent="0.35">
      <c r="B532" s="33"/>
      <c r="C532" s="113" t="s">
        <v>144</v>
      </c>
      <c r="D532" s="19"/>
      <c r="E532" s="23"/>
      <c r="F532" s="165"/>
      <c r="G532" s="166"/>
    </row>
    <row r="533" spans="1:8" s="13" customFormat="1" ht="21.95" customHeight="1" x14ac:dyDescent="0.35">
      <c r="B533" s="33"/>
      <c r="C533" s="113" t="s">
        <v>400</v>
      </c>
      <c r="D533" s="19"/>
      <c r="E533" s="23"/>
      <c r="F533" s="165"/>
      <c r="G533" s="166"/>
    </row>
    <row r="534" spans="1:8" s="86" customFormat="1" ht="30" x14ac:dyDescent="0.35">
      <c r="A534" s="81"/>
      <c r="B534" s="82"/>
      <c r="C534" s="68" t="s">
        <v>393</v>
      </c>
      <c r="D534" s="11"/>
      <c r="E534" s="83"/>
      <c r="F534" s="155"/>
      <c r="G534" s="166"/>
    </row>
    <row r="535" spans="1:8" s="13" customFormat="1" ht="30" x14ac:dyDescent="0.35">
      <c r="B535" s="14" t="s">
        <v>31</v>
      </c>
      <c r="C535" s="217" t="s">
        <v>394</v>
      </c>
      <c r="D535" s="183">
        <v>7</v>
      </c>
      <c r="E535" s="127" t="s">
        <v>113</v>
      </c>
      <c r="F535" s="132">
        <v>210</v>
      </c>
      <c r="G535" s="166">
        <f>F535*D535</f>
        <v>1470</v>
      </c>
    </row>
    <row r="536" spans="1:8" s="13" customFormat="1" ht="45" x14ac:dyDescent="0.35">
      <c r="B536" s="14" t="s">
        <v>32</v>
      </c>
      <c r="C536" s="217" t="s">
        <v>395</v>
      </c>
      <c r="D536" s="183">
        <v>14</v>
      </c>
      <c r="E536" s="127" t="s">
        <v>113</v>
      </c>
      <c r="F536" s="132">
        <v>450</v>
      </c>
      <c r="G536" s="166">
        <f t="shared" ref="G536:G550" si="16">F536*D536</f>
        <v>6300</v>
      </c>
    </row>
    <row r="537" spans="1:8" s="13" customFormat="1" ht="21.95" customHeight="1" x14ac:dyDescent="0.35">
      <c r="B537" s="14" t="s">
        <v>33</v>
      </c>
      <c r="C537" s="17" t="s">
        <v>396</v>
      </c>
      <c r="D537" s="11">
        <v>41</v>
      </c>
      <c r="E537" s="16" t="s">
        <v>113</v>
      </c>
      <c r="F537" s="132">
        <v>210</v>
      </c>
      <c r="G537" s="166">
        <f t="shared" si="16"/>
        <v>8610</v>
      </c>
      <c r="H537" s="109"/>
    </row>
    <row r="538" spans="1:8" s="13" customFormat="1" ht="21.95" customHeight="1" x14ac:dyDescent="0.35">
      <c r="B538" s="14" t="s">
        <v>34</v>
      </c>
      <c r="C538" s="17" t="s">
        <v>397</v>
      </c>
      <c r="D538" s="11">
        <v>25</v>
      </c>
      <c r="E538" s="16" t="s">
        <v>113</v>
      </c>
      <c r="F538" s="132">
        <v>262.5</v>
      </c>
      <c r="G538" s="166">
        <f t="shared" si="16"/>
        <v>6562.5</v>
      </c>
      <c r="H538" s="109"/>
    </row>
    <row r="539" spans="1:8" s="13" customFormat="1" ht="21.95" customHeight="1" x14ac:dyDescent="0.35">
      <c r="B539" s="14" t="s">
        <v>35</v>
      </c>
      <c r="C539" s="17" t="s">
        <v>398</v>
      </c>
      <c r="D539" s="11">
        <v>287</v>
      </c>
      <c r="E539" s="16" t="s">
        <v>113</v>
      </c>
      <c r="F539" s="132">
        <v>236.25</v>
      </c>
      <c r="G539" s="166">
        <f t="shared" si="16"/>
        <v>67803.75</v>
      </c>
      <c r="H539" s="109"/>
    </row>
    <row r="540" spans="1:8" s="13" customFormat="1" ht="60" x14ac:dyDescent="0.35">
      <c r="B540" s="14" t="s">
        <v>36</v>
      </c>
      <c r="C540" s="217" t="s">
        <v>399</v>
      </c>
      <c r="D540" s="183">
        <v>23</v>
      </c>
      <c r="E540" s="127" t="s">
        <v>113</v>
      </c>
      <c r="F540" s="132">
        <v>450</v>
      </c>
      <c r="G540" s="166">
        <f t="shared" si="16"/>
        <v>10350</v>
      </c>
    </row>
    <row r="541" spans="1:8" s="13" customFormat="1" ht="21.95" customHeight="1" x14ac:dyDescent="0.35">
      <c r="B541" s="33"/>
      <c r="C541" s="113" t="s">
        <v>313</v>
      </c>
      <c r="D541" s="19"/>
      <c r="E541" s="23"/>
      <c r="F541" s="165"/>
      <c r="G541" s="166"/>
    </row>
    <row r="542" spans="1:8" s="86" customFormat="1" ht="90" x14ac:dyDescent="0.35">
      <c r="A542" s="81"/>
      <c r="B542" s="82"/>
      <c r="C542" s="68" t="s">
        <v>401</v>
      </c>
      <c r="D542" s="11"/>
      <c r="E542" s="83"/>
      <c r="F542" s="155"/>
      <c r="G542" s="166"/>
    </row>
    <row r="543" spans="1:8" s="13" customFormat="1" ht="21.95" customHeight="1" x14ac:dyDescent="0.35">
      <c r="B543" s="14" t="s">
        <v>114</v>
      </c>
      <c r="C543" s="17" t="s">
        <v>402</v>
      </c>
      <c r="D543" s="11">
        <v>33</v>
      </c>
      <c r="E543" s="16" t="s">
        <v>113</v>
      </c>
      <c r="F543" s="132">
        <v>236.25</v>
      </c>
      <c r="G543" s="166">
        <f t="shared" si="16"/>
        <v>7796.25</v>
      </c>
      <c r="H543" s="109"/>
    </row>
    <row r="544" spans="1:8" s="86" customFormat="1" ht="33" customHeight="1" x14ac:dyDescent="0.35">
      <c r="A544" s="81"/>
      <c r="B544" s="82"/>
      <c r="C544" s="68" t="s">
        <v>145</v>
      </c>
      <c r="D544" s="11"/>
      <c r="E544" s="83"/>
      <c r="F544" s="155"/>
      <c r="G544" s="166"/>
    </row>
    <row r="545" spans="1:7" ht="21.95" customHeight="1" x14ac:dyDescent="0.35">
      <c r="B545" s="70" t="s">
        <v>39</v>
      </c>
      <c r="C545" s="102" t="s">
        <v>403</v>
      </c>
      <c r="D545" s="11">
        <v>2038</v>
      </c>
      <c r="E545" s="124" t="s">
        <v>112</v>
      </c>
      <c r="F545" s="167">
        <v>20.6</v>
      </c>
      <c r="G545" s="166">
        <f t="shared" si="16"/>
        <v>41982.8</v>
      </c>
    </row>
    <row r="546" spans="1:7" ht="21.95" customHeight="1" x14ac:dyDescent="0.35">
      <c r="B546" s="70" t="s">
        <v>40</v>
      </c>
      <c r="C546" s="125" t="s">
        <v>404</v>
      </c>
      <c r="D546" s="11">
        <v>221</v>
      </c>
      <c r="E546" s="124" t="s">
        <v>112</v>
      </c>
      <c r="F546" s="167">
        <v>15.76</v>
      </c>
      <c r="G546" s="166">
        <f t="shared" si="16"/>
        <v>3482.96</v>
      </c>
    </row>
    <row r="547" spans="1:7" ht="21.95" customHeight="1" x14ac:dyDescent="0.35">
      <c r="B547" s="70" t="s">
        <v>15</v>
      </c>
      <c r="C547" s="102" t="s">
        <v>405</v>
      </c>
      <c r="D547" s="11">
        <v>37</v>
      </c>
      <c r="E547" s="124" t="s">
        <v>112</v>
      </c>
      <c r="F547" s="167">
        <v>20.6</v>
      </c>
      <c r="G547" s="166">
        <f t="shared" si="16"/>
        <v>762.2</v>
      </c>
    </row>
    <row r="548" spans="1:7" s="86" customFormat="1" ht="21.95" customHeight="1" x14ac:dyDescent="0.35">
      <c r="A548" s="81"/>
      <c r="B548" s="82" t="s">
        <v>16</v>
      </c>
      <c r="C548" s="100" t="s">
        <v>135</v>
      </c>
      <c r="D548" s="11">
        <v>4518</v>
      </c>
      <c r="E548" s="83" t="s">
        <v>112</v>
      </c>
      <c r="F548" s="155">
        <v>2.7</v>
      </c>
      <c r="G548" s="166">
        <f t="shared" si="16"/>
        <v>12198.6</v>
      </c>
    </row>
    <row r="549" spans="1:7" s="86" customFormat="1" ht="21.95" customHeight="1" x14ac:dyDescent="0.35">
      <c r="A549" s="81"/>
      <c r="B549" s="82" t="s">
        <v>89</v>
      </c>
      <c r="C549" s="100" t="s">
        <v>136</v>
      </c>
      <c r="D549" s="11">
        <v>4518</v>
      </c>
      <c r="E549" s="83" t="s">
        <v>112</v>
      </c>
      <c r="F549" s="155">
        <v>2.7</v>
      </c>
      <c r="G549" s="166">
        <f t="shared" si="16"/>
        <v>12198.6</v>
      </c>
    </row>
    <row r="550" spans="1:7" s="86" customFormat="1" ht="21.95" customHeight="1" x14ac:dyDescent="0.35">
      <c r="A550" s="81"/>
      <c r="B550" s="82" t="s">
        <v>17</v>
      </c>
      <c r="C550" s="100" t="s">
        <v>307</v>
      </c>
      <c r="D550" s="11">
        <v>96</v>
      </c>
      <c r="E550" s="83" t="s">
        <v>112</v>
      </c>
      <c r="F550" s="155">
        <v>1.8</v>
      </c>
      <c r="G550" s="166">
        <f t="shared" si="16"/>
        <v>172.8</v>
      </c>
    </row>
    <row r="551" spans="1:7" s="86" customFormat="1" ht="24.95" customHeight="1" x14ac:dyDescent="0.35">
      <c r="A551" s="81"/>
      <c r="B551" s="82"/>
      <c r="C551" s="100"/>
      <c r="D551" s="11"/>
      <c r="E551" s="83"/>
      <c r="F551" s="155"/>
      <c r="G551" s="166"/>
    </row>
    <row r="552" spans="1:7" s="86" customFormat="1" ht="24.95" customHeight="1" x14ac:dyDescent="0.35">
      <c r="A552" s="81"/>
      <c r="B552" s="82"/>
      <c r="C552" s="100"/>
      <c r="D552" s="11"/>
      <c r="E552" s="83"/>
      <c r="F552" s="155"/>
      <c r="G552" s="166"/>
    </row>
    <row r="553" spans="1:7" s="86" customFormat="1" ht="24.95" customHeight="1" x14ac:dyDescent="0.35">
      <c r="A553" s="81"/>
      <c r="B553" s="82"/>
      <c r="C553" s="100"/>
      <c r="D553" s="11"/>
      <c r="E553" s="83"/>
      <c r="F553" s="155"/>
      <c r="G553" s="166"/>
    </row>
    <row r="554" spans="1:7" s="86" customFormat="1" ht="24.95" customHeight="1" x14ac:dyDescent="0.35">
      <c r="A554" s="81"/>
      <c r="B554" s="82"/>
      <c r="C554" s="100"/>
      <c r="D554" s="11"/>
      <c r="E554" s="83"/>
      <c r="F554" s="155"/>
      <c r="G554" s="166"/>
    </row>
    <row r="555" spans="1:7" s="92" customFormat="1" ht="30" customHeight="1" thickBot="1" x14ac:dyDescent="0.4">
      <c r="A555" s="88"/>
      <c r="B555" s="89"/>
      <c r="C555" s="90" t="s">
        <v>56</v>
      </c>
      <c r="D555" s="193"/>
      <c r="E555" s="91"/>
      <c r="F555" s="141"/>
      <c r="G555" s="142">
        <f>SUM(G535:G554)</f>
        <v>179690.46</v>
      </c>
    </row>
    <row r="556" spans="1:7" s="86" customFormat="1" ht="30" customHeight="1" thickTop="1" x14ac:dyDescent="0.35">
      <c r="A556" s="81"/>
      <c r="B556" s="82"/>
      <c r="C556" s="93" t="s">
        <v>312</v>
      </c>
      <c r="D556" s="194"/>
      <c r="E556" s="82"/>
      <c r="F556" s="143"/>
      <c r="G556" s="147"/>
    </row>
    <row r="557" spans="1:7" s="197" customFormat="1" ht="21.95" customHeight="1" x14ac:dyDescent="0.35">
      <c r="B557" s="28"/>
      <c r="C557" s="21" t="s">
        <v>59</v>
      </c>
      <c r="D557" s="11"/>
      <c r="E557" s="29"/>
      <c r="F557" s="168"/>
      <c r="G557" s="166"/>
    </row>
    <row r="558" spans="1:7" s="86" customFormat="1" ht="51" customHeight="1" x14ac:dyDescent="0.35">
      <c r="A558" s="81"/>
      <c r="B558" s="82"/>
      <c r="C558" s="68" t="s">
        <v>407</v>
      </c>
      <c r="D558" s="11"/>
      <c r="E558" s="83"/>
      <c r="F558" s="169"/>
      <c r="G558" s="166"/>
    </row>
    <row r="559" spans="1:7" s="197" customFormat="1" ht="21.95" customHeight="1" x14ac:dyDescent="0.35">
      <c r="B559" s="28"/>
      <c r="C559" s="21" t="s">
        <v>149</v>
      </c>
      <c r="D559" s="11"/>
      <c r="E559" s="29"/>
      <c r="F559" s="168"/>
      <c r="G559" s="166"/>
    </row>
    <row r="560" spans="1:7" s="5" customFormat="1" ht="30" x14ac:dyDescent="0.35">
      <c r="B560" s="6" t="s">
        <v>31</v>
      </c>
      <c r="C560" s="27" t="s">
        <v>406</v>
      </c>
      <c r="D560" s="11">
        <v>732</v>
      </c>
      <c r="E560" s="59" t="s">
        <v>134</v>
      </c>
      <c r="F560" s="168">
        <v>16.5</v>
      </c>
      <c r="G560" s="166">
        <f>F560*D560</f>
        <v>12078</v>
      </c>
    </row>
    <row r="561" spans="1:7" s="197" customFormat="1" ht="21.95" customHeight="1" x14ac:dyDescent="0.35">
      <c r="B561" s="28"/>
      <c r="C561" s="21" t="s">
        <v>151</v>
      </c>
      <c r="D561" s="11"/>
      <c r="E561" s="29"/>
      <c r="F561" s="168"/>
      <c r="G561" s="166"/>
    </row>
    <row r="562" spans="1:7" s="5" customFormat="1" ht="30" x14ac:dyDescent="0.35">
      <c r="B562" s="6" t="s">
        <v>32</v>
      </c>
      <c r="C562" s="27" t="s">
        <v>409</v>
      </c>
      <c r="D562" s="11">
        <v>430</v>
      </c>
      <c r="E562" s="59" t="s">
        <v>134</v>
      </c>
      <c r="F562" s="168">
        <v>62.35</v>
      </c>
      <c r="G562" s="166">
        <f t="shared" ref="G562:G571" si="17">F562*D562</f>
        <v>26810.5</v>
      </c>
    </row>
    <row r="563" spans="1:7" s="197" customFormat="1" ht="21.95" customHeight="1" x14ac:dyDescent="0.35">
      <c r="B563" s="28"/>
      <c r="C563" s="21" t="s">
        <v>150</v>
      </c>
      <c r="D563" s="11"/>
      <c r="E563" s="29"/>
      <c r="F563" s="168"/>
      <c r="G563" s="166"/>
    </row>
    <row r="564" spans="1:7" s="5" customFormat="1" ht="30" x14ac:dyDescent="0.35">
      <c r="B564" s="6" t="s">
        <v>33</v>
      </c>
      <c r="C564" s="27" t="s">
        <v>408</v>
      </c>
      <c r="D564" s="11">
        <v>430</v>
      </c>
      <c r="E564" s="59" t="s">
        <v>113</v>
      </c>
      <c r="F564" s="168">
        <v>45.2</v>
      </c>
      <c r="G564" s="166">
        <f t="shared" si="17"/>
        <v>19436</v>
      </c>
    </row>
    <row r="565" spans="1:7" s="197" customFormat="1" ht="21.95" customHeight="1" x14ac:dyDescent="0.35">
      <c r="B565" s="28"/>
      <c r="C565" s="21" t="s">
        <v>152</v>
      </c>
      <c r="D565" s="11"/>
      <c r="E565" s="29"/>
      <c r="F565" s="168"/>
      <c r="G565" s="166"/>
    </row>
    <row r="566" spans="1:7" s="5" customFormat="1" ht="21.95" customHeight="1" x14ac:dyDescent="0.35">
      <c r="B566" s="6" t="s">
        <v>34</v>
      </c>
      <c r="C566" s="27" t="s">
        <v>410</v>
      </c>
      <c r="D566" s="11">
        <v>488</v>
      </c>
      <c r="E566" s="59" t="s">
        <v>113</v>
      </c>
      <c r="F566" s="168">
        <v>9.0500000000000007</v>
      </c>
      <c r="G566" s="166">
        <f t="shared" si="17"/>
        <v>4416.4000000000005</v>
      </c>
    </row>
    <row r="567" spans="1:7" s="86" customFormat="1" ht="45" x14ac:dyDescent="0.35">
      <c r="A567" s="81"/>
      <c r="B567" s="82"/>
      <c r="C567" s="68" t="s">
        <v>146</v>
      </c>
      <c r="D567" s="11"/>
      <c r="E567" s="83"/>
      <c r="F567" s="155"/>
      <c r="G567" s="166"/>
    </row>
    <row r="568" spans="1:7" s="86" customFormat="1" ht="21.95" customHeight="1" x14ac:dyDescent="0.35">
      <c r="A568" s="81"/>
      <c r="B568" s="82" t="s">
        <v>35</v>
      </c>
      <c r="C568" s="100" t="s">
        <v>132</v>
      </c>
      <c r="D568" s="11">
        <v>1685</v>
      </c>
      <c r="E568" s="83" t="s">
        <v>111</v>
      </c>
      <c r="F568" s="155">
        <v>4</v>
      </c>
      <c r="G568" s="166">
        <f t="shared" si="17"/>
        <v>6740</v>
      </c>
    </row>
    <row r="569" spans="1:7" ht="21.95" customHeight="1" x14ac:dyDescent="0.35">
      <c r="B569" s="70" t="s">
        <v>36</v>
      </c>
      <c r="C569" s="102" t="s">
        <v>147</v>
      </c>
      <c r="D569" s="11">
        <v>2333</v>
      </c>
      <c r="E569" s="124" t="s">
        <v>112</v>
      </c>
      <c r="F569" s="167">
        <v>1.43</v>
      </c>
      <c r="G569" s="166">
        <f t="shared" si="17"/>
        <v>3336.19</v>
      </c>
    </row>
    <row r="570" spans="1:7" s="86" customFormat="1" ht="21.95" customHeight="1" x14ac:dyDescent="0.35">
      <c r="A570" s="81"/>
      <c r="B570" s="82" t="s">
        <v>114</v>
      </c>
      <c r="C570" s="100" t="s">
        <v>133</v>
      </c>
      <c r="D570" s="11">
        <v>9132</v>
      </c>
      <c r="E570" s="83" t="s">
        <v>112</v>
      </c>
      <c r="F570" s="155">
        <v>0.5</v>
      </c>
      <c r="G570" s="166">
        <f t="shared" si="17"/>
        <v>4566</v>
      </c>
    </row>
    <row r="571" spans="1:7" s="86" customFormat="1" ht="21.95" customHeight="1" x14ac:dyDescent="0.35">
      <c r="A571" s="81"/>
      <c r="B571" s="82" t="s">
        <v>39</v>
      </c>
      <c r="C571" s="100" t="s">
        <v>148</v>
      </c>
      <c r="D571" s="11">
        <v>2259</v>
      </c>
      <c r="E571" s="83" t="s">
        <v>112</v>
      </c>
      <c r="F571" s="155">
        <v>1.43</v>
      </c>
      <c r="G571" s="166">
        <f t="shared" si="17"/>
        <v>3230.37</v>
      </c>
    </row>
    <row r="572" spans="1:7" s="92" customFormat="1" ht="24.95" customHeight="1" thickBot="1" x14ac:dyDescent="0.4">
      <c r="A572" s="88"/>
      <c r="B572" s="89"/>
      <c r="C572" s="90" t="s">
        <v>56</v>
      </c>
      <c r="D572" s="193"/>
      <c r="E572" s="91"/>
      <c r="F572" s="141"/>
      <c r="G572" s="142">
        <f>SUM(G560:G571)</f>
        <v>80613.459999999992</v>
      </c>
    </row>
    <row r="573" spans="1:7" s="92" customFormat="1" ht="24.95" customHeight="1" thickTop="1" x14ac:dyDescent="0.35">
      <c r="A573" s="88"/>
      <c r="B573" s="89"/>
      <c r="C573" s="90"/>
      <c r="D573" s="193"/>
      <c r="E573" s="91"/>
      <c r="F573" s="141"/>
      <c r="G573" s="170"/>
    </row>
    <row r="574" spans="1:7" s="92" customFormat="1" ht="24.95" customHeight="1" x14ac:dyDescent="0.35">
      <c r="A574" s="88"/>
      <c r="B574" s="89"/>
      <c r="C574" s="94" t="s">
        <v>60</v>
      </c>
      <c r="D574" s="193"/>
      <c r="E574" s="91"/>
      <c r="F574" s="141"/>
      <c r="G574" s="148"/>
    </row>
    <row r="575" spans="1:7" s="13" customFormat="1" ht="24.95" customHeight="1" x14ac:dyDescent="0.35">
      <c r="B575" s="14"/>
      <c r="C575" s="17" t="s">
        <v>309</v>
      </c>
      <c r="D575" s="11"/>
      <c r="E575" s="16"/>
      <c r="F575" s="132"/>
      <c r="G575" s="140">
        <f>G510</f>
        <v>108960</v>
      </c>
    </row>
    <row r="576" spans="1:7" s="13" customFormat="1" ht="24.95" customHeight="1" x14ac:dyDescent="0.35">
      <c r="B576" s="14"/>
      <c r="C576" s="17" t="s">
        <v>310</v>
      </c>
      <c r="D576" s="11"/>
      <c r="E576" s="16"/>
      <c r="F576" s="132"/>
      <c r="G576" s="140">
        <f>G530</f>
        <v>3612.0749999999998</v>
      </c>
    </row>
    <row r="577" spans="1:7" s="13" customFormat="1" ht="24.95" customHeight="1" x14ac:dyDescent="0.35">
      <c r="B577" s="14"/>
      <c r="C577" s="17" t="s">
        <v>311</v>
      </c>
      <c r="D577" s="11"/>
      <c r="E577" s="16"/>
      <c r="F577" s="132"/>
      <c r="G577" s="140">
        <f>G555</f>
        <v>179690.46</v>
      </c>
    </row>
    <row r="578" spans="1:7" s="13" customFormat="1" ht="24.95" customHeight="1" x14ac:dyDescent="0.35">
      <c r="B578" s="14"/>
      <c r="C578" s="17" t="s">
        <v>411</v>
      </c>
      <c r="D578" s="11"/>
      <c r="E578" s="16"/>
      <c r="F578" s="132"/>
      <c r="G578" s="140">
        <f>G572</f>
        <v>80613.459999999992</v>
      </c>
    </row>
    <row r="579" spans="1:7" s="13" customFormat="1" ht="24.95" customHeight="1" x14ac:dyDescent="0.35">
      <c r="B579" s="14"/>
      <c r="C579" s="17"/>
      <c r="D579" s="11"/>
      <c r="E579" s="16"/>
      <c r="F579" s="132"/>
      <c r="G579" s="140"/>
    </row>
    <row r="580" spans="1:7" s="13" customFormat="1" ht="24.95" customHeight="1" x14ac:dyDescent="0.35">
      <c r="B580" s="14"/>
      <c r="C580" s="17"/>
      <c r="D580" s="11"/>
      <c r="E580" s="16"/>
      <c r="F580" s="132"/>
      <c r="G580" s="140"/>
    </row>
    <row r="581" spans="1:7" s="13" customFormat="1" ht="24.95" customHeight="1" x14ac:dyDescent="0.35">
      <c r="B581" s="14"/>
      <c r="C581" s="17"/>
      <c r="D581" s="11"/>
      <c r="E581" s="16"/>
      <c r="F581" s="132"/>
      <c r="G581" s="140"/>
    </row>
    <row r="582" spans="1:7" s="13" customFormat="1" ht="24.95" customHeight="1" x14ac:dyDescent="0.35">
      <c r="B582" s="14"/>
      <c r="C582" s="17"/>
      <c r="D582" s="11"/>
      <c r="E582" s="16"/>
      <c r="F582" s="132"/>
      <c r="G582" s="140"/>
    </row>
    <row r="583" spans="1:7" s="13" customFormat="1" ht="24.95" customHeight="1" x14ac:dyDescent="0.35">
      <c r="B583" s="14"/>
      <c r="C583" s="17"/>
      <c r="D583" s="11"/>
      <c r="E583" s="16"/>
      <c r="F583" s="132"/>
      <c r="G583" s="140"/>
    </row>
    <row r="584" spans="1:7" s="104" customFormat="1" ht="30" customHeight="1" thickBot="1" x14ac:dyDescent="0.4">
      <c r="A584" s="103"/>
      <c r="B584" s="82"/>
      <c r="C584" s="90" t="s">
        <v>55</v>
      </c>
      <c r="D584" s="192"/>
      <c r="E584" s="83"/>
      <c r="F584" s="171"/>
      <c r="G584" s="142">
        <f>SUM(G575:G583)</f>
        <v>372875.995</v>
      </c>
    </row>
    <row r="585" spans="1:7" s="86" customFormat="1" ht="30" customHeight="1" thickTop="1" x14ac:dyDescent="0.35">
      <c r="A585" s="81"/>
      <c r="B585" s="82"/>
      <c r="C585" s="93" t="s">
        <v>412</v>
      </c>
      <c r="D585" s="194"/>
      <c r="E585" s="82"/>
      <c r="F585" s="143"/>
      <c r="G585" s="147"/>
    </row>
    <row r="586" spans="1:7" s="80" customFormat="1" ht="21.95" customHeight="1" x14ac:dyDescent="0.35">
      <c r="A586" s="75"/>
      <c r="B586" s="76"/>
      <c r="C586" s="87" t="e">
        <f>C491</f>
        <v>#REF!</v>
      </c>
      <c r="D586" s="94"/>
      <c r="E586" s="77"/>
      <c r="F586" s="153"/>
      <c r="G586" s="164"/>
    </row>
    <row r="587" spans="1:7" s="80" customFormat="1" ht="21.95" customHeight="1" x14ac:dyDescent="0.35">
      <c r="A587" s="75"/>
      <c r="B587" s="76"/>
      <c r="C587" s="87" t="str">
        <f>C492</f>
        <v>APARTMENTS BLOCK</v>
      </c>
      <c r="D587" s="94"/>
      <c r="E587" s="77"/>
      <c r="F587" s="153"/>
      <c r="G587" s="164"/>
    </row>
    <row r="588" spans="1:7" s="80" customFormat="1" ht="21.95" customHeight="1" x14ac:dyDescent="0.35">
      <c r="A588" s="75"/>
      <c r="B588" s="76"/>
      <c r="C588" s="87" t="s">
        <v>245</v>
      </c>
      <c r="D588" s="94"/>
      <c r="E588" s="77"/>
      <c r="F588" s="153"/>
      <c r="G588" s="164"/>
    </row>
    <row r="589" spans="1:7" s="80" customFormat="1" ht="21.95" customHeight="1" x14ac:dyDescent="0.35">
      <c r="A589" s="75"/>
      <c r="B589" s="76"/>
      <c r="C589" s="87" t="s">
        <v>116</v>
      </c>
      <c r="D589" s="94"/>
      <c r="E589" s="77"/>
      <c r="F589" s="153"/>
      <c r="G589" s="164"/>
    </row>
    <row r="590" spans="1:7" s="13" customFormat="1" ht="21.95" customHeight="1" x14ac:dyDescent="0.35">
      <c r="B590" s="33"/>
      <c r="C590" s="15" t="s">
        <v>217</v>
      </c>
      <c r="D590" s="19"/>
      <c r="E590" s="23"/>
      <c r="F590" s="165"/>
      <c r="G590" s="133"/>
    </row>
    <row r="591" spans="1:7" s="13" customFormat="1" ht="160.5" customHeight="1" x14ac:dyDescent="0.35">
      <c r="B591" s="33"/>
      <c r="C591" s="68" t="s">
        <v>413</v>
      </c>
      <c r="D591" s="19"/>
      <c r="E591" s="23"/>
      <c r="F591" s="165"/>
      <c r="G591" s="133"/>
    </row>
    <row r="592" spans="1:7" s="13" customFormat="1" ht="30" x14ac:dyDescent="0.35">
      <c r="B592" s="14" t="s">
        <v>31</v>
      </c>
      <c r="C592" s="107" t="s">
        <v>427</v>
      </c>
      <c r="D592" s="11">
        <v>1</v>
      </c>
      <c r="E592" s="16" t="s">
        <v>113</v>
      </c>
      <c r="F592" s="132">
        <v>518.40000000000009</v>
      </c>
      <c r="G592" s="133">
        <f>F592*D592</f>
        <v>518.40000000000009</v>
      </c>
    </row>
    <row r="593" spans="1:10" s="13" customFormat="1" ht="30" x14ac:dyDescent="0.35">
      <c r="B593" s="14" t="s">
        <v>32</v>
      </c>
      <c r="C593" s="107" t="s">
        <v>428</v>
      </c>
      <c r="D593" s="11">
        <v>3</v>
      </c>
      <c r="E593" s="16" t="s">
        <v>113</v>
      </c>
      <c r="F593" s="132">
        <v>921.59999999999991</v>
      </c>
      <c r="G593" s="133">
        <f t="shared" ref="G593:G603" si="18">F593*D593</f>
        <v>2764.7999999999997</v>
      </c>
    </row>
    <row r="594" spans="1:10" s="13" customFormat="1" ht="21.95" customHeight="1" x14ac:dyDescent="0.35">
      <c r="B594" s="14" t="s">
        <v>33</v>
      </c>
      <c r="C594" s="107" t="s">
        <v>417</v>
      </c>
      <c r="D594" s="11">
        <v>2</v>
      </c>
      <c r="E594" s="16" t="s">
        <v>113</v>
      </c>
      <c r="F594" s="132">
        <v>88</v>
      </c>
      <c r="G594" s="133">
        <f t="shared" si="18"/>
        <v>176</v>
      </c>
    </row>
    <row r="595" spans="1:10" s="13" customFormat="1" ht="21.95" customHeight="1" x14ac:dyDescent="0.35">
      <c r="B595" s="14" t="s">
        <v>34</v>
      </c>
      <c r="C595" s="107" t="s">
        <v>418</v>
      </c>
      <c r="D595" s="11">
        <v>2</v>
      </c>
      <c r="E595" s="16" t="s">
        <v>113</v>
      </c>
      <c r="F595" s="132">
        <v>840</v>
      </c>
      <c r="G595" s="133">
        <f t="shared" si="18"/>
        <v>1680</v>
      </c>
    </row>
    <row r="596" spans="1:10" s="13" customFormat="1" ht="21.95" customHeight="1" x14ac:dyDescent="0.35">
      <c r="B596" s="14" t="s">
        <v>35</v>
      </c>
      <c r="C596" s="107" t="s">
        <v>419</v>
      </c>
      <c r="D596" s="11">
        <v>6</v>
      </c>
      <c r="E596" s="16" t="s">
        <v>113</v>
      </c>
      <c r="F596" s="132">
        <v>960</v>
      </c>
      <c r="G596" s="133">
        <f t="shared" si="18"/>
        <v>5760</v>
      </c>
    </row>
    <row r="597" spans="1:10" s="13" customFormat="1" ht="21.95" customHeight="1" x14ac:dyDescent="0.35">
      <c r="B597" s="14" t="s">
        <v>36</v>
      </c>
      <c r="C597" s="107" t="s">
        <v>420</v>
      </c>
      <c r="D597" s="11">
        <v>8</v>
      </c>
      <c r="E597" s="16" t="s">
        <v>113</v>
      </c>
      <c r="F597" s="132">
        <v>374.4</v>
      </c>
      <c r="G597" s="133">
        <f t="shared" si="18"/>
        <v>2995.2</v>
      </c>
    </row>
    <row r="598" spans="1:10" s="13" customFormat="1" ht="21.95" customHeight="1" x14ac:dyDescent="0.35">
      <c r="B598" s="14" t="s">
        <v>114</v>
      </c>
      <c r="C598" s="107" t="s">
        <v>421</v>
      </c>
      <c r="D598" s="11">
        <v>29</v>
      </c>
      <c r="E598" s="16" t="s">
        <v>113</v>
      </c>
      <c r="F598" s="132">
        <v>180</v>
      </c>
      <c r="G598" s="133">
        <f t="shared" si="18"/>
        <v>5220</v>
      </c>
    </row>
    <row r="599" spans="1:10" s="13" customFormat="1" ht="21.95" customHeight="1" x14ac:dyDescent="0.35">
      <c r="B599" s="14" t="s">
        <v>39</v>
      </c>
      <c r="C599" s="107" t="s">
        <v>422</v>
      </c>
      <c r="D599" s="11">
        <v>144</v>
      </c>
      <c r="E599" s="16" t="s">
        <v>113</v>
      </c>
      <c r="F599" s="132">
        <v>112</v>
      </c>
      <c r="G599" s="133">
        <f t="shared" si="18"/>
        <v>16128</v>
      </c>
    </row>
    <row r="600" spans="1:10" s="13" customFormat="1" ht="21.95" customHeight="1" x14ac:dyDescent="0.35">
      <c r="B600" s="14" t="s">
        <v>40</v>
      </c>
      <c r="C600" s="107" t="s">
        <v>423</v>
      </c>
      <c r="D600" s="11">
        <v>42</v>
      </c>
      <c r="E600" s="16" t="s">
        <v>113</v>
      </c>
      <c r="F600" s="132">
        <v>172.8</v>
      </c>
      <c r="G600" s="133">
        <f t="shared" si="18"/>
        <v>7257.6</v>
      </c>
    </row>
    <row r="601" spans="1:10" s="13" customFormat="1" ht="21.95" customHeight="1" x14ac:dyDescent="0.35">
      <c r="B601" s="14" t="s">
        <v>15</v>
      </c>
      <c r="C601" s="107" t="s">
        <v>424</v>
      </c>
      <c r="D601" s="11">
        <v>2</v>
      </c>
      <c r="E601" s="16" t="s">
        <v>113</v>
      </c>
      <c r="F601" s="132">
        <v>460.80000000000007</v>
      </c>
      <c r="G601" s="133">
        <f t="shared" si="18"/>
        <v>921.60000000000014</v>
      </c>
    </row>
    <row r="602" spans="1:10" s="13" customFormat="1" ht="60" x14ac:dyDescent="0.35">
      <c r="B602" s="14"/>
      <c r="C602" s="68" t="s">
        <v>416</v>
      </c>
      <c r="D602" s="23"/>
      <c r="E602" s="16"/>
      <c r="F602" s="184"/>
      <c r="G602" s="133"/>
      <c r="H602" s="222"/>
    </row>
    <row r="603" spans="1:10" s="13" customFormat="1" ht="21.95" customHeight="1" x14ac:dyDescent="0.35">
      <c r="B603" s="14" t="s">
        <v>16</v>
      </c>
      <c r="C603" s="107" t="s">
        <v>425</v>
      </c>
      <c r="D603" s="11">
        <v>22</v>
      </c>
      <c r="E603" s="16" t="s">
        <v>113</v>
      </c>
      <c r="F603" s="179">
        <v>122.5</v>
      </c>
      <c r="G603" s="133">
        <f t="shared" si="18"/>
        <v>2695</v>
      </c>
    </row>
    <row r="604" spans="1:10" s="86" customFormat="1" ht="24.95" customHeight="1" x14ac:dyDescent="0.35">
      <c r="A604" s="81"/>
      <c r="B604" s="82"/>
      <c r="C604" s="100"/>
      <c r="D604" s="11"/>
      <c r="E604" s="83"/>
      <c r="F604" s="155"/>
      <c r="G604" s="166"/>
      <c r="J604" s="13"/>
    </row>
    <row r="605" spans="1:10" s="86" customFormat="1" ht="24.95" customHeight="1" x14ac:dyDescent="0.35">
      <c r="A605" s="81"/>
      <c r="B605" s="82"/>
      <c r="C605" s="100"/>
      <c r="D605" s="11"/>
      <c r="E605" s="83"/>
      <c r="F605" s="155"/>
      <c r="G605" s="166"/>
      <c r="J605" s="13"/>
    </row>
    <row r="606" spans="1:10" s="86" customFormat="1" ht="24.95" customHeight="1" x14ac:dyDescent="0.35">
      <c r="A606" s="81"/>
      <c r="B606" s="82"/>
      <c r="C606" s="100"/>
      <c r="D606" s="11"/>
      <c r="E606" s="83"/>
      <c r="F606" s="155"/>
      <c r="G606" s="166"/>
      <c r="J606" s="13"/>
    </row>
    <row r="607" spans="1:10" s="92" customFormat="1" ht="30" customHeight="1" thickBot="1" x14ac:dyDescent="0.4">
      <c r="A607" s="88"/>
      <c r="B607" s="89"/>
      <c r="C607" s="90" t="s">
        <v>56</v>
      </c>
      <c r="D607" s="193"/>
      <c r="E607" s="91"/>
      <c r="F607" s="141"/>
      <c r="G607" s="142">
        <f>SUM(G592:G606)</f>
        <v>46116.6</v>
      </c>
      <c r="J607" s="13"/>
    </row>
    <row r="608" spans="1:10" s="86" customFormat="1" ht="30" customHeight="1" thickTop="1" x14ac:dyDescent="0.35">
      <c r="A608" s="81"/>
      <c r="B608" s="82"/>
      <c r="C608" s="93" t="s">
        <v>176</v>
      </c>
      <c r="D608" s="194"/>
      <c r="E608" s="82"/>
      <c r="F608" s="143"/>
      <c r="G608" s="147"/>
      <c r="J608" s="13"/>
    </row>
    <row r="609" spans="1:10" s="13" customFormat="1" ht="21.95" customHeight="1" x14ac:dyDescent="0.35">
      <c r="B609" s="33"/>
      <c r="C609" s="113" t="s">
        <v>414</v>
      </c>
      <c r="D609" s="19"/>
      <c r="E609" s="23"/>
      <c r="F609" s="165"/>
      <c r="G609" s="166"/>
    </row>
    <row r="610" spans="1:10" s="8" customFormat="1" ht="105" x14ac:dyDescent="0.35">
      <c r="B610" s="33"/>
      <c r="C610" s="113" t="s">
        <v>415</v>
      </c>
      <c r="D610" s="19"/>
      <c r="E610" s="23"/>
      <c r="F610" s="165"/>
      <c r="G610" s="166"/>
      <c r="J610" s="13"/>
    </row>
    <row r="611" spans="1:10" s="13" customFormat="1" ht="21.95" customHeight="1" x14ac:dyDescent="0.35">
      <c r="B611" s="14" t="s">
        <v>31</v>
      </c>
      <c r="C611" s="107" t="s">
        <v>426</v>
      </c>
      <c r="D611" s="11">
        <v>1</v>
      </c>
      <c r="E611" s="16" t="s">
        <v>113</v>
      </c>
      <c r="F611" s="132">
        <v>3240</v>
      </c>
      <c r="G611" s="133">
        <f>F611*D611</f>
        <v>3240</v>
      </c>
    </row>
    <row r="612" spans="1:10" s="8" customFormat="1" ht="30" x14ac:dyDescent="0.35">
      <c r="B612" s="33"/>
      <c r="C612" s="220" t="s">
        <v>380</v>
      </c>
      <c r="D612" s="19"/>
      <c r="E612" s="23"/>
      <c r="F612" s="165"/>
      <c r="G612" s="133"/>
    </row>
    <row r="613" spans="1:10" s="13" customFormat="1" ht="21.95" customHeight="1" x14ac:dyDescent="0.35">
      <c r="B613" s="14" t="s">
        <v>32</v>
      </c>
      <c r="C613" s="221" t="s">
        <v>379</v>
      </c>
      <c r="D613" s="11">
        <v>41</v>
      </c>
      <c r="E613" s="16" t="s">
        <v>111</v>
      </c>
      <c r="F613" s="132">
        <v>19.2</v>
      </c>
      <c r="G613" s="133">
        <f t="shared" ref="G613:G616" si="19">F613*D613</f>
        <v>787.19999999999993</v>
      </c>
      <c r="H613" s="109"/>
    </row>
    <row r="614" spans="1:10" s="13" customFormat="1" ht="21.95" customHeight="1" x14ac:dyDescent="0.35">
      <c r="B614" s="33"/>
      <c r="C614" s="113" t="s">
        <v>43</v>
      </c>
      <c r="D614" s="19"/>
      <c r="E614" s="23"/>
      <c r="F614" s="165"/>
      <c r="G614" s="133"/>
    </row>
    <row r="615" spans="1:10" s="8" customFormat="1" ht="45" x14ac:dyDescent="0.35">
      <c r="B615" s="33"/>
      <c r="C615" s="113" t="s">
        <v>278</v>
      </c>
      <c r="D615" s="19"/>
      <c r="E615" s="23"/>
      <c r="F615" s="165"/>
      <c r="G615" s="133"/>
    </row>
    <row r="616" spans="1:10" s="13" customFormat="1" ht="21.95" customHeight="1" x14ac:dyDescent="0.35">
      <c r="B616" s="14" t="s">
        <v>33</v>
      </c>
      <c r="C616" s="17" t="s">
        <v>390</v>
      </c>
      <c r="D616" s="11">
        <v>81</v>
      </c>
      <c r="E616" s="16" t="s">
        <v>111</v>
      </c>
      <c r="F616" s="132">
        <v>4</v>
      </c>
      <c r="G616" s="133">
        <f t="shared" si="19"/>
        <v>324</v>
      </c>
      <c r="H616" s="109"/>
    </row>
    <row r="617" spans="1:10" s="92" customFormat="1" ht="24.95" customHeight="1" thickBot="1" x14ac:dyDescent="0.4">
      <c r="A617" s="88"/>
      <c r="B617" s="89"/>
      <c r="C617" s="90" t="s">
        <v>56</v>
      </c>
      <c r="D617" s="193"/>
      <c r="E617" s="91"/>
      <c r="F617" s="141"/>
      <c r="G617" s="142">
        <f>SUM(G611:G616)</f>
        <v>4351.2</v>
      </c>
    </row>
    <row r="618" spans="1:10" s="92" customFormat="1" ht="24.95" customHeight="1" thickTop="1" x14ac:dyDescent="0.35">
      <c r="A618" s="88"/>
      <c r="B618" s="89"/>
      <c r="C618" s="90"/>
      <c r="D618" s="193"/>
      <c r="E618" s="91"/>
      <c r="F618" s="141"/>
      <c r="G618" s="170"/>
    </row>
    <row r="619" spans="1:10" s="92" customFormat="1" ht="24.95" customHeight="1" x14ac:dyDescent="0.35">
      <c r="A619" s="88"/>
      <c r="B619" s="89"/>
      <c r="C619" s="94" t="s">
        <v>60</v>
      </c>
      <c r="D619" s="193"/>
      <c r="E619" s="91"/>
      <c r="F619" s="141"/>
      <c r="G619" s="148"/>
    </row>
    <row r="620" spans="1:10" s="13" customFormat="1" ht="24.95" customHeight="1" x14ac:dyDescent="0.35">
      <c r="B620" s="14"/>
      <c r="C620" s="17" t="s">
        <v>429</v>
      </c>
      <c r="D620" s="11"/>
      <c r="E620" s="16"/>
      <c r="F620" s="132"/>
      <c r="G620" s="140">
        <f>G607</f>
        <v>46116.6</v>
      </c>
    </row>
    <row r="621" spans="1:10" s="13" customFormat="1" ht="24.95" customHeight="1" x14ac:dyDescent="0.35">
      <c r="B621" s="14"/>
      <c r="C621" s="17" t="s">
        <v>430</v>
      </c>
      <c r="D621" s="11"/>
      <c r="E621" s="16"/>
      <c r="F621" s="132"/>
      <c r="G621" s="140">
        <f>G617</f>
        <v>4351.2</v>
      </c>
    </row>
    <row r="622" spans="1:10" s="13" customFormat="1" ht="24.95" customHeight="1" x14ac:dyDescent="0.35">
      <c r="B622" s="14"/>
      <c r="C622" s="17"/>
      <c r="D622" s="11"/>
      <c r="E622" s="16"/>
      <c r="F622" s="132"/>
      <c r="G622" s="140"/>
    </row>
    <row r="623" spans="1:10" s="13" customFormat="1" ht="24.95" customHeight="1" x14ac:dyDescent="0.35">
      <c r="B623" s="14"/>
      <c r="C623" s="17"/>
      <c r="D623" s="11"/>
      <c r="E623" s="16"/>
      <c r="F623" s="132"/>
      <c r="G623" s="140"/>
    </row>
    <row r="624" spans="1:10" s="13" customFormat="1" ht="24.95" customHeight="1" x14ac:dyDescent="0.35">
      <c r="B624" s="14"/>
      <c r="C624" s="17"/>
      <c r="D624" s="11"/>
      <c r="E624" s="16"/>
      <c r="F624" s="132"/>
      <c r="G624" s="140"/>
    </row>
    <row r="625" spans="1:7" s="13" customFormat="1" ht="24.95" customHeight="1" x14ac:dyDescent="0.35">
      <c r="B625" s="14"/>
      <c r="C625" s="17"/>
      <c r="D625" s="11"/>
      <c r="E625" s="16"/>
      <c r="F625" s="132"/>
      <c r="G625" s="140"/>
    </row>
    <row r="626" spans="1:7" s="13" customFormat="1" ht="24.95" customHeight="1" x14ac:dyDescent="0.35">
      <c r="B626" s="14"/>
      <c r="C626" s="17"/>
      <c r="D626" s="11"/>
      <c r="E626" s="16"/>
      <c r="F626" s="132"/>
      <c r="G626" s="140"/>
    </row>
    <row r="627" spans="1:7" s="13" customFormat="1" ht="30" customHeight="1" x14ac:dyDescent="0.35">
      <c r="B627" s="14"/>
      <c r="C627" s="17"/>
      <c r="D627" s="11"/>
      <c r="E627" s="16"/>
      <c r="F627" s="132"/>
      <c r="G627" s="140"/>
    </row>
    <row r="628" spans="1:7" s="13" customFormat="1" ht="24.95" customHeight="1" x14ac:dyDescent="0.35">
      <c r="B628" s="14"/>
      <c r="C628" s="17"/>
      <c r="D628" s="11"/>
      <c r="E628" s="16"/>
      <c r="F628" s="132"/>
      <c r="G628" s="140"/>
    </row>
    <row r="629" spans="1:7" s="13" customFormat="1" ht="24.95" customHeight="1" x14ac:dyDescent="0.35">
      <c r="B629" s="14"/>
      <c r="C629" s="17"/>
      <c r="D629" s="11"/>
      <c r="E629" s="16"/>
      <c r="F629" s="132"/>
      <c r="G629" s="140"/>
    </row>
    <row r="630" spans="1:7" s="13" customFormat="1" ht="24.95" customHeight="1" x14ac:dyDescent="0.35">
      <c r="B630" s="14"/>
      <c r="C630" s="17"/>
      <c r="D630" s="11"/>
      <c r="E630" s="16"/>
      <c r="F630" s="132"/>
      <c r="G630" s="140"/>
    </row>
    <row r="631" spans="1:7" s="13" customFormat="1" ht="24.95" customHeight="1" x14ac:dyDescent="0.35">
      <c r="B631" s="14"/>
      <c r="C631" s="17"/>
      <c r="D631" s="11"/>
      <c r="E631" s="16"/>
      <c r="F631" s="132"/>
      <c r="G631" s="140"/>
    </row>
    <row r="632" spans="1:7" s="13" customFormat="1" ht="24.95" customHeight="1" x14ac:dyDescent="0.35">
      <c r="B632" s="14"/>
      <c r="C632" s="17"/>
      <c r="D632" s="11"/>
      <c r="E632" s="16"/>
      <c r="F632" s="132"/>
      <c r="G632" s="140"/>
    </row>
    <row r="633" spans="1:7" s="92" customFormat="1" ht="30" customHeight="1" thickBot="1" x14ac:dyDescent="0.4">
      <c r="A633" s="88"/>
      <c r="B633" s="89"/>
      <c r="C633" s="90" t="s">
        <v>55</v>
      </c>
      <c r="D633" s="193"/>
      <c r="E633" s="91"/>
      <c r="F633" s="141"/>
      <c r="G633" s="142">
        <f>SUM(G620:G621)</f>
        <v>50467.799999999996</v>
      </c>
    </row>
    <row r="634" spans="1:7" s="86" customFormat="1" ht="30" customHeight="1" thickTop="1" x14ac:dyDescent="0.35">
      <c r="A634" s="81"/>
      <c r="B634" s="82"/>
      <c r="C634" s="93" t="s">
        <v>431</v>
      </c>
      <c r="D634" s="194"/>
      <c r="E634" s="82"/>
      <c r="F634" s="143"/>
      <c r="G634" s="147"/>
    </row>
    <row r="635" spans="1:7" s="80" customFormat="1" ht="21.95" customHeight="1" x14ac:dyDescent="0.35">
      <c r="A635" s="75"/>
      <c r="B635" s="76"/>
      <c r="C635" s="87" t="e">
        <f>C586</f>
        <v>#REF!</v>
      </c>
      <c r="D635" s="94"/>
      <c r="E635" s="77"/>
      <c r="F635" s="153"/>
      <c r="G635" s="164"/>
    </row>
    <row r="636" spans="1:7" s="80" customFormat="1" ht="21.95" customHeight="1" x14ac:dyDescent="0.35">
      <c r="A636" s="75"/>
      <c r="B636" s="76"/>
      <c r="C636" s="87" t="str">
        <f>C587</f>
        <v>APARTMENTS BLOCK</v>
      </c>
      <c r="D636" s="94"/>
      <c r="E636" s="77"/>
      <c r="F636" s="153"/>
      <c r="G636" s="164"/>
    </row>
    <row r="637" spans="1:7" s="80" customFormat="1" ht="21.95" customHeight="1" x14ac:dyDescent="0.35">
      <c r="A637" s="75"/>
      <c r="B637" s="76"/>
      <c r="C637" s="87" t="s">
        <v>438</v>
      </c>
      <c r="D637" s="94"/>
      <c r="E637" s="77"/>
      <c r="F637" s="153"/>
      <c r="G637" s="164"/>
    </row>
    <row r="638" spans="1:7" s="42" customFormat="1" ht="21.95" customHeight="1" x14ac:dyDescent="0.35">
      <c r="B638" s="28"/>
      <c r="C638" s="38" t="s">
        <v>140</v>
      </c>
      <c r="D638" s="43"/>
      <c r="E638" s="29"/>
      <c r="F638" s="134"/>
      <c r="G638" s="172"/>
    </row>
    <row r="639" spans="1:7" s="46" customFormat="1" ht="45" x14ac:dyDescent="0.35">
      <c r="B639" s="28"/>
      <c r="C639" s="106" t="s">
        <v>143</v>
      </c>
      <c r="D639" s="29"/>
      <c r="E639" s="16"/>
      <c r="F639" s="134"/>
      <c r="G639" s="130"/>
    </row>
    <row r="640" spans="1:7" s="46" customFormat="1" ht="21.95" customHeight="1" x14ac:dyDescent="0.35">
      <c r="B640" s="28" t="s">
        <v>31</v>
      </c>
      <c r="C640" s="27" t="s">
        <v>300</v>
      </c>
      <c r="D640" s="116">
        <v>4427</v>
      </c>
      <c r="E640" s="29" t="s">
        <v>111</v>
      </c>
      <c r="F640" s="134">
        <v>4.5</v>
      </c>
      <c r="G640" s="130">
        <f>F640*D640</f>
        <v>19921.5</v>
      </c>
    </row>
    <row r="641" spans="1:7" s="46" customFormat="1" ht="150" x14ac:dyDescent="0.35">
      <c r="B641" s="28"/>
      <c r="C641" s="106" t="s">
        <v>435</v>
      </c>
      <c r="D641" s="116"/>
      <c r="E641" s="16"/>
      <c r="F641" s="134"/>
      <c r="G641" s="130"/>
    </row>
    <row r="642" spans="1:7" s="46" customFormat="1" ht="21.95" customHeight="1" x14ac:dyDescent="0.35">
      <c r="B642" s="28" t="s">
        <v>32</v>
      </c>
      <c r="C642" s="27" t="s">
        <v>433</v>
      </c>
      <c r="D642" s="116">
        <v>894</v>
      </c>
      <c r="E642" s="29" t="s">
        <v>111</v>
      </c>
      <c r="F642" s="134">
        <f>F451</f>
        <v>28</v>
      </c>
      <c r="G642" s="130">
        <f t="shared" ref="G642:G648" si="20">F642*D642</f>
        <v>25032</v>
      </c>
    </row>
    <row r="643" spans="1:7" s="46" customFormat="1" ht="150" x14ac:dyDescent="0.35">
      <c r="B643" s="28"/>
      <c r="C643" s="106" t="s">
        <v>432</v>
      </c>
      <c r="D643" s="116"/>
      <c r="E643" s="16"/>
      <c r="F643" s="134"/>
      <c r="G643" s="130"/>
    </row>
    <row r="644" spans="1:7" s="46" customFormat="1" ht="21.95" customHeight="1" x14ac:dyDescent="0.35">
      <c r="B644" s="28" t="s">
        <v>33</v>
      </c>
      <c r="C644" s="27" t="s">
        <v>433</v>
      </c>
      <c r="D644" s="116">
        <v>4737</v>
      </c>
      <c r="E644" s="29" t="s">
        <v>111</v>
      </c>
      <c r="F644" s="134">
        <v>15.88</v>
      </c>
      <c r="G644" s="130">
        <f t="shared" si="20"/>
        <v>75223.56</v>
      </c>
    </row>
    <row r="645" spans="1:7" s="46" customFormat="1" ht="21.95" customHeight="1" x14ac:dyDescent="0.35">
      <c r="B645" s="28" t="s">
        <v>34</v>
      </c>
      <c r="C645" s="27" t="s">
        <v>434</v>
      </c>
      <c r="D645" s="116">
        <v>1877</v>
      </c>
      <c r="E645" s="29" t="s">
        <v>112</v>
      </c>
      <c r="F645" s="134">
        <f>F644*0.5</f>
        <v>7.94</v>
      </c>
      <c r="G645" s="130">
        <f t="shared" si="20"/>
        <v>14903.380000000001</v>
      </c>
    </row>
    <row r="646" spans="1:7" s="46" customFormat="1" ht="30" x14ac:dyDescent="0.35">
      <c r="B646" s="28"/>
      <c r="C646" s="106" t="s">
        <v>218</v>
      </c>
      <c r="D646" s="116"/>
      <c r="E646" s="29"/>
      <c r="F646" s="134"/>
      <c r="G646" s="130"/>
    </row>
    <row r="647" spans="1:7" s="46" customFormat="1" ht="21.95" customHeight="1" x14ac:dyDescent="0.35">
      <c r="B647" s="28" t="s">
        <v>35</v>
      </c>
      <c r="C647" s="17" t="s">
        <v>301</v>
      </c>
      <c r="D647" s="116">
        <f>D644+D642</f>
        <v>5631</v>
      </c>
      <c r="E647" s="29" t="s">
        <v>111</v>
      </c>
      <c r="F647" s="134">
        <v>4</v>
      </c>
      <c r="G647" s="130">
        <f t="shared" si="20"/>
        <v>22524</v>
      </c>
    </row>
    <row r="648" spans="1:7" s="46" customFormat="1" ht="21.95" customHeight="1" x14ac:dyDescent="0.35">
      <c r="B648" s="126" t="s">
        <v>36</v>
      </c>
      <c r="C648" s="123" t="s">
        <v>219</v>
      </c>
      <c r="D648" s="116">
        <f>D640</f>
        <v>4427</v>
      </c>
      <c r="E648" s="127" t="s">
        <v>111</v>
      </c>
      <c r="F648" s="134">
        <v>4</v>
      </c>
      <c r="G648" s="130">
        <f t="shared" si="20"/>
        <v>17708</v>
      </c>
    </row>
    <row r="649" spans="1:7" s="86" customFormat="1" ht="24.95" customHeight="1" x14ac:dyDescent="0.35">
      <c r="A649" s="81"/>
      <c r="B649" s="82"/>
      <c r="C649" s="100"/>
      <c r="D649" s="11"/>
      <c r="E649" s="83"/>
      <c r="F649" s="155"/>
      <c r="G649" s="166"/>
    </row>
    <row r="650" spans="1:7" s="86" customFormat="1" ht="24.95" customHeight="1" x14ac:dyDescent="0.35">
      <c r="A650" s="81"/>
      <c r="B650" s="82"/>
      <c r="C650" s="100"/>
      <c r="D650" s="11"/>
      <c r="E650" s="83"/>
      <c r="F650" s="155"/>
      <c r="G650" s="166"/>
    </row>
    <row r="651" spans="1:7" s="86" customFormat="1" ht="24.95" customHeight="1" x14ac:dyDescent="0.35">
      <c r="A651" s="81"/>
      <c r="B651" s="82"/>
      <c r="C651" s="100"/>
      <c r="D651" s="11"/>
      <c r="E651" s="83"/>
      <c r="F651" s="155"/>
      <c r="G651" s="166"/>
    </row>
    <row r="652" spans="1:7" s="92" customFormat="1" ht="30" customHeight="1" thickBot="1" x14ac:dyDescent="0.4">
      <c r="A652" s="88"/>
      <c r="B652" s="89"/>
      <c r="C652" s="90" t="s">
        <v>56</v>
      </c>
      <c r="D652" s="193"/>
      <c r="E652" s="91"/>
      <c r="F652" s="141"/>
      <c r="G652" s="142">
        <f>SUM(G640:G651)</f>
        <v>175312.44</v>
      </c>
    </row>
    <row r="653" spans="1:7" s="86" customFormat="1" ht="30" customHeight="1" thickTop="1" x14ac:dyDescent="0.35">
      <c r="A653" s="81"/>
      <c r="B653" s="82"/>
      <c r="C653" s="93" t="s">
        <v>439</v>
      </c>
      <c r="D653" s="194"/>
      <c r="E653" s="82"/>
      <c r="F653" s="143"/>
      <c r="G653" s="147"/>
    </row>
    <row r="654" spans="1:7" s="46" customFormat="1" ht="33.75" customHeight="1" x14ac:dyDescent="0.35">
      <c r="B654" s="28"/>
      <c r="C654" s="106" t="s">
        <v>443</v>
      </c>
      <c r="D654" s="29"/>
      <c r="E654" s="16"/>
      <c r="F654" s="134"/>
      <c r="G654" s="130"/>
    </row>
    <row r="655" spans="1:7" s="46" customFormat="1" ht="21.95" customHeight="1" x14ac:dyDescent="0.35">
      <c r="B655" s="126" t="s">
        <v>31</v>
      </c>
      <c r="C655" s="123" t="s">
        <v>437</v>
      </c>
      <c r="D655" s="116">
        <v>117</v>
      </c>
      <c r="E655" s="127" t="s">
        <v>112</v>
      </c>
      <c r="F655" s="134">
        <v>8</v>
      </c>
      <c r="G655" s="130">
        <f>F655*D655</f>
        <v>936</v>
      </c>
    </row>
    <row r="656" spans="1:7" s="46" customFormat="1" ht="45" x14ac:dyDescent="0.35">
      <c r="B656" s="28"/>
      <c r="C656" s="106" t="s">
        <v>470</v>
      </c>
      <c r="D656" s="116"/>
      <c r="E656" s="29"/>
      <c r="F656" s="134"/>
      <c r="G656" s="130"/>
    </row>
    <row r="657" spans="1:7" s="46" customFormat="1" ht="21.95" customHeight="1" x14ac:dyDescent="0.35">
      <c r="B657" s="126" t="s">
        <v>32</v>
      </c>
      <c r="C657" s="123" t="s">
        <v>436</v>
      </c>
      <c r="D657" s="116">
        <f>D655</f>
        <v>117</v>
      </c>
      <c r="E657" s="127" t="s">
        <v>112</v>
      </c>
      <c r="F657" s="134">
        <v>1.48</v>
      </c>
      <c r="G657" s="130">
        <f t="shared" ref="G657" si="21">F657*D657</f>
        <v>173.16</v>
      </c>
    </row>
    <row r="658" spans="1:7" s="92" customFormat="1" ht="24.95" customHeight="1" thickBot="1" x14ac:dyDescent="0.4">
      <c r="A658" s="88"/>
      <c r="B658" s="89"/>
      <c r="C658" s="90" t="s">
        <v>56</v>
      </c>
      <c r="D658" s="193"/>
      <c r="E658" s="91"/>
      <c r="F658" s="141"/>
      <c r="G658" s="142">
        <f>SUM(G655:G657)</f>
        <v>1109.1600000000001</v>
      </c>
    </row>
    <row r="659" spans="1:7" s="92" customFormat="1" ht="24.95" customHeight="1" thickTop="1" x14ac:dyDescent="0.35">
      <c r="A659" s="88"/>
      <c r="B659" s="89"/>
      <c r="C659" s="90"/>
      <c r="D659" s="193"/>
      <c r="E659" s="91"/>
      <c r="F659" s="141"/>
      <c r="G659" s="170"/>
    </row>
    <row r="660" spans="1:7" s="92" customFormat="1" ht="24.95" customHeight="1" x14ac:dyDescent="0.35">
      <c r="A660" s="88"/>
      <c r="B660" s="89"/>
      <c r="C660" s="94" t="s">
        <v>60</v>
      </c>
      <c r="D660" s="193"/>
      <c r="E660" s="91"/>
      <c r="F660" s="141"/>
      <c r="G660" s="148"/>
    </row>
    <row r="661" spans="1:7" s="13" customFormat="1" ht="24.95" customHeight="1" x14ac:dyDescent="0.35">
      <c r="B661" s="14"/>
      <c r="C661" s="17" t="s">
        <v>440</v>
      </c>
      <c r="D661" s="11"/>
      <c r="E661" s="16"/>
      <c r="F661" s="132"/>
      <c r="G661" s="140">
        <f>G652</f>
        <v>175312.44</v>
      </c>
    </row>
    <row r="662" spans="1:7" s="13" customFormat="1" ht="24.95" customHeight="1" x14ac:dyDescent="0.35">
      <c r="B662" s="14"/>
      <c r="C662" s="17" t="s">
        <v>441</v>
      </c>
      <c r="D662" s="11"/>
      <c r="E662" s="16"/>
      <c r="F662" s="132"/>
      <c r="G662" s="140">
        <f>G658</f>
        <v>1109.1600000000001</v>
      </c>
    </row>
    <row r="663" spans="1:7" s="13" customFormat="1" ht="24.95" customHeight="1" x14ac:dyDescent="0.35">
      <c r="B663" s="14"/>
      <c r="C663" s="17"/>
      <c r="D663" s="11"/>
      <c r="E663" s="16"/>
      <c r="F663" s="132"/>
      <c r="G663" s="140"/>
    </row>
    <row r="664" spans="1:7" s="13" customFormat="1" ht="24.95" customHeight="1" x14ac:dyDescent="0.35">
      <c r="B664" s="14"/>
      <c r="C664" s="17"/>
      <c r="D664" s="11"/>
      <c r="E664" s="16"/>
      <c r="F664" s="132"/>
      <c r="G664" s="140"/>
    </row>
    <row r="665" spans="1:7" s="13" customFormat="1" ht="24.95" customHeight="1" x14ac:dyDescent="0.35">
      <c r="B665" s="14"/>
      <c r="C665" s="17"/>
      <c r="D665" s="11"/>
      <c r="E665" s="16"/>
      <c r="F665" s="132"/>
      <c r="G665" s="140"/>
    </row>
    <row r="666" spans="1:7" s="46" customFormat="1" ht="24.95" customHeight="1" x14ac:dyDescent="0.35">
      <c r="B666" s="28"/>
      <c r="C666" s="27"/>
      <c r="D666" s="23"/>
      <c r="E666" s="29"/>
      <c r="F666" s="134"/>
      <c r="G666" s="130"/>
    </row>
    <row r="667" spans="1:7" s="46" customFormat="1" ht="24.95" customHeight="1" x14ac:dyDescent="0.35">
      <c r="B667" s="28"/>
      <c r="C667" s="27"/>
      <c r="D667" s="23"/>
      <c r="E667" s="29"/>
      <c r="F667" s="134"/>
      <c r="G667" s="130"/>
    </row>
    <row r="668" spans="1:7" s="46" customFormat="1" ht="24.95" customHeight="1" x14ac:dyDescent="0.35">
      <c r="B668" s="28"/>
      <c r="C668" s="27"/>
      <c r="D668" s="23"/>
      <c r="E668" s="29"/>
      <c r="F668" s="134"/>
      <c r="G668" s="130"/>
    </row>
    <row r="669" spans="1:7" s="46" customFormat="1" ht="24.95" customHeight="1" x14ac:dyDescent="0.35">
      <c r="B669" s="28"/>
      <c r="C669" s="27"/>
      <c r="D669" s="23"/>
      <c r="E669" s="29"/>
      <c r="F669" s="134"/>
      <c r="G669" s="130"/>
    </row>
    <row r="670" spans="1:7" s="46" customFormat="1" ht="24.95" customHeight="1" x14ac:dyDescent="0.35">
      <c r="B670" s="28"/>
      <c r="C670" s="27"/>
      <c r="D670" s="23"/>
      <c r="E670" s="29"/>
      <c r="F670" s="134"/>
      <c r="G670" s="130"/>
    </row>
    <row r="671" spans="1:7" s="46" customFormat="1" ht="24.95" customHeight="1" x14ac:dyDescent="0.35">
      <c r="B671" s="26"/>
      <c r="C671" s="27"/>
      <c r="D671" s="29"/>
      <c r="E671" s="29"/>
      <c r="F671" s="134"/>
      <c r="G671" s="130"/>
    </row>
    <row r="672" spans="1:7" s="46" customFormat="1" ht="24.95" customHeight="1" x14ac:dyDescent="0.35">
      <c r="B672" s="26"/>
      <c r="C672" s="27"/>
      <c r="D672" s="29"/>
      <c r="E672" s="29"/>
      <c r="F672" s="134"/>
      <c r="G672" s="130"/>
    </row>
    <row r="673" spans="1:7" s="46" customFormat="1" ht="24.95" customHeight="1" x14ac:dyDescent="0.35">
      <c r="B673" s="26"/>
      <c r="C673" s="27"/>
      <c r="D673" s="29"/>
      <c r="E673" s="29"/>
      <c r="F673" s="134"/>
      <c r="G673" s="130"/>
    </row>
    <row r="674" spans="1:7" s="46" customFormat="1" ht="24.95" customHeight="1" x14ac:dyDescent="0.35">
      <c r="B674" s="26"/>
      <c r="C674" s="27"/>
      <c r="D674" s="29"/>
      <c r="E674" s="29"/>
      <c r="F674" s="134"/>
      <c r="G674" s="130"/>
    </row>
    <row r="675" spans="1:7" s="46" customFormat="1" ht="31.5" customHeight="1" x14ac:dyDescent="0.35">
      <c r="B675" s="26"/>
      <c r="C675" s="27"/>
      <c r="D675" s="29"/>
      <c r="E675" s="29"/>
      <c r="F675" s="134"/>
      <c r="G675" s="130"/>
    </row>
    <row r="676" spans="1:7" s="46" customFormat="1" ht="24.95" customHeight="1" x14ac:dyDescent="0.35">
      <c r="B676" s="26"/>
      <c r="C676" s="27"/>
      <c r="D676" s="29"/>
      <c r="E676" s="29"/>
      <c r="F676" s="134"/>
      <c r="G676" s="130"/>
    </row>
    <row r="677" spans="1:7" s="46" customFormat="1" ht="24.95" customHeight="1" x14ac:dyDescent="0.35">
      <c r="B677" s="26"/>
      <c r="C677" s="27"/>
      <c r="D677" s="29"/>
      <c r="E677" s="29"/>
      <c r="F677" s="134"/>
      <c r="G677" s="130"/>
    </row>
    <row r="678" spans="1:7" s="46" customFormat="1" ht="24.95" customHeight="1" x14ac:dyDescent="0.35">
      <c r="B678" s="26"/>
      <c r="C678" s="27"/>
      <c r="D678" s="29"/>
      <c r="E678" s="29"/>
      <c r="F678" s="134"/>
      <c r="G678" s="130"/>
    </row>
    <row r="679" spans="1:7" s="46" customFormat="1" ht="24.95" customHeight="1" x14ac:dyDescent="0.35">
      <c r="B679" s="26"/>
      <c r="C679" s="27"/>
      <c r="D679" s="29"/>
      <c r="E679" s="29"/>
      <c r="F679" s="134"/>
      <c r="G679" s="130"/>
    </row>
    <row r="680" spans="1:7" s="86" customFormat="1" ht="24.95" customHeight="1" x14ac:dyDescent="0.35">
      <c r="A680" s="81"/>
      <c r="B680" s="82"/>
      <c r="C680" s="101"/>
      <c r="D680" s="192"/>
      <c r="E680" s="83"/>
      <c r="F680" s="173"/>
      <c r="G680" s="144"/>
    </row>
    <row r="681" spans="1:7" s="92" customFormat="1" ht="30" customHeight="1" thickBot="1" x14ac:dyDescent="0.4">
      <c r="A681" s="88"/>
      <c r="B681" s="89"/>
      <c r="C681" s="90" t="s">
        <v>55</v>
      </c>
      <c r="D681" s="193"/>
      <c r="E681" s="91"/>
      <c r="F681" s="141"/>
      <c r="G681" s="142">
        <f>SUM(G661:G663)</f>
        <v>176421.6</v>
      </c>
    </row>
    <row r="682" spans="1:7" s="86" customFormat="1" ht="30" customHeight="1" thickTop="1" x14ac:dyDescent="0.35">
      <c r="A682" s="81"/>
      <c r="B682" s="82"/>
      <c r="C682" s="93" t="s">
        <v>442</v>
      </c>
      <c r="D682" s="194"/>
      <c r="E682" s="82"/>
      <c r="F682" s="143"/>
      <c r="G682" s="147"/>
    </row>
    <row r="683" spans="1:7" s="80" customFormat="1" ht="21.95" customHeight="1" x14ac:dyDescent="0.35">
      <c r="A683" s="75"/>
      <c r="B683" s="76"/>
      <c r="C683" s="87" t="e">
        <f>C635</f>
        <v>#REF!</v>
      </c>
      <c r="D683" s="94"/>
      <c r="E683" s="77"/>
      <c r="F683" s="153"/>
      <c r="G683" s="164"/>
    </row>
    <row r="684" spans="1:7" s="80" customFormat="1" ht="21.95" customHeight="1" x14ac:dyDescent="0.35">
      <c r="A684" s="75"/>
      <c r="B684" s="76"/>
      <c r="C684" s="87" t="str">
        <f>C636</f>
        <v>APARTMENTS BLOCK</v>
      </c>
      <c r="D684" s="94"/>
      <c r="E684" s="77"/>
      <c r="F684" s="153"/>
      <c r="G684" s="164"/>
    </row>
    <row r="685" spans="1:7" s="80" customFormat="1" ht="21.95" customHeight="1" x14ac:dyDescent="0.35">
      <c r="A685" s="75"/>
      <c r="B685" s="76"/>
      <c r="C685" s="87" t="s">
        <v>444</v>
      </c>
      <c r="D685" s="94"/>
      <c r="E685" s="77"/>
      <c r="F685" s="153"/>
      <c r="G685" s="164"/>
    </row>
    <row r="686" spans="1:7" s="80" customFormat="1" ht="21.95" customHeight="1" x14ac:dyDescent="0.35">
      <c r="A686" s="75"/>
      <c r="B686" s="76"/>
      <c r="C686" s="87" t="s">
        <v>42</v>
      </c>
      <c r="D686" s="94"/>
      <c r="E686" s="77"/>
      <c r="F686" s="153"/>
      <c r="G686" s="164"/>
    </row>
    <row r="687" spans="1:7" s="92" customFormat="1" ht="21" customHeight="1" x14ac:dyDescent="0.35">
      <c r="A687" s="88"/>
      <c r="B687" s="89"/>
      <c r="C687" s="101" t="s">
        <v>57</v>
      </c>
      <c r="D687" s="193"/>
      <c r="E687" s="91"/>
      <c r="F687" s="141"/>
      <c r="G687" s="174"/>
    </row>
    <row r="688" spans="1:7" s="13" customFormat="1" ht="30.75" customHeight="1" x14ac:dyDescent="0.35">
      <c r="B688" s="14"/>
      <c r="C688" s="106" t="s">
        <v>160</v>
      </c>
      <c r="D688" s="23"/>
      <c r="E688" s="16"/>
      <c r="F688" s="175"/>
      <c r="G688" s="158"/>
    </row>
    <row r="689" spans="2:7" s="31" customFormat="1" ht="21.95" customHeight="1" x14ac:dyDescent="0.35">
      <c r="B689" s="14" t="s">
        <v>31</v>
      </c>
      <c r="C689" s="22" t="s">
        <v>249</v>
      </c>
      <c r="D689" s="23">
        <v>4115</v>
      </c>
      <c r="E689" s="16" t="s">
        <v>111</v>
      </c>
      <c r="F689" s="175">
        <v>4.5</v>
      </c>
      <c r="G689" s="158">
        <f>F689*D689</f>
        <v>18517.5</v>
      </c>
    </row>
    <row r="690" spans="2:7" s="81" customFormat="1" ht="21" customHeight="1" x14ac:dyDescent="0.35">
      <c r="B690" s="82" t="s">
        <v>32</v>
      </c>
      <c r="C690" s="100" t="s">
        <v>303</v>
      </c>
      <c r="D690" s="23">
        <v>627</v>
      </c>
      <c r="E690" s="83" t="s">
        <v>111</v>
      </c>
      <c r="F690" s="175">
        <v>4.5</v>
      </c>
      <c r="G690" s="158">
        <f t="shared" ref="G690:G705" si="22">F690*D690</f>
        <v>2821.5</v>
      </c>
    </row>
    <row r="691" spans="2:7" s="81" customFormat="1" ht="60" x14ac:dyDescent="0.35">
      <c r="B691" s="82" t="s">
        <v>33</v>
      </c>
      <c r="C691" s="185" t="s">
        <v>450</v>
      </c>
      <c r="D691" s="23">
        <v>949</v>
      </c>
      <c r="E691" s="83" t="s">
        <v>112</v>
      </c>
      <c r="F691" s="175">
        <v>8.5</v>
      </c>
      <c r="G691" s="158">
        <f t="shared" si="22"/>
        <v>8066.5</v>
      </c>
    </row>
    <row r="692" spans="2:7" s="81" customFormat="1" ht="21" customHeight="1" x14ac:dyDescent="0.35">
      <c r="B692" s="82" t="s">
        <v>34</v>
      </c>
      <c r="C692" s="100" t="s">
        <v>445</v>
      </c>
      <c r="D692" s="23">
        <v>2451</v>
      </c>
      <c r="E692" s="83" t="s">
        <v>112</v>
      </c>
      <c r="F692" s="175">
        <v>10</v>
      </c>
      <c r="G692" s="158">
        <f t="shared" si="22"/>
        <v>24510</v>
      </c>
    </row>
    <row r="693" spans="2:7" s="81" customFormat="1" ht="30" x14ac:dyDescent="0.35">
      <c r="B693" s="82" t="s">
        <v>35</v>
      </c>
      <c r="C693" s="185" t="s">
        <v>304</v>
      </c>
      <c r="D693" s="23">
        <v>1053</v>
      </c>
      <c r="E693" s="83" t="s">
        <v>111</v>
      </c>
      <c r="F693" s="175">
        <v>10</v>
      </c>
      <c r="G693" s="158">
        <f t="shared" si="22"/>
        <v>10530</v>
      </c>
    </row>
    <row r="694" spans="2:7" s="13" customFormat="1" ht="21.95" customHeight="1" x14ac:dyDescent="0.35">
      <c r="B694" s="14"/>
      <c r="C694" s="15" t="s">
        <v>43</v>
      </c>
      <c r="D694" s="23"/>
      <c r="E694" s="16"/>
      <c r="F694" s="145"/>
      <c r="G694" s="158"/>
    </row>
    <row r="695" spans="2:7" s="13" customFormat="1" ht="60" x14ac:dyDescent="0.35">
      <c r="B695" s="14"/>
      <c r="C695" s="106" t="s">
        <v>391</v>
      </c>
      <c r="D695" s="23"/>
      <c r="E695" s="16"/>
      <c r="F695" s="134"/>
      <c r="G695" s="158"/>
    </row>
    <row r="696" spans="2:7" s="13" customFormat="1" ht="21.95" customHeight="1" x14ac:dyDescent="0.35">
      <c r="B696" s="14" t="s">
        <v>36</v>
      </c>
      <c r="C696" s="17" t="s">
        <v>161</v>
      </c>
      <c r="D696" s="23">
        <f>D690+D689</f>
        <v>4742</v>
      </c>
      <c r="E696" s="16" t="s">
        <v>111</v>
      </c>
      <c r="F696" s="145">
        <f>F350</f>
        <v>6</v>
      </c>
      <c r="G696" s="158">
        <f t="shared" si="22"/>
        <v>28452</v>
      </c>
    </row>
    <row r="697" spans="2:7" s="13" customFormat="1" ht="21.95" customHeight="1" x14ac:dyDescent="0.35">
      <c r="B697" s="14" t="s">
        <v>114</v>
      </c>
      <c r="C697" s="17" t="s">
        <v>451</v>
      </c>
      <c r="D697" s="23">
        <f>D692+D691+D371+D372</f>
        <v>3782</v>
      </c>
      <c r="E697" s="16" t="s">
        <v>112</v>
      </c>
      <c r="F697" s="145">
        <v>0.75</v>
      </c>
      <c r="G697" s="158">
        <f t="shared" si="22"/>
        <v>2836.5</v>
      </c>
    </row>
    <row r="698" spans="2:7" s="13" customFormat="1" ht="60" x14ac:dyDescent="0.35">
      <c r="B698" s="14"/>
      <c r="C698" s="106" t="s">
        <v>446</v>
      </c>
      <c r="D698" s="23"/>
      <c r="E698" s="16"/>
      <c r="F698" s="134"/>
      <c r="G698" s="158"/>
    </row>
    <row r="699" spans="2:7" s="13" customFormat="1" ht="21.95" customHeight="1" x14ac:dyDescent="0.35">
      <c r="B699" s="14" t="s">
        <v>39</v>
      </c>
      <c r="C699" s="17" t="s">
        <v>79</v>
      </c>
      <c r="D699" s="23">
        <v>647</v>
      </c>
      <c r="E699" s="16" t="s">
        <v>111</v>
      </c>
      <c r="F699" s="145">
        <v>24.3</v>
      </c>
      <c r="G699" s="158">
        <f t="shared" si="22"/>
        <v>15722.1</v>
      </c>
    </row>
    <row r="700" spans="2:7" s="81" customFormat="1" ht="21" customHeight="1" x14ac:dyDescent="0.35">
      <c r="B700" s="82"/>
      <c r="C700" s="101" t="s">
        <v>58</v>
      </c>
      <c r="D700" s="23"/>
      <c r="E700" s="83"/>
      <c r="F700" s="155"/>
      <c r="G700" s="158"/>
    </row>
    <row r="701" spans="2:7" s="13" customFormat="1" ht="33.75" customHeight="1" x14ac:dyDescent="0.35">
      <c r="B701" s="14"/>
      <c r="C701" s="106" t="s">
        <v>78</v>
      </c>
      <c r="D701" s="23"/>
      <c r="E701" s="16"/>
      <c r="F701" s="134"/>
      <c r="G701" s="158"/>
    </row>
    <row r="702" spans="2:7" s="13" customFormat="1" ht="21.95" customHeight="1" x14ac:dyDescent="0.35">
      <c r="B702" s="14" t="s">
        <v>40</v>
      </c>
      <c r="C702" s="17" t="s">
        <v>250</v>
      </c>
      <c r="D702" s="23">
        <v>4079</v>
      </c>
      <c r="E702" s="16" t="s">
        <v>111</v>
      </c>
      <c r="F702" s="134">
        <v>4.5</v>
      </c>
      <c r="G702" s="158">
        <f t="shared" si="22"/>
        <v>18355.5</v>
      </c>
    </row>
    <row r="703" spans="2:7" s="81" customFormat="1" ht="48" customHeight="1" x14ac:dyDescent="0.35">
      <c r="B703" s="82"/>
      <c r="C703" s="106" t="s">
        <v>143</v>
      </c>
      <c r="D703" s="23"/>
      <c r="E703" s="83"/>
      <c r="F703" s="155"/>
      <c r="G703" s="158"/>
    </row>
    <row r="704" spans="2:7" s="81" customFormat="1" ht="21" customHeight="1" x14ac:dyDescent="0.35">
      <c r="B704" s="82" t="s">
        <v>15</v>
      </c>
      <c r="C704" s="100" t="s">
        <v>248</v>
      </c>
      <c r="D704" s="23">
        <v>26365</v>
      </c>
      <c r="E704" s="83" t="s">
        <v>111</v>
      </c>
      <c r="F704" s="134">
        <v>4.5</v>
      </c>
      <c r="G704" s="158">
        <f t="shared" si="22"/>
        <v>118642.5</v>
      </c>
    </row>
    <row r="705" spans="1:7" s="13" customFormat="1" ht="21" customHeight="1" x14ac:dyDescent="0.35">
      <c r="B705" s="14" t="s">
        <v>16</v>
      </c>
      <c r="C705" s="17" t="s">
        <v>305</v>
      </c>
      <c r="D705" s="23">
        <v>4184</v>
      </c>
      <c r="E705" s="16" t="s">
        <v>111</v>
      </c>
      <c r="F705" s="134">
        <v>4.5</v>
      </c>
      <c r="G705" s="158">
        <f t="shared" si="22"/>
        <v>18828</v>
      </c>
    </row>
    <row r="706" spans="1:7" s="92" customFormat="1" ht="30" customHeight="1" thickBot="1" x14ac:dyDescent="0.4">
      <c r="A706" s="88"/>
      <c r="B706" s="89"/>
      <c r="C706" s="90" t="s">
        <v>56</v>
      </c>
      <c r="D706" s="193"/>
      <c r="E706" s="91"/>
      <c r="F706" s="141"/>
      <c r="G706" s="142">
        <f>SUM(G689:G705)</f>
        <v>267282.09999999998</v>
      </c>
    </row>
    <row r="707" spans="1:7" s="86" customFormat="1" ht="30" customHeight="1" thickTop="1" x14ac:dyDescent="0.35">
      <c r="A707" s="81"/>
      <c r="B707" s="82"/>
      <c r="C707" s="93" t="s">
        <v>192</v>
      </c>
      <c r="D707" s="194"/>
      <c r="E707" s="82"/>
      <c r="F707" s="143"/>
      <c r="G707" s="147"/>
    </row>
    <row r="708" spans="1:7" s="81" customFormat="1" ht="48" customHeight="1" x14ac:dyDescent="0.35">
      <c r="B708" s="82"/>
      <c r="C708" s="106" t="s">
        <v>302</v>
      </c>
      <c r="D708" s="23"/>
      <c r="E708" s="83"/>
      <c r="F708" s="155"/>
      <c r="G708" s="158"/>
    </row>
    <row r="709" spans="1:7" s="13" customFormat="1" ht="21.95" customHeight="1" x14ac:dyDescent="0.35">
      <c r="B709" s="14" t="s">
        <v>31</v>
      </c>
      <c r="C709" s="17" t="s">
        <v>79</v>
      </c>
      <c r="D709" s="23">
        <f>D702</f>
        <v>4079</v>
      </c>
      <c r="E709" s="16" t="s">
        <v>111</v>
      </c>
      <c r="F709" s="134">
        <v>18.350000000000001</v>
      </c>
      <c r="G709" s="158">
        <f>F709*D709</f>
        <v>74849.650000000009</v>
      </c>
    </row>
    <row r="710" spans="1:7" s="13" customFormat="1" ht="21.95" customHeight="1" x14ac:dyDescent="0.35">
      <c r="B710" s="14" t="s">
        <v>32</v>
      </c>
      <c r="C710" s="17" t="s">
        <v>80</v>
      </c>
      <c r="D710" s="23">
        <v>1148</v>
      </c>
      <c r="E710" s="16" t="s">
        <v>112</v>
      </c>
      <c r="F710" s="134">
        <v>1.25</v>
      </c>
      <c r="G710" s="158">
        <f t="shared" ref="G710:G715" si="23">F710*D710</f>
        <v>1435</v>
      </c>
    </row>
    <row r="711" spans="1:7" s="81" customFormat="1" ht="21.95" customHeight="1" x14ac:dyDescent="0.35">
      <c r="B711" s="82"/>
      <c r="C711" s="101" t="s">
        <v>43</v>
      </c>
      <c r="D711" s="23"/>
      <c r="E711" s="83"/>
      <c r="F711" s="155"/>
      <c r="G711" s="158"/>
    </row>
    <row r="712" spans="1:7" s="81" customFormat="1" ht="35.25" customHeight="1" x14ac:dyDescent="0.35">
      <c r="B712" s="82"/>
      <c r="C712" s="106" t="s">
        <v>41</v>
      </c>
      <c r="D712" s="23"/>
      <c r="E712" s="83"/>
      <c r="F712" s="173"/>
      <c r="G712" s="158"/>
    </row>
    <row r="713" spans="1:7" s="81" customFormat="1" ht="21.95" customHeight="1" x14ac:dyDescent="0.35">
      <c r="B713" s="82" t="s">
        <v>33</v>
      </c>
      <c r="C713" s="100" t="s">
        <v>76</v>
      </c>
      <c r="D713" s="23">
        <f>D705+D704-D715</f>
        <v>30203</v>
      </c>
      <c r="E713" s="83" t="s">
        <v>111</v>
      </c>
      <c r="F713" s="173">
        <v>4</v>
      </c>
      <c r="G713" s="158">
        <f t="shared" si="23"/>
        <v>120812</v>
      </c>
    </row>
    <row r="714" spans="1:7" s="81" customFormat="1" ht="75" x14ac:dyDescent="0.35">
      <c r="B714" s="82"/>
      <c r="C714" s="106" t="s">
        <v>453</v>
      </c>
      <c r="D714" s="23"/>
      <c r="E714" s="83"/>
      <c r="F714" s="173"/>
      <c r="G714" s="158"/>
    </row>
    <row r="715" spans="1:7" s="81" customFormat="1" ht="21.95" customHeight="1" x14ac:dyDescent="0.35">
      <c r="B715" s="82" t="s">
        <v>34</v>
      </c>
      <c r="C715" s="100" t="s">
        <v>454</v>
      </c>
      <c r="D715" s="23">
        <v>346</v>
      </c>
      <c r="E715" s="83" t="s">
        <v>111</v>
      </c>
      <c r="F715" s="173">
        <v>34.5</v>
      </c>
      <c r="G715" s="158">
        <f t="shared" si="23"/>
        <v>11937</v>
      </c>
    </row>
    <row r="716" spans="1:7" s="92" customFormat="1" ht="24.95" customHeight="1" thickBot="1" x14ac:dyDescent="0.4">
      <c r="A716" s="88"/>
      <c r="B716" s="89"/>
      <c r="C716" s="90" t="s">
        <v>56</v>
      </c>
      <c r="D716" s="193"/>
      <c r="E716" s="91"/>
      <c r="F716" s="141"/>
      <c r="G716" s="142">
        <f>SUM(G709:G715)</f>
        <v>209033.65000000002</v>
      </c>
    </row>
    <row r="717" spans="1:7" s="92" customFormat="1" ht="24.95" customHeight="1" thickTop="1" x14ac:dyDescent="0.35">
      <c r="A717" s="88"/>
      <c r="B717" s="89"/>
      <c r="C717" s="90"/>
      <c r="D717" s="193"/>
      <c r="E717" s="91"/>
      <c r="F717" s="141"/>
      <c r="G717" s="170"/>
    </row>
    <row r="718" spans="1:7" s="92" customFormat="1" ht="24.95" customHeight="1" x14ac:dyDescent="0.35">
      <c r="A718" s="88"/>
      <c r="B718" s="89"/>
      <c r="C718" s="94" t="s">
        <v>60</v>
      </c>
      <c r="D718" s="193"/>
      <c r="E718" s="91"/>
      <c r="F718" s="141"/>
      <c r="G718" s="148"/>
    </row>
    <row r="719" spans="1:7" s="13" customFormat="1" ht="24.95" customHeight="1" x14ac:dyDescent="0.35">
      <c r="B719" s="14"/>
      <c r="C719" s="17" t="s">
        <v>455</v>
      </c>
      <c r="D719" s="11"/>
      <c r="E719" s="16"/>
      <c r="F719" s="132"/>
      <c r="G719" s="140">
        <f>G706</f>
        <v>267282.09999999998</v>
      </c>
    </row>
    <row r="720" spans="1:7" s="13" customFormat="1" ht="24.95" customHeight="1" x14ac:dyDescent="0.35">
      <c r="B720" s="14"/>
      <c r="C720" s="17" t="s">
        <v>456</v>
      </c>
      <c r="D720" s="11"/>
      <c r="E720" s="16"/>
      <c r="F720" s="132"/>
      <c r="G720" s="140">
        <f>G716</f>
        <v>209033.65000000002</v>
      </c>
    </row>
    <row r="721" spans="1:7" s="13" customFormat="1" ht="24.95" customHeight="1" x14ac:dyDescent="0.35">
      <c r="B721" s="14"/>
      <c r="C721" s="17"/>
      <c r="D721" s="11"/>
      <c r="E721" s="16"/>
      <c r="F721" s="132"/>
      <c r="G721" s="140"/>
    </row>
    <row r="722" spans="1:7" s="13" customFormat="1" ht="24.95" customHeight="1" x14ac:dyDescent="0.35">
      <c r="B722" s="14"/>
      <c r="C722" s="17"/>
      <c r="D722" s="11"/>
      <c r="E722" s="16"/>
      <c r="F722" s="132"/>
      <c r="G722" s="140"/>
    </row>
    <row r="723" spans="1:7" s="13" customFormat="1" ht="24.95" customHeight="1" x14ac:dyDescent="0.35">
      <c r="B723" s="14"/>
      <c r="C723" s="17"/>
      <c r="D723" s="11"/>
      <c r="E723" s="16"/>
      <c r="F723" s="132"/>
      <c r="G723" s="140"/>
    </row>
    <row r="724" spans="1:7" s="13" customFormat="1" ht="24.95" customHeight="1" x14ac:dyDescent="0.35">
      <c r="B724" s="14"/>
      <c r="C724" s="17"/>
      <c r="D724" s="11"/>
      <c r="E724" s="16"/>
      <c r="F724" s="132"/>
      <c r="G724" s="140"/>
    </row>
    <row r="725" spans="1:7" s="13" customFormat="1" ht="24.95" customHeight="1" x14ac:dyDescent="0.35">
      <c r="B725" s="14"/>
      <c r="C725" s="17"/>
      <c r="D725" s="11"/>
      <c r="E725" s="16"/>
      <c r="F725" s="132"/>
      <c r="G725" s="140"/>
    </row>
    <row r="726" spans="1:7" s="13" customFormat="1" ht="24.95" customHeight="1" x14ac:dyDescent="0.35">
      <c r="B726" s="14"/>
      <c r="C726" s="17"/>
      <c r="D726" s="11"/>
      <c r="E726" s="16"/>
      <c r="F726" s="132"/>
      <c r="G726" s="140"/>
    </row>
    <row r="727" spans="1:7" s="13" customFormat="1" ht="24.95" customHeight="1" x14ac:dyDescent="0.35">
      <c r="B727" s="14"/>
      <c r="C727" s="17"/>
      <c r="D727" s="11"/>
      <c r="E727" s="16"/>
      <c r="F727" s="132"/>
      <c r="G727" s="140"/>
    </row>
    <row r="728" spans="1:7" s="13" customFormat="1" ht="24.95" customHeight="1" x14ac:dyDescent="0.35">
      <c r="B728" s="14"/>
      <c r="C728" s="17"/>
      <c r="D728" s="11"/>
      <c r="E728" s="16"/>
      <c r="F728" s="132"/>
      <c r="G728" s="140"/>
    </row>
    <row r="729" spans="1:7" s="13" customFormat="1" ht="24.95" customHeight="1" x14ac:dyDescent="0.35">
      <c r="B729" s="14"/>
      <c r="C729" s="17"/>
      <c r="D729" s="11"/>
      <c r="E729" s="16"/>
      <c r="F729" s="132"/>
      <c r="G729" s="140"/>
    </row>
    <row r="730" spans="1:7" s="13" customFormat="1" ht="24.95" customHeight="1" x14ac:dyDescent="0.35">
      <c r="B730" s="14"/>
      <c r="C730" s="17"/>
      <c r="D730" s="11"/>
      <c r="E730" s="16"/>
      <c r="F730" s="132"/>
      <c r="G730" s="140"/>
    </row>
    <row r="731" spans="1:7" s="13" customFormat="1" ht="24.95" customHeight="1" x14ac:dyDescent="0.35">
      <c r="B731" s="14"/>
      <c r="C731" s="17"/>
      <c r="D731" s="11"/>
      <c r="E731" s="16"/>
      <c r="F731" s="132"/>
      <c r="G731" s="140"/>
    </row>
    <row r="732" spans="1:7" s="13" customFormat="1" ht="24.95" customHeight="1" x14ac:dyDescent="0.35">
      <c r="B732" s="14"/>
      <c r="C732" s="17"/>
      <c r="D732" s="11"/>
      <c r="E732" s="16"/>
      <c r="F732" s="132"/>
      <c r="G732" s="140"/>
    </row>
    <row r="733" spans="1:7" s="92" customFormat="1" ht="30" customHeight="1" thickBot="1" x14ac:dyDescent="0.4">
      <c r="A733" s="88"/>
      <c r="B733" s="89"/>
      <c r="C733" s="90" t="s">
        <v>55</v>
      </c>
      <c r="D733" s="193"/>
      <c r="E733" s="91"/>
      <c r="F733" s="141"/>
      <c r="G733" s="142">
        <f>SUM(G719:G720)</f>
        <v>476315.75</v>
      </c>
    </row>
    <row r="734" spans="1:7" s="86" customFormat="1" ht="30" customHeight="1" thickTop="1" x14ac:dyDescent="0.35">
      <c r="A734" s="81"/>
      <c r="B734" s="82"/>
      <c r="C734" s="93" t="s">
        <v>457</v>
      </c>
      <c r="D734" s="194"/>
      <c r="E734" s="82"/>
      <c r="F734" s="143"/>
      <c r="G734" s="147"/>
    </row>
    <row r="735" spans="1:7" s="80" customFormat="1" ht="21.95" customHeight="1" x14ac:dyDescent="0.35">
      <c r="A735" s="75"/>
      <c r="B735" s="76"/>
      <c r="C735" s="87" t="e">
        <f>C683</f>
        <v>#REF!</v>
      </c>
      <c r="D735" s="94"/>
      <c r="E735" s="77"/>
      <c r="F735" s="153"/>
      <c r="G735" s="164"/>
    </row>
    <row r="736" spans="1:7" s="80" customFormat="1" ht="21.95" customHeight="1" x14ac:dyDescent="0.35">
      <c r="A736" s="75"/>
      <c r="B736" s="76"/>
      <c r="C736" s="87" t="str">
        <f>C684</f>
        <v>APARTMENTS BLOCK</v>
      </c>
      <c r="D736" s="94"/>
      <c r="E736" s="77"/>
      <c r="F736" s="153"/>
      <c r="G736" s="164"/>
    </row>
    <row r="737" spans="1:7" s="80" customFormat="1" ht="21.95" customHeight="1" x14ac:dyDescent="0.35">
      <c r="A737" s="75"/>
      <c r="B737" s="76"/>
      <c r="C737" s="87" t="s">
        <v>224</v>
      </c>
      <c r="D737" s="94"/>
      <c r="E737" s="77"/>
      <c r="F737" s="153"/>
      <c r="G737" s="164"/>
    </row>
    <row r="738" spans="1:7" s="80" customFormat="1" ht="21.95" customHeight="1" x14ac:dyDescent="0.35">
      <c r="A738" s="75"/>
      <c r="B738" s="76"/>
      <c r="C738" s="87" t="s">
        <v>77</v>
      </c>
      <c r="D738" s="94"/>
      <c r="E738" s="77"/>
      <c r="F738" s="153"/>
      <c r="G738" s="164"/>
    </row>
    <row r="739" spans="1:7" s="8" customFormat="1" ht="21.95" customHeight="1" x14ac:dyDescent="0.35">
      <c r="B739" s="9"/>
      <c r="C739" s="18" t="s">
        <v>96</v>
      </c>
      <c r="D739" s="25"/>
      <c r="E739" s="25"/>
      <c r="F739" s="134"/>
      <c r="G739" s="133"/>
    </row>
    <row r="740" spans="1:7" s="8" customFormat="1" ht="21.95" customHeight="1" x14ac:dyDescent="0.35">
      <c r="B740" s="9" t="s">
        <v>31</v>
      </c>
      <c r="C740" s="44" t="s">
        <v>153</v>
      </c>
      <c r="D740" s="11">
        <v>8305</v>
      </c>
      <c r="E740" s="12" t="s">
        <v>111</v>
      </c>
      <c r="F740" s="176">
        <v>5.6</v>
      </c>
      <c r="G740" s="177">
        <f>F740*D740</f>
        <v>46508</v>
      </c>
    </row>
    <row r="741" spans="1:7" s="13" customFormat="1" ht="45" x14ac:dyDescent="0.35">
      <c r="B741" s="33"/>
      <c r="C741" s="112" t="s">
        <v>458</v>
      </c>
      <c r="D741" s="11"/>
      <c r="E741" s="23"/>
      <c r="F741" s="176"/>
      <c r="G741" s="177"/>
    </row>
    <row r="742" spans="1:7" s="13" customFormat="1" ht="21.95" customHeight="1" x14ac:dyDescent="0.35">
      <c r="B742" s="33" t="s">
        <v>32</v>
      </c>
      <c r="C742" s="22" t="s">
        <v>120</v>
      </c>
      <c r="D742" s="11">
        <v>1688</v>
      </c>
      <c r="E742" s="23" t="s">
        <v>111</v>
      </c>
      <c r="F742" s="176">
        <v>8.56</v>
      </c>
      <c r="G742" s="177">
        <f>F742*D742</f>
        <v>14449.28</v>
      </c>
    </row>
    <row r="743" spans="1:7" s="13" customFormat="1" ht="68.25" customHeight="1" x14ac:dyDescent="0.35">
      <c r="B743" s="33"/>
      <c r="C743" s="112" t="s">
        <v>283</v>
      </c>
      <c r="D743" s="11"/>
      <c r="E743" s="23"/>
      <c r="F743" s="176"/>
      <c r="G743" s="177"/>
    </row>
    <row r="744" spans="1:7" s="13" customFormat="1" ht="21.95" customHeight="1" x14ac:dyDescent="0.35">
      <c r="B744" s="33" t="s">
        <v>33</v>
      </c>
      <c r="C744" s="22" t="s">
        <v>120</v>
      </c>
      <c r="D744" s="11">
        <v>1932</v>
      </c>
      <c r="E744" s="23" t="s">
        <v>111</v>
      </c>
      <c r="F744" s="176">
        <v>32</v>
      </c>
      <c r="G744" s="177">
        <f>F744*D744</f>
        <v>61824</v>
      </c>
    </row>
    <row r="745" spans="1:7" s="13" customFormat="1" ht="45" x14ac:dyDescent="0.35">
      <c r="B745" s="33"/>
      <c r="C745" s="112" t="s">
        <v>459</v>
      </c>
      <c r="D745" s="11"/>
      <c r="E745" s="23"/>
      <c r="F745" s="176"/>
      <c r="G745" s="177"/>
    </row>
    <row r="746" spans="1:7" s="13" customFormat="1" ht="21.95" customHeight="1" x14ac:dyDescent="0.35">
      <c r="B746" s="33" t="s">
        <v>34</v>
      </c>
      <c r="C746" s="22" t="s">
        <v>120</v>
      </c>
      <c r="D746" s="11">
        <v>5383</v>
      </c>
      <c r="E746" s="23" t="s">
        <v>111</v>
      </c>
      <c r="F746" s="176">
        <v>32</v>
      </c>
      <c r="G746" s="177">
        <f>F746*D746</f>
        <v>172256</v>
      </c>
    </row>
    <row r="747" spans="1:7" s="13" customFormat="1" ht="21.95" customHeight="1" x14ac:dyDescent="0.35">
      <c r="B747" s="33" t="s">
        <v>35</v>
      </c>
      <c r="C747" s="22" t="s">
        <v>95</v>
      </c>
      <c r="D747" s="11">
        <v>9154</v>
      </c>
      <c r="E747" s="23" t="s">
        <v>112</v>
      </c>
      <c r="F747" s="176">
        <v>6.85</v>
      </c>
      <c r="G747" s="177">
        <f>F747*D747</f>
        <v>62704.899999999994</v>
      </c>
    </row>
    <row r="748" spans="1:7" s="13" customFormat="1" ht="81" customHeight="1" x14ac:dyDescent="0.35">
      <c r="B748" s="33"/>
      <c r="C748" s="68" t="s">
        <v>323</v>
      </c>
      <c r="D748" s="188"/>
      <c r="E748" s="23"/>
      <c r="F748" s="189"/>
      <c r="G748" s="190"/>
    </row>
    <row r="749" spans="1:7" s="13" customFormat="1" ht="21.95" customHeight="1" x14ac:dyDescent="0.35">
      <c r="B749" s="33" t="s">
        <v>36</v>
      </c>
      <c r="C749" s="22" t="s">
        <v>120</v>
      </c>
      <c r="D749" s="11">
        <v>73</v>
      </c>
      <c r="E749" s="23" t="s">
        <v>111</v>
      </c>
      <c r="F749" s="176">
        <f>F258</f>
        <v>67.5</v>
      </c>
      <c r="G749" s="177">
        <f t="shared" ref="G749:G751" si="24">F749*D749</f>
        <v>4927.5</v>
      </c>
    </row>
    <row r="750" spans="1:7" s="13" customFormat="1" ht="21.95" customHeight="1" x14ac:dyDescent="0.35">
      <c r="B750" s="33" t="s">
        <v>114</v>
      </c>
      <c r="C750" s="22" t="s">
        <v>468</v>
      </c>
      <c r="D750" s="11">
        <v>226</v>
      </c>
      <c r="E750" s="23" t="s">
        <v>112</v>
      </c>
      <c r="F750" s="176">
        <v>10.15</v>
      </c>
      <c r="G750" s="177">
        <f t="shared" si="24"/>
        <v>2293.9</v>
      </c>
    </row>
    <row r="751" spans="1:7" s="13" customFormat="1" ht="21.95" customHeight="1" x14ac:dyDescent="0.35">
      <c r="B751" s="33" t="s">
        <v>39</v>
      </c>
      <c r="C751" s="22" t="s">
        <v>95</v>
      </c>
      <c r="D751" s="11">
        <v>45</v>
      </c>
      <c r="E751" s="23" t="s">
        <v>112</v>
      </c>
      <c r="F751" s="176">
        <v>6.75</v>
      </c>
      <c r="G751" s="177">
        <f t="shared" si="24"/>
        <v>303.75</v>
      </c>
    </row>
    <row r="752" spans="1:7" s="13" customFormat="1" ht="48" customHeight="1" x14ac:dyDescent="0.35">
      <c r="B752" s="33"/>
      <c r="C752" s="112" t="s">
        <v>472</v>
      </c>
      <c r="D752" s="11"/>
      <c r="E752" s="23"/>
      <c r="F752" s="176"/>
      <c r="G752" s="177"/>
    </row>
    <row r="753" spans="1:7" s="13" customFormat="1" ht="21.95" customHeight="1" x14ac:dyDescent="0.35">
      <c r="B753" s="33" t="s">
        <v>40</v>
      </c>
      <c r="C753" s="22" t="s">
        <v>120</v>
      </c>
      <c r="D753" s="11">
        <v>130</v>
      </c>
      <c r="E753" s="23" t="s">
        <v>111</v>
      </c>
      <c r="F753" s="176">
        <v>57.5</v>
      </c>
      <c r="G753" s="177">
        <f>F753*D753</f>
        <v>7475</v>
      </c>
    </row>
    <row r="754" spans="1:7" s="13" customFormat="1" ht="36.75" customHeight="1" x14ac:dyDescent="0.35">
      <c r="B754" s="33"/>
      <c r="C754" s="106" t="s">
        <v>469</v>
      </c>
      <c r="D754" s="11"/>
      <c r="E754" s="23"/>
      <c r="F754" s="176"/>
      <c r="G754" s="177"/>
    </row>
    <row r="755" spans="1:7" s="223" customFormat="1" ht="30" x14ac:dyDescent="0.35">
      <c r="B755" s="224" t="s">
        <v>15</v>
      </c>
      <c r="C755" s="22" t="s">
        <v>473</v>
      </c>
      <c r="D755" s="196">
        <v>110</v>
      </c>
      <c r="E755" s="225" t="s">
        <v>112</v>
      </c>
      <c r="F755" s="226">
        <v>9.6</v>
      </c>
      <c r="G755" s="130">
        <f>F755*D755</f>
        <v>1056</v>
      </c>
    </row>
    <row r="756" spans="1:7" s="223" customFormat="1" ht="24.95" customHeight="1" x14ac:dyDescent="0.35">
      <c r="B756" s="33"/>
      <c r="C756" s="22"/>
      <c r="D756" s="196"/>
      <c r="E756" s="225"/>
      <c r="F756" s="226"/>
      <c r="G756" s="130"/>
    </row>
    <row r="757" spans="1:7" s="223" customFormat="1" ht="24.95" customHeight="1" x14ac:dyDescent="0.35">
      <c r="B757" s="33"/>
      <c r="C757" s="22"/>
      <c r="D757" s="196"/>
      <c r="E757" s="225"/>
      <c r="F757" s="226"/>
      <c r="G757" s="130"/>
    </row>
    <row r="758" spans="1:7" s="92" customFormat="1" ht="30" customHeight="1" thickBot="1" x14ac:dyDescent="0.4">
      <c r="A758" s="88"/>
      <c r="B758" s="89"/>
      <c r="C758" s="90" t="s">
        <v>56</v>
      </c>
      <c r="D758" s="193"/>
      <c r="E758" s="91"/>
      <c r="F758" s="141"/>
      <c r="G758" s="142">
        <f>SUM(G740:G755)</f>
        <v>373798.33000000007</v>
      </c>
    </row>
    <row r="759" spans="1:7" s="86" customFormat="1" ht="30" customHeight="1" thickTop="1" x14ac:dyDescent="0.35">
      <c r="A759" s="81"/>
      <c r="B759" s="82"/>
      <c r="C759" s="93" t="s">
        <v>225</v>
      </c>
      <c r="D759" s="194"/>
      <c r="E759" s="82"/>
      <c r="F759" s="143"/>
      <c r="G759" s="147"/>
    </row>
    <row r="760" spans="1:7" s="13" customFormat="1" ht="45" x14ac:dyDescent="0.35">
      <c r="B760" s="33"/>
      <c r="C760" s="106" t="s">
        <v>470</v>
      </c>
      <c r="D760" s="11"/>
      <c r="E760" s="23"/>
      <c r="F760" s="176"/>
      <c r="G760" s="177"/>
    </row>
    <row r="761" spans="1:7" s="13" customFormat="1" ht="21.95" customHeight="1" x14ac:dyDescent="0.35">
      <c r="B761" s="33" t="s">
        <v>31</v>
      </c>
      <c r="C761" s="22" t="s">
        <v>471</v>
      </c>
      <c r="D761" s="11">
        <f>D755</f>
        <v>110</v>
      </c>
      <c r="E761" s="23" t="s">
        <v>112</v>
      </c>
      <c r="F761" s="176">
        <v>1.48</v>
      </c>
      <c r="G761" s="177">
        <f>F761*D761</f>
        <v>162.80000000000001</v>
      </c>
    </row>
    <row r="762" spans="1:7" s="13" customFormat="1" ht="75" x14ac:dyDescent="0.35">
      <c r="B762" s="33"/>
      <c r="C762" s="112" t="s">
        <v>460</v>
      </c>
      <c r="D762" s="11"/>
      <c r="E762" s="23"/>
      <c r="F762" s="176"/>
      <c r="G762" s="177"/>
    </row>
    <row r="763" spans="1:7" s="13" customFormat="1" ht="21.95" customHeight="1" x14ac:dyDescent="0.35">
      <c r="B763" s="33" t="s">
        <v>32</v>
      </c>
      <c r="C763" s="22" t="s">
        <v>120</v>
      </c>
      <c r="D763" s="11">
        <f>'[8]Floor finishes'!$N$57</f>
        <v>594.96999999999991</v>
      </c>
      <c r="E763" s="23" t="s">
        <v>111</v>
      </c>
      <c r="F763" s="176">
        <v>20</v>
      </c>
      <c r="G763" s="177">
        <f t="shared" ref="G763:G769" si="25">F763*D763</f>
        <v>11899.399999999998</v>
      </c>
    </row>
    <row r="764" spans="1:7" s="13" customFormat="1" ht="21.95" customHeight="1" x14ac:dyDescent="0.35">
      <c r="B764" s="33" t="s">
        <v>33</v>
      </c>
      <c r="C764" s="22" t="s">
        <v>95</v>
      </c>
      <c r="D764" s="11">
        <f>'[8]Floor finishes'!$O$57</f>
        <v>341.46999999999997</v>
      </c>
      <c r="E764" s="23" t="s">
        <v>112</v>
      </c>
      <c r="F764" s="176">
        <v>4</v>
      </c>
      <c r="G764" s="177">
        <f t="shared" si="25"/>
        <v>1365.8799999999999</v>
      </c>
    </row>
    <row r="765" spans="1:7" s="13" customFormat="1" ht="21.95" customHeight="1" x14ac:dyDescent="0.35">
      <c r="B765" s="14"/>
      <c r="C765" s="15" t="s">
        <v>463</v>
      </c>
      <c r="D765" s="11"/>
      <c r="E765" s="16"/>
      <c r="F765" s="186"/>
      <c r="G765" s="177"/>
    </row>
    <row r="766" spans="1:7" s="13" customFormat="1" ht="96" customHeight="1" x14ac:dyDescent="0.35">
      <c r="B766" s="33"/>
      <c r="C766" s="68" t="s">
        <v>464</v>
      </c>
      <c r="D766" s="188"/>
      <c r="E766" s="23"/>
      <c r="F766" s="128"/>
      <c r="G766" s="177"/>
    </row>
    <row r="767" spans="1:7" s="13" customFormat="1" ht="21.95" customHeight="1" x14ac:dyDescent="0.35">
      <c r="B767" s="33" t="s">
        <v>34</v>
      </c>
      <c r="C767" s="22" t="s">
        <v>465</v>
      </c>
      <c r="D767" s="11">
        <v>134</v>
      </c>
      <c r="E767" s="23" t="s">
        <v>111</v>
      </c>
      <c r="F767" s="176">
        <v>85.62</v>
      </c>
      <c r="G767" s="177">
        <f t="shared" si="25"/>
        <v>11473.08</v>
      </c>
    </row>
    <row r="768" spans="1:7" s="13" customFormat="1" ht="48" customHeight="1" x14ac:dyDescent="0.35">
      <c r="B768" s="33"/>
      <c r="C768" s="112" t="s">
        <v>466</v>
      </c>
      <c r="D768" s="11"/>
      <c r="E768" s="23"/>
      <c r="F768" s="176"/>
      <c r="G768" s="177"/>
    </row>
    <row r="769" spans="1:7" s="13" customFormat="1" ht="21.95" customHeight="1" x14ac:dyDescent="0.35">
      <c r="B769" s="33" t="s">
        <v>35</v>
      </c>
      <c r="C769" s="22" t="s">
        <v>120</v>
      </c>
      <c r="D769" s="11">
        <v>192</v>
      </c>
      <c r="E769" s="23" t="s">
        <v>111</v>
      </c>
      <c r="F769" s="176">
        <v>50.65</v>
      </c>
      <c r="G769" s="177">
        <f t="shared" si="25"/>
        <v>9724.7999999999993</v>
      </c>
    </row>
    <row r="770" spans="1:7" s="8" customFormat="1" ht="21.95" customHeight="1" x14ac:dyDescent="0.35">
      <c r="B770" s="9"/>
      <c r="C770" s="18" t="s">
        <v>485</v>
      </c>
      <c r="D770" s="11"/>
      <c r="E770" s="25"/>
      <c r="F770" s="182"/>
      <c r="G770" s="198"/>
    </row>
    <row r="771" spans="1:7" s="13" customFormat="1" ht="30" x14ac:dyDescent="0.35">
      <c r="B771" s="33"/>
      <c r="C771" s="112" t="s">
        <v>487</v>
      </c>
      <c r="D771" s="11"/>
      <c r="E771" s="23"/>
      <c r="F771" s="199"/>
      <c r="G771" s="198"/>
    </row>
    <row r="772" spans="1:7" s="13" customFormat="1" ht="21.95" customHeight="1" x14ac:dyDescent="0.35">
      <c r="B772" s="33" t="s">
        <v>36</v>
      </c>
      <c r="C772" s="22" t="s">
        <v>486</v>
      </c>
      <c r="D772" s="11">
        <f>D744</f>
        <v>1932</v>
      </c>
      <c r="E772" s="23" t="s">
        <v>111</v>
      </c>
      <c r="F772" s="176">
        <v>9.5</v>
      </c>
      <c r="G772" s="177">
        <f t="shared" ref="G772" si="26">F772*D772</f>
        <v>18354</v>
      </c>
    </row>
    <row r="773" spans="1:7" s="92" customFormat="1" ht="24.95" customHeight="1" thickBot="1" x14ac:dyDescent="0.4">
      <c r="A773" s="88"/>
      <c r="B773" s="89"/>
      <c r="C773" s="90" t="s">
        <v>56</v>
      </c>
      <c r="D773" s="193"/>
      <c r="E773" s="91"/>
      <c r="F773" s="141"/>
      <c r="G773" s="142">
        <f>SUM(G761:G772)</f>
        <v>52979.959999999992</v>
      </c>
    </row>
    <row r="774" spans="1:7" s="81" customFormat="1" ht="24.95" customHeight="1" thickTop="1" x14ac:dyDescent="0.35">
      <c r="B774" s="82"/>
      <c r="C774" s="17"/>
      <c r="D774" s="23"/>
      <c r="E774" s="83"/>
      <c r="F774" s="173"/>
      <c r="G774" s="158"/>
    </row>
    <row r="775" spans="1:7" s="81" customFormat="1" ht="24.95" customHeight="1" x14ac:dyDescent="0.35">
      <c r="B775" s="82"/>
      <c r="C775" s="17"/>
      <c r="D775" s="23"/>
      <c r="E775" s="83"/>
      <c r="F775" s="173"/>
      <c r="G775" s="158"/>
    </row>
    <row r="776" spans="1:7" s="81" customFormat="1" ht="24.95" customHeight="1" x14ac:dyDescent="0.35">
      <c r="B776" s="82"/>
      <c r="C776" s="94" t="s">
        <v>60</v>
      </c>
      <c r="D776" s="23"/>
      <c r="E776" s="83"/>
      <c r="F776" s="173"/>
      <c r="G776" s="158"/>
    </row>
    <row r="777" spans="1:7" s="81" customFormat="1" ht="24.95" customHeight="1" x14ac:dyDescent="0.35">
      <c r="B777" s="82"/>
      <c r="C777" s="17" t="s">
        <v>474</v>
      </c>
      <c r="D777" s="23"/>
      <c r="E777" s="83"/>
      <c r="F777" s="173"/>
      <c r="G777" s="158">
        <f>G758</f>
        <v>373798.33000000007</v>
      </c>
    </row>
    <row r="778" spans="1:7" s="81" customFormat="1" ht="24.95" customHeight="1" x14ac:dyDescent="0.35">
      <c r="B778" s="82"/>
      <c r="C778" s="17" t="s">
        <v>475</v>
      </c>
      <c r="D778" s="23"/>
      <c r="E778" s="83"/>
      <c r="F778" s="173"/>
      <c r="G778" s="158">
        <f>G773</f>
        <v>52979.959999999992</v>
      </c>
    </row>
    <row r="779" spans="1:7" s="81" customFormat="1" ht="24.95" customHeight="1" x14ac:dyDescent="0.35">
      <c r="B779" s="82"/>
      <c r="C779" s="17"/>
      <c r="D779" s="23"/>
      <c r="E779" s="83"/>
      <c r="F779" s="173"/>
      <c r="G779" s="158"/>
    </row>
    <row r="780" spans="1:7" s="81" customFormat="1" ht="24.95" customHeight="1" x14ac:dyDescent="0.35">
      <c r="B780" s="82"/>
      <c r="C780" s="17"/>
      <c r="D780" s="23"/>
      <c r="E780" s="83"/>
      <c r="F780" s="173"/>
      <c r="G780" s="158"/>
    </row>
    <row r="781" spans="1:7" s="81" customFormat="1" ht="24.95" customHeight="1" x14ac:dyDescent="0.35">
      <c r="B781" s="82"/>
      <c r="C781" s="17"/>
      <c r="D781" s="23"/>
      <c r="E781" s="83"/>
      <c r="F781" s="173"/>
      <c r="G781" s="158"/>
    </row>
    <row r="782" spans="1:7" s="92" customFormat="1" ht="30" customHeight="1" thickBot="1" x14ac:dyDescent="0.4">
      <c r="A782" s="88"/>
      <c r="B782" s="89"/>
      <c r="C782" s="90" t="s">
        <v>55</v>
      </c>
      <c r="D782" s="193"/>
      <c r="E782" s="91"/>
      <c r="F782" s="141"/>
      <c r="G782" s="142">
        <f>SUM(G777:G781)</f>
        <v>426778.29000000004</v>
      </c>
    </row>
    <row r="783" spans="1:7" s="86" customFormat="1" ht="30" customHeight="1" thickTop="1" x14ac:dyDescent="0.35">
      <c r="A783" s="81"/>
      <c r="B783" s="82"/>
      <c r="C783" s="93" t="s">
        <v>476</v>
      </c>
      <c r="D783" s="194"/>
      <c r="E783" s="82"/>
      <c r="F783" s="143"/>
      <c r="G783" s="147"/>
    </row>
    <row r="784" spans="1:7" s="80" customFormat="1" ht="21.95" customHeight="1" x14ac:dyDescent="0.35">
      <c r="A784" s="75"/>
      <c r="B784" s="76"/>
      <c r="C784" s="87" t="e">
        <f>C735</f>
        <v>#REF!</v>
      </c>
      <c r="D784" s="94"/>
      <c r="E784" s="77"/>
      <c r="F784" s="153"/>
      <c r="G784" s="164"/>
    </row>
    <row r="785" spans="1:7" s="80" customFormat="1" ht="21.95" customHeight="1" x14ac:dyDescent="0.35">
      <c r="A785" s="75"/>
      <c r="B785" s="76"/>
      <c r="C785" s="87" t="str">
        <f>C736</f>
        <v>APARTMENTS BLOCK</v>
      </c>
      <c r="D785" s="94"/>
      <c r="E785" s="77"/>
      <c r="F785" s="153"/>
      <c r="G785" s="164"/>
    </row>
    <row r="786" spans="1:7" s="80" customFormat="1" ht="21.95" customHeight="1" x14ac:dyDescent="0.35">
      <c r="A786" s="75"/>
      <c r="B786" s="76"/>
      <c r="C786" s="87" t="s">
        <v>492</v>
      </c>
      <c r="D786" s="94"/>
      <c r="E786" s="77"/>
      <c r="F786" s="153"/>
      <c r="G786" s="164"/>
    </row>
    <row r="787" spans="1:7" s="80" customFormat="1" ht="21.95" customHeight="1" x14ac:dyDescent="0.35">
      <c r="A787" s="75"/>
      <c r="B787" s="76"/>
      <c r="C787" s="87" t="s">
        <v>198</v>
      </c>
      <c r="D787" s="94"/>
      <c r="E787" s="77"/>
      <c r="F787" s="153"/>
      <c r="G787" s="164"/>
    </row>
    <row r="788" spans="1:7" s="80" customFormat="1" ht="48" customHeight="1" x14ac:dyDescent="0.35">
      <c r="A788" s="75"/>
      <c r="B788" s="76"/>
      <c r="C788" s="111" t="s">
        <v>203</v>
      </c>
      <c r="D788" s="94"/>
      <c r="E788" s="77"/>
      <c r="F788" s="153"/>
      <c r="G788" s="164"/>
    </row>
    <row r="789" spans="1:7" s="13" customFormat="1" ht="21.95" customHeight="1" x14ac:dyDescent="0.35">
      <c r="B789" s="14"/>
      <c r="C789" s="114" t="s">
        <v>294</v>
      </c>
      <c r="D789" s="11"/>
      <c r="E789" s="16"/>
      <c r="F789" s="132"/>
      <c r="G789" s="140"/>
    </row>
    <row r="790" spans="1:7" s="13" customFormat="1" ht="111.75" customHeight="1" x14ac:dyDescent="0.35">
      <c r="B790" s="14"/>
      <c r="C790" s="111" t="s">
        <v>480</v>
      </c>
      <c r="D790" s="11"/>
      <c r="E790" s="16"/>
      <c r="F790" s="132"/>
      <c r="G790" s="140"/>
    </row>
    <row r="791" spans="1:7" s="13" customFormat="1" x14ac:dyDescent="0.35">
      <c r="B791" s="14" t="s">
        <v>31</v>
      </c>
      <c r="C791" s="27" t="s">
        <v>295</v>
      </c>
      <c r="D791" s="11">
        <v>112</v>
      </c>
      <c r="E791" s="108" t="s">
        <v>112</v>
      </c>
      <c r="F791" s="178">
        <v>164.38356164383561</v>
      </c>
      <c r="G791" s="163">
        <f>F791*D791</f>
        <v>18410.95890410959</v>
      </c>
    </row>
    <row r="792" spans="1:7" s="13" customFormat="1" ht="21.95" customHeight="1" x14ac:dyDescent="0.35">
      <c r="B792" s="14"/>
      <c r="C792" s="114" t="s">
        <v>297</v>
      </c>
      <c r="D792" s="11"/>
      <c r="E792" s="16"/>
      <c r="F792" s="132"/>
      <c r="G792" s="163"/>
    </row>
    <row r="793" spans="1:7" s="13" customFormat="1" ht="127.5" customHeight="1" x14ac:dyDescent="0.35">
      <c r="B793" s="14"/>
      <c r="C793" s="111" t="s">
        <v>479</v>
      </c>
      <c r="D793" s="11"/>
      <c r="E793" s="16"/>
      <c r="F793" s="132"/>
      <c r="G793" s="163"/>
    </row>
    <row r="794" spans="1:7" s="13" customFormat="1" x14ac:dyDescent="0.35">
      <c r="B794" s="14" t="s">
        <v>32</v>
      </c>
      <c r="C794" s="27" t="s">
        <v>296</v>
      </c>
      <c r="D794" s="11">
        <v>153</v>
      </c>
      <c r="E794" s="108" t="s">
        <v>112</v>
      </c>
      <c r="F794" s="178">
        <v>465.75342465753425</v>
      </c>
      <c r="G794" s="163">
        <f t="shared" ref="G794:G797" si="27">F794*D794</f>
        <v>71260.273972602736</v>
      </c>
    </row>
    <row r="795" spans="1:7" s="13" customFormat="1" ht="21.95" customHeight="1" x14ac:dyDescent="0.35">
      <c r="B795" s="14"/>
      <c r="C795" s="114" t="s">
        <v>298</v>
      </c>
      <c r="D795" s="11"/>
      <c r="E795" s="16"/>
      <c r="F795" s="132"/>
      <c r="G795" s="163"/>
    </row>
    <row r="796" spans="1:7" s="13" customFormat="1" ht="60" x14ac:dyDescent="0.35">
      <c r="B796" s="14"/>
      <c r="C796" s="113" t="s">
        <v>478</v>
      </c>
      <c r="D796" s="11"/>
      <c r="E796" s="16"/>
      <c r="F796" s="132"/>
      <c r="G796" s="163"/>
    </row>
    <row r="797" spans="1:7" s="13" customFormat="1" ht="30" x14ac:dyDescent="0.35">
      <c r="B797" s="14" t="s">
        <v>33</v>
      </c>
      <c r="C797" s="60" t="s">
        <v>299</v>
      </c>
      <c r="D797" s="11">
        <v>308</v>
      </c>
      <c r="E797" s="108" t="s">
        <v>112</v>
      </c>
      <c r="F797" s="178">
        <v>328.76712328767121</v>
      </c>
      <c r="G797" s="163">
        <f t="shared" si="27"/>
        <v>101260.27397260274</v>
      </c>
    </row>
    <row r="798" spans="1:7" s="223" customFormat="1" ht="24.95" customHeight="1" x14ac:dyDescent="0.35">
      <c r="B798" s="33"/>
      <c r="C798" s="22"/>
      <c r="D798" s="196"/>
      <c r="E798" s="225"/>
      <c r="F798" s="226"/>
      <c r="G798" s="130"/>
    </row>
    <row r="799" spans="1:7" s="223" customFormat="1" ht="24.95" customHeight="1" x14ac:dyDescent="0.35">
      <c r="B799" s="33"/>
      <c r="C799" s="22"/>
      <c r="D799" s="196"/>
      <c r="E799" s="225"/>
      <c r="F799" s="226"/>
      <c r="G799" s="130"/>
    </row>
    <row r="800" spans="1:7" s="223" customFormat="1" ht="18.75" customHeight="1" x14ac:dyDescent="0.35">
      <c r="B800" s="33"/>
      <c r="C800" s="22"/>
      <c r="D800" s="196"/>
      <c r="E800" s="225"/>
      <c r="F800" s="226"/>
      <c r="G800" s="130"/>
    </row>
    <row r="801" spans="1:253" s="223" customFormat="1" ht="24.95" customHeight="1" x14ac:dyDescent="0.35">
      <c r="B801" s="33"/>
      <c r="C801" s="22"/>
      <c r="D801" s="196"/>
      <c r="E801" s="225"/>
      <c r="F801" s="226"/>
      <c r="G801" s="130"/>
    </row>
    <row r="802" spans="1:253" s="223" customFormat="1" ht="24.95" customHeight="1" x14ac:dyDescent="0.35">
      <c r="B802" s="33"/>
      <c r="C802" s="22"/>
      <c r="D802" s="196"/>
      <c r="E802" s="225"/>
      <c r="F802" s="226"/>
      <c r="G802" s="130"/>
    </row>
    <row r="803" spans="1:253" s="92" customFormat="1" ht="30" customHeight="1" thickBot="1" x14ac:dyDescent="0.4">
      <c r="A803" s="88"/>
      <c r="B803" s="89"/>
      <c r="C803" s="90" t="s">
        <v>56</v>
      </c>
      <c r="D803" s="193"/>
      <c r="E803" s="91"/>
      <c r="F803" s="141"/>
      <c r="G803" s="142">
        <f>SUM(G791:G802)</f>
        <v>190931.50684931508</v>
      </c>
    </row>
    <row r="804" spans="1:253" s="86" customFormat="1" ht="30" customHeight="1" thickTop="1" x14ac:dyDescent="0.35">
      <c r="A804" s="81"/>
      <c r="B804" s="82"/>
      <c r="C804" s="93" t="s">
        <v>493</v>
      </c>
      <c r="D804" s="194"/>
      <c r="E804" s="82"/>
      <c r="F804" s="143"/>
      <c r="G804" s="147"/>
    </row>
    <row r="805" spans="1:253" s="13" customFormat="1" ht="21.95" customHeight="1" x14ac:dyDescent="0.35">
      <c r="B805" s="14"/>
      <c r="C805" s="114" t="s">
        <v>481</v>
      </c>
      <c r="D805" s="11"/>
      <c r="E805" s="16"/>
      <c r="F805" s="132"/>
      <c r="G805" s="140"/>
    </row>
    <row r="806" spans="1:253" s="13" customFormat="1" ht="75" x14ac:dyDescent="0.35">
      <c r="B806" s="14"/>
      <c r="C806" s="113" t="s">
        <v>484</v>
      </c>
      <c r="D806" s="11"/>
      <c r="E806" s="16"/>
      <c r="F806" s="132"/>
      <c r="G806" s="163"/>
    </row>
    <row r="807" spans="1:253" s="13" customFormat="1" ht="30" x14ac:dyDescent="0.35">
      <c r="B807" s="14" t="s">
        <v>31</v>
      </c>
      <c r="C807" s="60" t="s">
        <v>482</v>
      </c>
      <c r="D807" s="11">
        <v>160</v>
      </c>
      <c r="E807" s="108" t="s">
        <v>112</v>
      </c>
      <c r="F807" s="178">
        <v>328.78</v>
      </c>
      <c r="G807" s="177">
        <f>F807*D807</f>
        <v>52604.799999999996</v>
      </c>
    </row>
    <row r="808" spans="1:253" s="13" customFormat="1" ht="21.95" customHeight="1" x14ac:dyDescent="0.35">
      <c r="B808" s="33" t="s">
        <v>32</v>
      </c>
      <c r="C808" s="22" t="s">
        <v>483</v>
      </c>
      <c r="D808" s="11">
        <v>76</v>
      </c>
      <c r="E808" s="23" t="s">
        <v>112</v>
      </c>
      <c r="F808" s="176">
        <f>F807</f>
        <v>328.78</v>
      </c>
      <c r="G808" s="177">
        <f t="shared" ref="G808:G812" si="28">F808*D808</f>
        <v>24987.279999999999</v>
      </c>
    </row>
    <row r="809" spans="1:253" s="208" customFormat="1" ht="21.95" customHeight="1" x14ac:dyDescent="0.35">
      <c r="B809" s="227"/>
      <c r="C809" s="122" t="s">
        <v>488</v>
      </c>
      <c r="D809" s="119"/>
      <c r="E809" s="228"/>
      <c r="F809" s="121"/>
      <c r="G809" s="177"/>
    </row>
    <row r="810" spans="1:253" s="234" customFormat="1" ht="30" x14ac:dyDescent="0.35">
      <c r="A810" s="229"/>
      <c r="B810" s="230"/>
      <c r="C810" s="231" t="s">
        <v>489</v>
      </c>
      <c r="D810" s="232"/>
      <c r="E810" s="233"/>
      <c r="F810" s="200"/>
      <c r="G810" s="177"/>
      <c r="H810" s="229"/>
      <c r="I810" s="229"/>
      <c r="J810" s="229"/>
      <c r="K810" s="229"/>
      <c r="L810" s="229"/>
      <c r="M810" s="229"/>
      <c r="N810" s="229"/>
      <c r="O810" s="229"/>
      <c r="P810" s="229"/>
      <c r="Q810" s="229"/>
      <c r="R810" s="229"/>
      <c r="S810" s="229"/>
      <c r="T810" s="229"/>
      <c r="U810" s="229"/>
      <c r="V810" s="229"/>
      <c r="W810" s="229"/>
      <c r="X810" s="229"/>
      <c r="Y810" s="229"/>
      <c r="Z810" s="229"/>
      <c r="AA810" s="229"/>
      <c r="AB810" s="229"/>
      <c r="AC810" s="229"/>
      <c r="AD810" s="229"/>
      <c r="AE810" s="229"/>
      <c r="AF810" s="229"/>
      <c r="AG810" s="229"/>
      <c r="AH810" s="229"/>
      <c r="AI810" s="229"/>
      <c r="AJ810" s="229"/>
      <c r="AK810" s="229"/>
      <c r="AL810" s="229"/>
      <c r="AM810" s="229"/>
      <c r="AN810" s="229"/>
      <c r="AO810" s="229"/>
      <c r="AP810" s="229"/>
      <c r="AQ810" s="229"/>
      <c r="AR810" s="229"/>
      <c r="AS810" s="229"/>
      <c r="AT810" s="229"/>
      <c r="AU810" s="229"/>
      <c r="AV810" s="229"/>
      <c r="AW810" s="229"/>
      <c r="AX810" s="229"/>
      <c r="AY810" s="229"/>
      <c r="AZ810" s="229"/>
      <c r="BA810" s="229"/>
      <c r="BB810" s="229"/>
      <c r="BC810" s="229"/>
      <c r="BD810" s="229"/>
      <c r="BE810" s="229"/>
      <c r="BF810" s="229"/>
      <c r="BG810" s="229"/>
      <c r="BH810" s="229"/>
      <c r="BI810" s="229"/>
      <c r="BJ810" s="229"/>
      <c r="BK810" s="229"/>
      <c r="BL810" s="229"/>
      <c r="BM810" s="229"/>
      <c r="BN810" s="229"/>
      <c r="BO810" s="229"/>
      <c r="BP810" s="229"/>
      <c r="BQ810" s="229"/>
      <c r="BR810" s="229"/>
      <c r="BS810" s="229"/>
      <c r="BT810" s="229"/>
      <c r="BU810" s="229"/>
      <c r="BV810" s="229"/>
      <c r="BW810" s="229"/>
      <c r="BX810" s="229"/>
      <c r="BY810" s="229"/>
      <c r="BZ810" s="229"/>
      <c r="CA810" s="229"/>
      <c r="CB810" s="229"/>
      <c r="CC810" s="229"/>
      <c r="CD810" s="229"/>
      <c r="CE810" s="229"/>
      <c r="CF810" s="229"/>
      <c r="CG810" s="229"/>
      <c r="CH810" s="229"/>
      <c r="CI810" s="229"/>
      <c r="CJ810" s="229"/>
      <c r="CK810" s="229"/>
      <c r="CL810" s="229"/>
      <c r="CM810" s="229"/>
      <c r="CN810" s="229"/>
      <c r="CO810" s="229"/>
      <c r="CP810" s="229"/>
      <c r="CQ810" s="229"/>
      <c r="CR810" s="229"/>
      <c r="CS810" s="229"/>
      <c r="CT810" s="229"/>
      <c r="CU810" s="229"/>
      <c r="CV810" s="229"/>
      <c r="CW810" s="229"/>
      <c r="CX810" s="229"/>
      <c r="CY810" s="229"/>
      <c r="CZ810" s="229"/>
      <c r="DA810" s="229"/>
      <c r="DB810" s="229"/>
      <c r="DC810" s="229"/>
      <c r="DD810" s="229"/>
      <c r="DE810" s="229"/>
      <c r="DF810" s="229"/>
      <c r="DG810" s="229"/>
      <c r="DH810" s="229"/>
      <c r="DI810" s="229"/>
      <c r="DJ810" s="229"/>
      <c r="DK810" s="229"/>
      <c r="DL810" s="229"/>
      <c r="DM810" s="229"/>
      <c r="DN810" s="229"/>
      <c r="DO810" s="229"/>
      <c r="DP810" s="229"/>
      <c r="DQ810" s="229"/>
      <c r="DR810" s="229"/>
      <c r="DS810" s="229"/>
      <c r="DT810" s="229"/>
      <c r="DU810" s="229"/>
      <c r="DV810" s="229"/>
      <c r="DW810" s="229"/>
      <c r="DX810" s="229"/>
      <c r="DY810" s="229"/>
      <c r="DZ810" s="229"/>
      <c r="EA810" s="229"/>
      <c r="EB810" s="229"/>
      <c r="EC810" s="229"/>
      <c r="ED810" s="229"/>
      <c r="EE810" s="229"/>
      <c r="EF810" s="229"/>
      <c r="EG810" s="229"/>
      <c r="EH810" s="229"/>
      <c r="EI810" s="229"/>
      <c r="EJ810" s="229"/>
      <c r="EK810" s="229"/>
      <c r="EL810" s="229"/>
      <c r="EM810" s="229"/>
      <c r="EN810" s="229"/>
      <c r="EO810" s="229"/>
      <c r="EP810" s="229"/>
      <c r="EQ810" s="229"/>
      <c r="ER810" s="229"/>
      <c r="ES810" s="229"/>
      <c r="ET810" s="229"/>
      <c r="EU810" s="229"/>
      <c r="EV810" s="229"/>
      <c r="EW810" s="229"/>
      <c r="EX810" s="229"/>
      <c r="EY810" s="229"/>
      <c r="EZ810" s="229"/>
      <c r="FA810" s="229"/>
      <c r="FB810" s="229"/>
      <c r="FC810" s="229"/>
      <c r="FD810" s="229"/>
      <c r="FE810" s="229"/>
      <c r="FF810" s="229"/>
      <c r="FG810" s="229"/>
      <c r="FH810" s="229"/>
      <c r="FI810" s="229"/>
      <c r="FJ810" s="229"/>
      <c r="FK810" s="229"/>
      <c r="FL810" s="229"/>
      <c r="FM810" s="229"/>
      <c r="FN810" s="229"/>
      <c r="FO810" s="229"/>
      <c r="FP810" s="229"/>
      <c r="FQ810" s="229"/>
      <c r="FR810" s="229"/>
      <c r="FS810" s="229"/>
      <c r="FT810" s="229"/>
      <c r="FU810" s="229"/>
      <c r="FV810" s="229"/>
      <c r="FW810" s="229"/>
      <c r="FX810" s="229"/>
      <c r="FY810" s="229"/>
      <c r="FZ810" s="229"/>
      <c r="GA810" s="229"/>
      <c r="GB810" s="229"/>
      <c r="GC810" s="229"/>
      <c r="GD810" s="229"/>
      <c r="GE810" s="229"/>
      <c r="GF810" s="229"/>
      <c r="GG810" s="229"/>
      <c r="GH810" s="229"/>
      <c r="GI810" s="229"/>
      <c r="GJ810" s="229"/>
      <c r="GK810" s="229"/>
      <c r="GL810" s="229"/>
      <c r="GM810" s="229"/>
      <c r="GN810" s="229"/>
      <c r="GO810" s="229"/>
      <c r="GP810" s="229"/>
      <c r="GQ810" s="229"/>
      <c r="GR810" s="229"/>
      <c r="GS810" s="229"/>
      <c r="GT810" s="229"/>
      <c r="GU810" s="229"/>
      <c r="GV810" s="229"/>
      <c r="GW810" s="229"/>
      <c r="GX810" s="229"/>
      <c r="GY810" s="229"/>
      <c r="GZ810" s="229"/>
      <c r="HA810" s="229"/>
      <c r="HB810" s="229"/>
      <c r="HC810" s="229"/>
      <c r="HD810" s="229"/>
      <c r="HE810" s="229"/>
      <c r="HF810" s="229"/>
      <c r="HG810" s="229"/>
      <c r="HH810" s="229"/>
      <c r="HI810" s="229"/>
      <c r="HJ810" s="229"/>
      <c r="HK810" s="229"/>
      <c r="HL810" s="229"/>
      <c r="HM810" s="229"/>
      <c r="HN810" s="229"/>
      <c r="HO810" s="229"/>
      <c r="HP810" s="229"/>
      <c r="HQ810" s="229"/>
      <c r="HR810" s="229"/>
      <c r="HS810" s="229"/>
      <c r="HT810" s="229"/>
      <c r="HU810" s="229"/>
      <c r="HV810" s="229"/>
      <c r="HW810" s="229"/>
      <c r="HX810" s="229"/>
      <c r="HY810" s="229"/>
      <c r="HZ810" s="229"/>
      <c r="IA810" s="229"/>
      <c r="IB810" s="229"/>
      <c r="IC810" s="229"/>
      <c r="ID810" s="229"/>
      <c r="IE810" s="229"/>
      <c r="IF810" s="229"/>
      <c r="IG810" s="229"/>
      <c r="IH810" s="229"/>
      <c r="II810" s="229"/>
      <c r="IJ810" s="229"/>
      <c r="IK810" s="229"/>
      <c r="IL810" s="229"/>
      <c r="IM810" s="229"/>
      <c r="IN810" s="229"/>
      <c r="IO810" s="229"/>
      <c r="IP810" s="229"/>
      <c r="IQ810" s="229"/>
      <c r="IR810" s="229"/>
      <c r="IS810" s="229"/>
    </row>
    <row r="811" spans="1:253" s="13" customFormat="1" ht="165" x14ac:dyDescent="0.35">
      <c r="B811" s="14" t="s">
        <v>33</v>
      </c>
      <c r="C811" s="60" t="s">
        <v>491</v>
      </c>
      <c r="D811" s="11">
        <v>127</v>
      </c>
      <c r="E811" s="108" t="s">
        <v>112</v>
      </c>
      <c r="F811" s="178">
        <v>65.75</v>
      </c>
      <c r="G811" s="177">
        <f t="shared" si="28"/>
        <v>8350.25</v>
      </c>
      <c r="K811" s="235"/>
    </row>
    <row r="812" spans="1:253" s="13" customFormat="1" ht="30" x14ac:dyDescent="0.35">
      <c r="B812" s="14" t="s">
        <v>34</v>
      </c>
      <c r="C812" s="60" t="s">
        <v>490</v>
      </c>
      <c r="D812" s="11">
        <v>59</v>
      </c>
      <c r="E812" s="108" t="s">
        <v>113</v>
      </c>
      <c r="F812" s="178">
        <v>78.900000000000006</v>
      </c>
      <c r="G812" s="177">
        <f t="shared" si="28"/>
        <v>4655.1000000000004</v>
      </c>
    </row>
    <row r="813" spans="1:253" s="13" customFormat="1" ht="21.95" customHeight="1" x14ac:dyDescent="0.35">
      <c r="B813" s="14"/>
      <c r="C813" s="15" t="s">
        <v>497</v>
      </c>
      <c r="D813" s="11"/>
      <c r="E813" s="16"/>
      <c r="F813" s="201"/>
      <c r="G813" s="202"/>
    </row>
    <row r="814" spans="1:253" s="13" customFormat="1" ht="75" x14ac:dyDescent="0.35">
      <c r="B814" s="14"/>
      <c r="C814" s="68" t="s">
        <v>498</v>
      </c>
      <c r="D814" s="11"/>
      <c r="E814" s="16"/>
      <c r="F814" s="201"/>
      <c r="G814" s="202"/>
    </row>
    <row r="815" spans="1:253" s="13" customFormat="1" x14ac:dyDescent="0.35">
      <c r="B815" s="33" t="s">
        <v>35</v>
      </c>
      <c r="C815" s="22" t="s">
        <v>500</v>
      </c>
      <c r="D815" s="11">
        <v>106</v>
      </c>
      <c r="E815" s="23" t="s">
        <v>113</v>
      </c>
      <c r="F815" s="176">
        <v>10</v>
      </c>
      <c r="G815" s="177">
        <f t="shared" ref="G815:G816" si="29">F815*D815</f>
        <v>1060</v>
      </c>
    </row>
    <row r="816" spans="1:253" s="13" customFormat="1" ht="30" x14ac:dyDescent="0.35">
      <c r="B816" s="33" t="s">
        <v>36</v>
      </c>
      <c r="C816" s="22" t="s">
        <v>499</v>
      </c>
      <c r="D816" s="11">
        <v>212</v>
      </c>
      <c r="E816" s="23" t="s">
        <v>113</v>
      </c>
      <c r="F816" s="176">
        <v>2.42</v>
      </c>
      <c r="G816" s="177">
        <f t="shared" si="29"/>
        <v>513.04</v>
      </c>
    </row>
    <row r="817" spans="1:7" s="92" customFormat="1" ht="24.95" customHeight="1" thickBot="1" x14ac:dyDescent="0.4">
      <c r="A817" s="88"/>
      <c r="B817" s="89"/>
      <c r="C817" s="90" t="s">
        <v>56</v>
      </c>
      <c r="D817" s="193"/>
      <c r="E817" s="91"/>
      <c r="F817" s="141"/>
      <c r="G817" s="142">
        <f>SUM(G807:G816)</f>
        <v>92170.469999999987</v>
      </c>
    </row>
    <row r="818" spans="1:7" s="81" customFormat="1" ht="24.95" customHeight="1" thickTop="1" x14ac:dyDescent="0.35">
      <c r="B818" s="82"/>
      <c r="C818" s="94" t="s">
        <v>60</v>
      </c>
      <c r="D818" s="23"/>
      <c r="E818" s="83"/>
      <c r="F818" s="173"/>
      <c r="G818" s="158"/>
    </row>
    <row r="819" spans="1:7" s="81" customFormat="1" ht="24.95" customHeight="1" x14ac:dyDescent="0.35">
      <c r="B819" s="82"/>
      <c r="C819" s="17" t="s">
        <v>494</v>
      </c>
      <c r="D819" s="23"/>
      <c r="E819" s="83"/>
      <c r="F819" s="173"/>
      <c r="G819" s="158">
        <f>G803</f>
        <v>190931.50684931508</v>
      </c>
    </row>
    <row r="820" spans="1:7" s="81" customFormat="1" ht="24.95" customHeight="1" x14ac:dyDescent="0.35">
      <c r="B820" s="82"/>
      <c r="C820" s="17" t="s">
        <v>495</v>
      </c>
      <c r="D820" s="23"/>
      <c r="E820" s="83"/>
      <c r="F820" s="173"/>
      <c r="G820" s="158">
        <f>G817</f>
        <v>92170.469999999987</v>
      </c>
    </row>
    <row r="821" spans="1:7" s="92" customFormat="1" ht="30" customHeight="1" thickBot="1" x14ac:dyDescent="0.4">
      <c r="A821" s="88"/>
      <c r="B821" s="89"/>
      <c r="C821" s="90" t="s">
        <v>55</v>
      </c>
      <c r="D821" s="193"/>
      <c r="E821" s="91"/>
      <c r="F821" s="141"/>
      <c r="G821" s="142">
        <f>SUM(G819:G820)</f>
        <v>283101.97684931505</v>
      </c>
    </row>
    <row r="822" spans="1:7" s="86" customFormat="1" ht="30" customHeight="1" thickTop="1" x14ac:dyDescent="0.35">
      <c r="A822" s="81"/>
      <c r="B822" s="82"/>
      <c r="C822" s="93" t="s">
        <v>496</v>
      </c>
      <c r="D822" s="194"/>
      <c r="E822" s="82"/>
      <c r="F822" s="143"/>
      <c r="G822" s="147"/>
    </row>
  </sheetData>
  <pageMargins left="0.21" right="0.17" top="0.34" bottom="0.37" header="0.2" footer="0.2"/>
  <pageSetup paperSize="9" orientation="portrait" r:id="rId1"/>
  <headerFooter>
    <oddHeader>&amp;R&amp;"Arial,Italic"&amp;8&amp;F</oddHeader>
    <oddFooter>&amp;L&amp;"Arial,Italic"&amp;8&amp;A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B4"/>
  <sheetViews>
    <sheetView view="pageBreakPreview" zoomScaleNormal="100" workbookViewId="0">
      <selection activeCell="M12" sqref="M12"/>
    </sheetView>
  </sheetViews>
  <sheetFormatPr defaultColWidth="9.1328125" defaultRowHeight="22.15" x14ac:dyDescent="0.35"/>
  <cols>
    <col min="1" max="1" width="6.33203125" style="293" customWidth="1"/>
    <col min="2" max="2" width="69.86328125" style="297" customWidth="1"/>
    <col min="3" max="16384" width="9.1328125" style="293"/>
  </cols>
  <sheetData>
    <row r="1" spans="2:2" x14ac:dyDescent="0.35">
      <c r="B1" s="294"/>
    </row>
    <row r="2" spans="2:2" ht="30" customHeight="1" x14ac:dyDescent="0.35">
      <c r="B2" s="295" t="s">
        <v>518</v>
      </c>
    </row>
    <row r="3" spans="2:2" ht="40.5" customHeight="1" x14ac:dyDescent="0.35">
      <c r="B3" s="296" t="s">
        <v>519</v>
      </c>
    </row>
    <row r="4" spans="2:2" x14ac:dyDescent="0.35">
      <c r="B4" s="294"/>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28"/>
  <sheetViews>
    <sheetView view="pageBreakPreview" topLeftCell="A9" zoomScale="80" zoomScaleNormal="100" zoomScaleSheetLayoutView="80" workbookViewId="0">
      <selection activeCell="I16" sqref="I16"/>
    </sheetView>
  </sheetViews>
  <sheetFormatPr defaultColWidth="9.1328125" defaultRowHeight="15.4" x14ac:dyDescent="0.35"/>
  <cols>
    <col min="1" max="1" width="0.6640625" style="273" customWidth="1"/>
    <col min="2" max="2" width="11.33203125" style="274" customWidth="1"/>
    <col min="3" max="3" width="58.265625" style="273" customWidth="1"/>
    <col min="4" max="4" width="17.1328125" style="274" customWidth="1"/>
    <col min="5" max="5" width="16.6640625" style="266" customWidth="1"/>
    <col min="6" max="6" width="1.33203125" style="268" customWidth="1"/>
    <col min="7" max="9" width="9.1328125" style="274"/>
    <col min="10" max="10" width="14" style="274" bestFit="1" customWidth="1"/>
    <col min="11" max="16384" width="9.1328125" style="274"/>
  </cols>
  <sheetData>
    <row r="1" spans="2:10" s="265" customFormat="1" ht="6" customHeight="1" x14ac:dyDescent="0.35">
      <c r="B1" s="264"/>
      <c r="D1" s="264"/>
      <c r="E1" s="266"/>
      <c r="F1" s="267"/>
    </row>
    <row r="2" spans="2:10" s="322" customFormat="1" ht="30.75" x14ac:dyDescent="0.35">
      <c r="B2" s="328" t="s">
        <v>50</v>
      </c>
      <c r="C2" s="329" t="s">
        <v>38</v>
      </c>
      <c r="D2" s="329" t="s">
        <v>30</v>
      </c>
      <c r="E2" s="330" t="s">
        <v>532</v>
      </c>
      <c r="F2" s="321"/>
    </row>
    <row r="3" spans="2:10" s="265" customFormat="1" x14ac:dyDescent="0.35">
      <c r="B3" s="276"/>
      <c r="C3" s="277"/>
      <c r="D3" s="278"/>
      <c r="E3" s="279"/>
      <c r="F3" s="268"/>
    </row>
    <row r="4" spans="2:10" s="265" customFormat="1" ht="30" customHeight="1" x14ac:dyDescent="0.35">
      <c r="B4" s="276"/>
      <c r="C4" s="280" t="str">
        <f>'Fly Sht. Bill No.4'!B2</f>
        <v>BILL NO.4</v>
      </c>
      <c r="D4" s="278"/>
      <c r="E4" s="279"/>
      <c r="F4" s="268"/>
    </row>
    <row r="5" spans="2:10" s="265" customFormat="1" ht="30" customHeight="1" x14ac:dyDescent="0.35">
      <c r="B5" s="276"/>
      <c r="C5" s="280" t="str">
        <f>'Fly Sht. Bill No.4'!B3</f>
        <v>ELECTRICAL INSTALLATIONS</v>
      </c>
      <c r="D5" s="278"/>
      <c r="E5" s="279"/>
      <c r="F5" s="268"/>
    </row>
    <row r="6" spans="2:10" s="265" customFormat="1" ht="30" customHeight="1" x14ac:dyDescent="0.35">
      <c r="B6" s="276"/>
      <c r="C6" s="280" t="s">
        <v>52</v>
      </c>
      <c r="D6" s="278"/>
      <c r="E6" s="279"/>
      <c r="F6" s="268"/>
    </row>
    <row r="7" spans="2:10" s="265" customFormat="1" ht="30" customHeight="1" x14ac:dyDescent="0.35">
      <c r="B7" s="281">
        <v>1</v>
      </c>
      <c r="C7" s="282" t="s">
        <v>1086</v>
      </c>
      <c r="D7" s="283" t="str">
        <f>'Bill No.4 Electrical Inst.'!C39</f>
        <v>4/1/2</v>
      </c>
      <c r="E7" s="325">
        <f>'Bill No.4 Electrical Inst.'!G38</f>
        <v>7461450</v>
      </c>
      <c r="F7" s="268"/>
      <c r="J7" s="270"/>
    </row>
    <row r="8" spans="2:10" s="265" customFormat="1" ht="30" customHeight="1" x14ac:dyDescent="0.35">
      <c r="B8" s="281">
        <v>1</v>
      </c>
      <c r="C8" s="282" t="s">
        <v>1081</v>
      </c>
      <c r="D8" s="283" t="str">
        <f>'Bill No.4 Electrical Inst.'!C105</f>
        <v>4/2/2</v>
      </c>
      <c r="E8" s="325">
        <f>'Bill No.4 Electrical Inst.'!G104</f>
        <v>60324150</v>
      </c>
      <c r="F8" s="268"/>
      <c r="J8" s="270"/>
    </row>
    <row r="9" spans="2:10" s="265" customFormat="1" ht="30" customHeight="1" x14ac:dyDescent="0.35">
      <c r="B9" s="281">
        <v>2</v>
      </c>
      <c r="C9" s="277" t="s">
        <v>538</v>
      </c>
      <c r="D9" s="283" t="str">
        <f>'Bill No.4 Electrical Inst.'!C168</f>
        <v>4/3/3</v>
      </c>
      <c r="E9" s="325">
        <f>'Bill No.4 Electrical Inst.'!G167</f>
        <v>89689250</v>
      </c>
      <c r="F9" s="268"/>
      <c r="J9" s="270"/>
    </row>
    <row r="10" spans="2:10" s="265" customFormat="1" ht="30" customHeight="1" x14ac:dyDescent="0.35">
      <c r="B10" s="281">
        <v>3</v>
      </c>
      <c r="C10" s="277" t="s">
        <v>539</v>
      </c>
      <c r="D10" s="283" t="str">
        <f>'Bill No.4 Electrical Inst.'!C233</f>
        <v>4/4/3</v>
      </c>
      <c r="E10" s="325">
        <f>'Bill No.4 Electrical Inst.'!G232</f>
        <v>94398800</v>
      </c>
      <c r="F10" s="268"/>
      <c r="J10" s="270"/>
    </row>
    <row r="11" spans="2:10" s="265" customFormat="1" ht="30" customHeight="1" x14ac:dyDescent="0.35">
      <c r="B11" s="281">
        <v>4</v>
      </c>
      <c r="C11" s="277" t="s">
        <v>540</v>
      </c>
      <c r="D11" s="283" t="str">
        <f>'Bill No.4 Electrical Inst.'!C297</f>
        <v>4/5/3</v>
      </c>
      <c r="E11" s="325">
        <f>'Bill No.4 Electrical Inst.'!G296</f>
        <v>88541250</v>
      </c>
      <c r="F11" s="268"/>
      <c r="J11" s="270"/>
    </row>
    <row r="12" spans="2:10" s="265" customFormat="1" ht="30" customHeight="1" x14ac:dyDescent="0.35">
      <c r="B12" s="281">
        <v>5</v>
      </c>
      <c r="C12" s="277" t="s">
        <v>1234</v>
      </c>
      <c r="D12" s="325"/>
      <c r="E12" s="325">
        <f>'Bill No.4 Electrical Inst.'!G360</f>
        <v>88541250</v>
      </c>
      <c r="F12" s="268"/>
      <c r="J12" s="270"/>
    </row>
    <row r="13" spans="2:10" s="265" customFormat="1" ht="30" customHeight="1" x14ac:dyDescent="0.35">
      <c r="B13" s="281">
        <v>6</v>
      </c>
      <c r="C13" s="277" t="s">
        <v>1235</v>
      </c>
      <c r="D13" s="325"/>
      <c r="E13" s="325">
        <f>'Bill No.4 Electrical Inst.'!G424</f>
        <v>88541250</v>
      </c>
      <c r="F13" s="268"/>
      <c r="J13" s="270"/>
    </row>
    <row r="14" spans="2:10" s="265" customFormat="1" ht="30" customHeight="1" x14ac:dyDescent="0.35">
      <c r="B14" s="281">
        <v>7</v>
      </c>
      <c r="C14" s="277" t="s">
        <v>954</v>
      </c>
      <c r="D14" s="283" t="str">
        <f>'Bill No.4 Electrical Inst.'!C463</f>
        <v>4/6/2</v>
      </c>
      <c r="E14" s="325">
        <f>'Bill No.4 Electrical Inst.'!G462</f>
        <v>8191600</v>
      </c>
      <c r="F14" s="268"/>
      <c r="J14" s="270"/>
    </row>
    <row r="15" spans="2:10" s="265" customFormat="1" ht="30" customHeight="1" x14ac:dyDescent="0.35">
      <c r="B15" s="281">
        <v>8</v>
      </c>
      <c r="C15" s="277" t="s">
        <v>955</v>
      </c>
      <c r="D15" s="283" t="str">
        <f>'Bill No.4 Electrical Inst.'!C504</f>
        <v>4/6/2</v>
      </c>
      <c r="E15" s="325">
        <f>'Bill No.4 Electrical Inst.'!G503</f>
        <v>49848600</v>
      </c>
      <c r="F15" s="268"/>
      <c r="J15" s="270"/>
    </row>
    <row r="16" spans="2:10" s="265" customFormat="1" ht="30" customHeight="1" x14ac:dyDescent="0.35">
      <c r="B16" s="281">
        <v>9</v>
      </c>
      <c r="C16" s="285" t="s">
        <v>604</v>
      </c>
      <c r="D16" s="283" t="str">
        <f>'Bill No.4 Electrical Inst.'!C542</f>
        <v>4/7/1</v>
      </c>
      <c r="E16" s="325">
        <f>'Bill No.4 Electrical Inst.'!G541</f>
        <v>280824000</v>
      </c>
      <c r="F16" s="268"/>
      <c r="J16" s="270"/>
    </row>
    <row r="17" spans="2:10" s="265" customFormat="1" ht="30" customHeight="1" x14ac:dyDescent="0.35">
      <c r="B17" s="281">
        <v>10</v>
      </c>
      <c r="C17" s="277" t="s">
        <v>608</v>
      </c>
      <c r="D17" s="283" t="str">
        <f>'Bill No.4 Electrical Inst.'!C599</f>
        <v>4/8/3</v>
      </c>
      <c r="E17" s="325">
        <f>'Bill No.4 Electrical Inst.'!G598</f>
        <v>83745000</v>
      </c>
      <c r="F17" s="268"/>
      <c r="J17" s="270"/>
    </row>
    <row r="18" spans="2:10" s="265" customFormat="1" ht="30" customHeight="1" x14ac:dyDescent="0.35">
      <c r="B18" s="281">
        <v>11</v>
      </c>
      <c r="C18" s="277" t="s">
        <v>621</v>
      </c>
      <c r="D18" s="283" t="str">
        <f>'Bill No.4 Electrical Inst.'!C632</f>
        <v>4/9/1</v>
      </c>
      <c r="E18" s="325">
        <f>'Bill No.4 Electrical Inst.'!G631</f>
        <v>160125000</v>
      </c>
      <c r="F18" s="268"/>
    </row>
    <row r="19" spans="2:10" s="265" customFormat="1" ht="30" customHeight="1" x14ac:dyDescent="0.35">
      <c r="B19" s="281">
        <v>12</v>
      </c>
      <c r="C19" s="277" t="s">
        <v>958</v>
      </c>
      <c r="D19" s="283" t="str">
        <f>'Bill No.4 Electrical Inst.'!C671</f>
        <v>4/10/1</v>
      </c>
      <c r="E19" s="325">
        <f>'Bill No.4 Electrical Inst.'!G670</f>
        <v>75850000</v>
      </c>
      <c r="F19" s="268"/>
    </row>
    <row r="20" spans="2:10" s="265" customFormat="1" ht="30" customHeight="1" x14ac:dyDescent="0.35">
      <c r="B20" s="281"/>
      <c r="C20" s="277"/>
      <c r="D20" s="283"/>
      <c r="E20" s="325"/>
      <c r="F20" s="268"/>
    </row>
    <row r="21" spans="2:10" s="265" customFormat="1" ht="30" customHeight="1" x14ac:dyDescent="0.35">
      <c r="B21" s="281"/>
      <c r="C21" s="277"/>
      <c r="D21" s="283"/>
      <c r="E21" s="284"/>
      <c r="F21" s="268"/>
    </row>
    <row r="22" spans="2:10" s="265" customFormat="1" ht="30" customHeight="1" x14ac:dyDescent="0.35">
      <c r="B22" s="281"/>
      <c r="C22" s="277"/>
      <c r="D22" s="283"/>
      <c r="E22" s="286"/>
      <c r="F22" s="268"/>
    </row>
    <row r="23" spans="2:10" s="265" customFormat="1" ht="30" customHeight="1" x14ac:dyDescent="0.35">
      <c r="B23" s="281"/>
      <c r="C23" s="277"/>
      <c r="D23" s="283"/>
      <c r="E23" s="286"/>
      <c r="F23" s="268"/>
    </row>
    <row r="24" spans="2:10" s="265" customFormat="1" ht="30" customHeight="1" x14ac:dyDescent="0.35">
      <c r="B24" s="281"/>
      <c r="C24" s="277"/>
      <c r="D24" s="283"/>
      <c r="E24" s="286"/>
      <c r="F24" s="268"/>
    </row>
    <row r="25" spans="2:10" s="265" customFormat="1" ht="30" customHeight="1" x14ac:dyDescent="0.35">
      <c r="B25" s="281"/>
      <c r="C25" s="277"/>
      <c r="D25" s="283"/>
      <c r="E25" s="286"/>
      <c r="F25" s="268"/>
    </row>
    <row r="26" spans="2:10" s="265" customFormat="1" ht="30" customHeight="1" x14ac:dyDescent="0.35">
      <c r="B26" s="281"/>
      <c r="C26" s="277"/>
      <c r="D26" s="283"/>
      <c r="E26" s="286"/>
      <c r="F26" s="268"/>
    </row>
    <row r="27" spans="2:10" s="265" customFormat="1" ht="30" customHeight="1" thickBot="1" x14ac:dyDescent="0.4">
      <c r="B27" s="276"/>
      <c r="C27" s="326" t="s">
        <v>521</v>
      </c>
      <c r="D27" s="278"/>
      <c r="E27" s="327">
        <f>SUM(E8:E26)</f>
        <v>1168620150</v>
      </c>
      <c r="F27" s="268"/>
    </row>
    <row r="28" spans="2:10" ht="30" customHeight="1" thickTop="1" x14ac:dyDescent="0.35">
      <c r="C28" s="292" t="s">
        <v>522</v>
      </c>
      <c r="E28" s="275"/>
      <c r="G28" s="265"/>
      <c r="H28" s="265"/>
    </row>
  </sheetData>
  <printOptions horizontalCentered="1"/>
  <pageMargins left="0.19685039370078741" right="0.15748031496062992" top="0.43307086614173229" bottom="0.39370078740157483" header="0.19685039370078741" footer="0.19685039370078741"/>
  <pageSetup paperSize="9" scale="97" fitToHeight="0" orientation="portrait" r:id="rId1"/>
  <headerFooter>
    <oddHeader>&amp;R&amp;"Arial,Italic"&amp;8&amp;F</oddHeader>
    <oddFooter>&amp;L&amp;"Arial,Italic"&amp;8&amp;A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K671"/>
  <sheetViews>
    <sheetView view="pageBreakPreview" topLeftCell="A408" zoomScale="90" zoomScaleNormal="80" zoomScaleSheetLayoutView="90" workbookViewId="0">
      <selection activeCell="D667" sqref="D667"/>
    </sheetView>
  </sheetViews>
  <sheetFormatPr defaultRowHeight="13.15" x14ac:dyDescent="0.35"/>
  <cols>
    <col min="1" max="1" width="0.6640625" style="418" customWidth="1"/>
    <col min="2" max="2" width="7" style="419" customWidth="1"/>
    <col min="3" max="3" width="68.9296875" style="418" customWidth="1"/>
    <col min="4" max="4" width="8.6640625" style="420" customWidth="1"/>
    <col min="5" max="5" width="8.6640625" style="421" customWidth="1"/>
    <col min="6" max="6" width="12.6640625" style="422" customWidth="1"/>
    <col min="7" max="7" width="12.9296875" style="422" customWidth="1"/>
    <col min="8" max="8" width="0.86328125" style="418" hidden="1" customWidth="1"/>
    <col min="9" max="9" width="8.86328125" style="418"/>
    <col min="10" max="10" width="15.33203125" style="418" customWidth="1"/>
    <col min="11" max="11" width="12" style="418" bestFit="1" customWidth="1"/>
    <col min="12" max="12" width="12.33203125" style="418" bestFit="1" customWidth="1"/>
    <col min="13" max="234" width="8.86328125" style="418"/>
    <col min="235" max="235" width="0.86328125" style="418" customWidth="1"/>
    <col min="236" max="236" width="7" style="418" customWidth="1"/>
    <col min="237" max="237" width="50.6640625" style="418" customWidth="1"/>
    <col min="238" max="239" width="7.6640625" style="418" customWidth="1"/>
    <col min="240" max="240" width="11.6640625" style="418" customWidth="1"/>
    <col min="241" max="241" width="12.6640625" style="418" customWidth="1"/>
    <col min="242" max="490" width="8.86328125" style="418"/>
    <col min="491" max="491" width="0.86328125" style="418" customWidth="1"/>
    <col min="492" max="492" width="7" style="418" customWidth="1"/>
    <col min="493" max="493" width="50.6640625" style="418" customWidth="1"/>
    <col min="494" max="495" width="7.6640625" style="418" customWidth="1"/>
    <col min="496" max="496" width="11.6640625" style="418" customWidth="1"/>
    <col min="497" max="497" width="12.6640625" style="418" customWidth="1"/>
    <col min="498" max="746" width="8.86328125" style="418"/>
    <col min="747" max="747" width="0.86328125" style="418" customWidth="1"/>
    <col min="748" max="748" width="7" style="418" customWidth="1"/>
    <col min="749" max="749" width="50.6640625" style="418" customWidth="1"/>
    <col min="750" max="751" width="7.6640625" style="418" customWidth="1"/>
    <col min="752" max="752" width="11.6640625" style="418" customWidth="1"/>
    <col min="753" max="753" width="12.6640625" style="418" customWidth="1"/>
    <col min="754" max="1002" width="8.86328125" style="418"/>
    <col min="1003" max="1003" width="0.86328125" style="418" customWidth="1"/>
    <col min="1004" max="1004" width="7" style="418" customWidth="1"/>
    <col min="1005" max="1005" width="50.6640625" style="418" customWidth="1"/>
    <col min="1006" max="1007" width="7.6640625" style="418" customWidth="1"/>
    <col min="1008" max="1008" width="11.6640625" style="418" customWidth="1"/>
    <col min="1009" max="1009" width="12.6640625" style="418" customWidth="1"/>
    <col min="1010" max="1258" width="8.86328125" style="418"/>
    <col min="1259" max="1259" width="0.86328125" style="418" customWidth="1"/>
    <col min="1260" max="1260" width="7" style="418" customWidth="1"/>
    <col min="1261" max="1261" width="50.6640625" style="418" customWidth="1"/>
    <col min="1262" max="1263" width="7.6640625" style="418" customWidth="1"/>
    <col min="1264" max="1264" width="11.6640625" style="418" customWidth="1"/>
    <col min="1265" max="1265" width="12.6640625" style="418" customWidth="1"/>
    <col min="1266" max="1514" width="8.86328125" style="418"/>
    <col min="1515" max="1515" width="0.86328125" style="418" customWidth="1"/>
    <col min="1516" max="1516" width="7" style="418" customWidth="1"/>
    <col min="1517" max="1517" width="50.6640625" style="418" customWidth="1"/>
    <col min="1518" max="1519" width="7.6640625" style="418" customWidth="1"/>
    <col min="1520" max="1520" width="11.6640625" style="418" customWidth="1"/>
    <col min="1521" max="1521" width="12.6640625" style="418" customWidth="1"/>
    <col min="1522" max="1770" width="8.86328125" style="418"/>
    <col min="1771" max="1771" width="0.86328125" style="418" customWidth="1"/>
    <col min="1772" max="1772" width="7" style="418" customWidth="1"/>
    <col min="1773" max="1773" width="50.6640625" style="418" customWidth="1"/>
    <col min="1774" max="1775" width="7.6640625" style="418" customWidth="1"/>
    <col min="1776" max="1776" width="11.6640625" style="418" customWidth="1"/>
    <col min="1777" max="1777" width="12.6640625" style="418" customWidth="1"/>
    <col min="1778" max="2026" width="8.86328125" style="418"/>
    <col min="2027" max="2027" width="0.86328125" style="418" customWidth="1"/>
    <col min="2028" max="2028" width="7" style="418" customWidth="1"/>
    <col min="2029" max="2029" width="50.6640625" style="418" customWidth="1"/>
    <col min="2030" max="2031" width="7.6640625" style="418" customWidth="1"/>
    <col min="2032" max="2032" width="11.6640625" style="418" customWidth="1"/>
    <col min="2033" max="2033" width="12.6640625" style="418" customWidth="1"/>
    <col min="2034" max="2282" width="8.86328125" style="418"/>
    <col min="2283" max="2283" width="0.86328125" style="418" customWidth="1"/>
    <col min="2284" max="2284" width="7" style="418" customWidth="1"/>
    <col min="2285" max="2285" width="50.6640625" style="418" customWidth="1"/>
    <col min="2286" max="2287" width="7.6640625" style="418" customWidth="1"/>
    <col min="2288" max="2288" width="11.6640625" style="418" customWidth="1"/>
    <col min="2289" max="2289" width="12.6640625" style="418" customWidth="1"/>
    <col min="2290" max="2538" width="8.86328125" style="418"/>
    <col min="2539" max="2539" width="0.86328125" style="418" customWidth="1"/>
    <col min="2540" max="2540" width="7" style="418" customWidth="1"/>
    <col min="2541" max="2541" width="50.6640625" style="418" customWidth="1"/>
    <col min="2542" max="2543" width="7.6640625" style="418" customWidth="1"/>
    <col min="2544" max="2544" width="11.6640625" style="418" customWidth="1"/>
    <col min="2545" max="2545" width="12.6640625" style="418" customWidth="1"/>
    <col min="2546" max="2794" width="8.86328125" style="418"/>
    <col min="2795" max="2795" width="0.86328125" style="418" customWidth="1"/>
    <col min="2796" max="2796" width="7" style="418" customWidth="1"/>
    <col min="2797" max="2797" width="50.6640625" style="418" customWidth="1"/>
    <col min="2798" max="2799" width="7.6640625" style="418" customWidth="1"/>
    <col min="2800" max="2800" width="11.6640625" style="418" customWidth="1"/>
    <col min="2801" max="2801" width="12.6640625" style="418" customWidth="1"/>
    <col min="2802" max="3050" width="8.86328125" style="418"/>
    <col min="3051" max="3051" width="0.86328125" style="418" customWidth="1"/>
    <col min="3052" max="3052" width="7" style="418" customWidth="1"/>
    <col min="3053" max="3053" width="50.6640625" style="418" customWidth="1"/>
    <col min="3054" max="3055" width="7.6640625" style="418" customWidth="1"/>
    <col min="3056" max="3056" width="11.6640625" style="418" customWidth="1"/>
    <col min="3057" max="3057" width="12.6640625" style="418" customWidth="1"/>
    <col min="3058" max="3306" width="8.86328125" style="418"/>
    <col min="3307" max="3307" width="0.86328125" style="418" customWidth="1"/>
    <col min="3308" max="3308" width="7" style="418" customWidth="1"/>
    <col min="3309" max="3309" width="50.6640625" style="418" customWidth="1"/>
    <col min="3310" max="3311" width="7.6640625" style="418" customWidth="1"/>
    <col min="3312" max="3312" width="11.6640625" style="418" customWidth="1"/>
    <col min="3313" max="3313" width="12.6640625" style="418" customWidth="1"/>
    <col min="3314" max="3562" width="8.86328125" style="418"/>
    <col min="3563" max="3563" width="0.86328125" style="418" customWidth="1"/>
    <col min="3564" max="3564" width="7" style="418" customWidth="1"/>
    <col min="3565" max="3565" width="50.6640625" style="418" customWidth="1"/>
    <col min="3566" max="3567" width="7.6640625" style="418" customWidth="1"/>
    <col min="3568" max="3568" width="11.6640625" style="418" customWidth="1"/>
    <col min="3569" max="3569" width="12.6640625" style="418" customWidth="1"/>
    <col min="3570" max="3818" width="8.86328125" style="418"/>
    <col min="3819" max="3819" width="0.86328125" style="418" customWidth="1"/>
    <col min="3820" max="3820" width="7" style="418" customWidth="1"/>
    <col min="3821" max="3821" width="50.6640625" style="418" customWidth="1"/>
    <col min="3822" max="3823" width="7.6640625" style="418" customWidth="1"/>
    <col min="3824" max="3824" width="11.6640625" style="418" customWidth="1"/>
    <col min="3825" max="3825" width="12.6640625" style="418" customWidth="1"/>
    <col min="3826" max="4074" width="8.86328125" style="418"/>
    <col min="4075" max="4075" width="0.86328125" style="418" customWidth="1"/>
    <col min="4076" max="4076" width="7" style="418" customWidth="1"/>
    <col min="4077" max="4077" width="50.6640625" style="418" customWidth="1"/>
    <col min="4078" max="4079" width="7.6640625" style="418" customWidth="1"/>
    <col min="4080" max="4080" width="11.6640625" style="418" customWidth="1"/>
    <col min="4081" max="4081" width="12.6640625" style="418" customWidth="1"/>
    <col min="4082" max="4330" width="8.86328125" style="418"/>
    <col min="4331" max="4331" width="0.86328125" style="418" customWidth="1"/>
    <col min="4332" max="4332" width="7" style="418" customWidth="1"/>
    <col min="4333" max="4333" width="50.6640625" style="418" customWidth="1"/>
    <col min="4334" max="4335" width="7.6640625" style="418" customWidth="1"/>
    <col min="4336" max="4336" width="11.6640625" style="418" customWidth="1"/>
    <col min="4337" max="4337" width="12.6640625" style="418" customWidth="1"/>
    <col min="4338" max="4586" width="8.86328125" style="418"/>
    <col min="4587" max="4587" width="0.86328125" style="418" customWidth="1"/>
    <col min="4588" max="4588" width="7" style="418" customWidth="1"/>
    <col min="4589" max="4589" width="50.6640625" style="418" customWidth="1"/>
    <col min="4590" max="4591" width="7.6640625" style="418" customWidth="1"/>
    <col min="4592" max="4592" width="11.6640625" style="418" customWidth="1"/>
    <col min="4593" max="4593" width="12.6640625" style="418" customWidth="1"/>
    <col min="4594" max="4842" width="8.86328125" style="418"/>
    <col min="4843" max="4843" width="0.86328125" style="418" customWidth="1"/>
    <col min="4844" max="4844" width="7" style="418" customWidth="1"/>
    <col min="4845" max="4845" width="50.6640625" style="418" customWidth="1"/>
    <col min="4846" max="4847" width="7.6640625" style="418" customWidth="1"/>
    <col min="4848" max="4848" width="11.6640625" style="418" customWidth="1"/>
    <col min="4849" max="4849" width="12.6640625" style="418" customWidth="1"/>
    <col min="4850" max="5098" width="8.86328125" style="418"/>
    <col min="5099" max="5099" width="0.86328125" style="418" customWidth="1"/>
    <col min="5100" max="5100" width="7" style="418" customWidth="1"/>
    <col min="5101" max="5101" width="50.6640625" style="418" customWidth="1"/>
    <col min="5102" max="5103" width="7.6640625" style="418" customWidth="1"/>
    <col min="5104" max="5104" width="11.6640625" style="418" customWidth="1"/>
    <col min="5105" max="5105" width="12.6640625" style="418" customWidth="1"/>
    <col min="5106" max="5354" width="8.86328125" style="418"/>
    <col min="5355" max="5355" width="0.86328125" style="418" customWidth="1"/>
    <col min="5356" max="5356" width="7" style="418" customWidth="1"/>
    <col min="5357" max="5357" width="50.6640625" style="418" customWidth="1"/>
    <col min="5358" max="5359" width="7.6640625" style="418" customWidth="1"/>
    <col min="5360" max="5360" width="11.6640625" style="418" customWidth="1"/>
    <col min="5361" max="5361" width="12.6640625" style="418" customWidth="1"/>
    <col min="5362" max="5610" width="8.86328125" style="418"/>
    <col min="5611" max="5611" width="0.86328125" style="418" customWidth="1"/>
    <col min="5612" max="5612" width="7" style="418" customWidth="1"/>
    <col min="5613" max="5613" width="50.6640625" style="418" customWidth="1"/>
    <col min="5614" max="5615" width="7.6640625" style="418" customWidth="1"/>
    <col min="5616" max="5616" width="11.6640625" style="418" customWidth="1"/>
    <col min="5617" max="5617" width="12.6640625" style="418" customWidth="1"/>
    <col min="5618" max="5866" width="8.86328125" style="418"/>
    <col min="5867" max="5867" width="0.86328125" style="418" customWidth="1"/>
    <col min="5868" max="5868" width="7" style="418" customWidth="1"/>
    <col min="5869" max="5869" width="50.6640625" style="418" customWidth="1"/>
    <col min="5870" max="5871" width="7.6640625" style="418" customWidth="1"/>
    <col min="5872" max="5872" width="11.6640625" style="418" customWidth="1"/>
    <col min="5873" max="5873" width="12.6640625" style="418" customWidth="1"/>
    <col min="5874" max="6122" width="8.86328125" style="418"/>
    <col min="6123" max="6123" width="0.86328125" style="418" customWidth="1"/>
    <col min="6124" max="6124" width="7" style="418" customWidth="1"/>
    <col min="6125" max="6125" width="50.6640625" style="418" customWidth="1"/>
    <col min="6126" max="6127" width="7.6640625" style="418" customWidth="1"/>
    <col min="6128" max="6128" width="11.6640625" style="418" customWidth="1"/>
    <col min="6129" max="6129" width="12.6640625" style="418" customWidth="1"/>
    <col min="6130" max="6378" width="8.86328125" style="418"/>
    <col min="6379" max="6379" width="0.86328125" style="418" customWidth="1"/>
    <col min="6380" max="6380" width="7" style="418" customWidth="1"/>
    <col min="6381" max="6381" width="50.6640625" style="418" customWidth="1"/>
    <col min="6382" max="6383" width="7.6640625" style="418" customWidth="1"/>
    <col min="6384" max="6384" width="11.6640625" style="418" customWidth="1"/>
    <col min="6385" max="6385" width="12.6640625" style="418" customWidth="1"/>
    <col min="6386" max="6634" width="8.86328125" style="418"/>
    <col min="6635" max="6635" width="0.86328125" style="418" customWidth="1"/>
    <col min="6636" max="6636" width="7" style="418" customWidth="1"/>
    <col min="6637" max="6637" width="50.6640625" style="418" customWidth="1"/>
    <col min="6638" max="6639" width="7.6640625" style="418" customWidth="1"/>
    <col min="6640" max="6640" width="11.6640625" style="418" customWidth="1"/>
    <col min="6641" max="6641" width="12.6640625" style="418" customWidth="1"/>
    <col min="6642" max="6890" width="8.86328125" style="418"/>
    <col min="6891" max="6891" width="0.86328125" style="418" customWidth="1"/>
    <col min="6892" max="6892" width="7" style="418" customWidth="1"/>
    <col min="6893" max="6893" width="50.6640625" style="418" customWidth="1"/>
    <col min="6894" max="6895" width="7.6640625" style="418" customWidth="1"/>
    <col min="6896" max="6896" width="11.6640625" style="418" customWidth="1"/>
    <col min="6897" max="6897" width="12.6640625" style="418" customWidth="1"/>
    <col min="6898" max="7146" width="8.86328125" style="418"/>
    <col min="7147" max="7147" width="0.86328125" style="418" customWidth="1"/>
    <col min="7148" max="7148" width="7" style="418" customWidth="1"/>
    <col min="7149" max="7149" width="50.6640625" style="418" customWidth="1"/>
    <col min="7150" max="7151" width="7.6640625" style="418" customWidth="1"/>
    <col min="7152" max="7152" width="11.6640625" style="418" customWidth="1"/>
    <col min="7153" max="7153" width="12.6640625" style="418" customWidth="1"/>
    <col min="7154" max="7402" width="8.86328125" style="418"/>
    <col min="7403" max="7403" width="0.86328125" style="418" customWidth="1"/>
    <col min="7404" max="7404" width="7" style="418" customWidth="1"/>
    <col min="7405" max="7405" width="50.6640625" style="418" customWidth="1"/>
    <col min="7406" max="7407" width="7.6640625" style="418" customWidth="1"/>
    <col min="7408" max="7408" width="11.6640625" style="418" customWidth="1"/>
    <col min="7409" max="7409" width="12.6640625" style="418" customWidth="1"/>
    <col min="7410" max="7658" width="8.86328125" style="418"/>
    <col min="7659" max="7659" width="0.86328125" style="418" customWidth="1"/>
    <col min="7660" max="7660" width="7" style="418" customWidth="1"/>
    <col min="7661" max="7661" width="50.6640625" style="418" customWidth="1"/>
    <col min="7662" max="7663" width="7.6640625" style="418" customWidth="1"/>
    <col min="7664" max="7664" width="11.6640625" style="418" customWidth="1"/>
    <col min="7665" max="7665" width="12.6640625" style="418" customWidth="1"/>
    <col min="7666" max="7914" width="8.86328125" style="418"/>
    <col min="7915" max="7915" width="0.86328125" style="418" customWidth="1"/>
    <col min="7916" max="7916" width="7" style="418" customWidth="1"/>
    <col min="7917" max="7917" width="50.6640625" style="418" customWidth="1"/>
    <col min="7918" max="7919" width="7.6640625" style="418" customWidth="1"/>
    <col min="7920" max="7920" width="11.6640625" style="418" customWidth="1"/>
    <col min="7921" max="7921" width="12.6640625" style="418" customWidth="1"/>
    <col min="7922" max="8170" width="8.86328125" style="418"/>
    <col min="8171" max="8171" width="0.86328125" style="418" customWidth="1"/>
    <col min="8172" max="8172" width="7" style="418" customWidth="1"/>
    <col min="8173" max="8173" width="50.6640625" style="418" customWidth="1"/>
    <col min="8174" max="8175" width="7.6640625" style="418" customWidth="1"/>
    <col min="8176" max="8176" width="11.6640625" style="418" customWidth="1"/>
    <col min="8177" max="8177" width="12.6640625" style="418" customWidth="1"/>
    <col min="8178" max="8426" width="8.86328125" style="418"/>
    <col min="8427" max="8427" width="0.86328125" style="418" customWidth="1"/>
    <col min="8428" max="8428" width="7" style="418" customWidth="1"/>
    <col min="8429" max="8429" width="50.6640625" style="418" customWidth="1"/>
    <col min="8430" max="8431" width="7.6640625" style="418" customWidth="1"/>
    <col min="8432" max="8432" width="11.6640625" style="418" customWidth="1"/>
    <col min="8433" max="8433" width="12.6640625" style="418" customWidth="1"/>
    <col min="8434" max="8682" width="8.86328125" style="418"/>
    <col min="8683" max="8683" width="0.86328125" style="418" customWidth="1"/>
    <col min="8684" max="8684" width="7" style="418" customWidth="1"/>
    <col min="8685" max="8685" width="50.6640625" style="418" customWidth="1"/>
    <col min="8686" max="8687" width="7.6640625" style="418" customWidth="1"/>
    <col min="8688" max="8688" width="11.6640625" style="418" customWidth="1"/>
    <col min="8689" max="8689" width="12.6640625" style="418" customWidth="1"/>
    <col min="8690" max="8938" width="8.86328125" style="418"/>
    <col min="8939" max="8939" width="0.86328125" style="418" customWidth="1"/>
    <col min="8940" max="8940" width="7" style="418" customWidth="1"/>
    <col min="8941" max="8941" width="50.6640625" style="418" customWidth="1"/>
    <col min="8942" max="8943" width="7.6640625" style="418" customWidth="1"/>
    <col min="8944" max="8944" width="11.6640625" style="418" customWidth="1"/>
    <col min="8945" max="8945" width="12.6640625" style="418" customWidth="1"/>
    <col min="8946" max="9194" width="8.86328125" style="418"/>
    <col min="9195" max="9195" width="0.86328125" style="418" customWidth="1"/>
    <col min="9196" max="9196" width="7" style="418" customWidth="1"/>
    <col min="9197" max="9197" width="50.6640625" style="418" customWidth="1"/>
    <col min="9198" max="9199" width="7.6640625" style="418" customWidth="1"/>
    <col min="9200" max="9200" width="11.6640625" style="418" customWidth="1"/>
    <col min="9201" max="9201" width="12.6640625" style="418" customWidth="1"/>
    <col min="9202" max="9450" width="8.86328125" style="418"/>
    <col min="9451" max="9451" width="0.86328125" style="418" customWidth="1"/>
    <col min="9452" max="9452" width="7" style="418" customWidth="1"/>
    <col min="9453" max="9453" width="50.6640625" style="418" customWidth="1"/>
    <col min="9454" max="9455" width="7.6640625" style="418" customWidth="1"/>
    <col min="9456" max="9456" width="11.6640625" style="418" customWidth="1"/>
    <col min="9457" max="9457" width="12.6640625" style="418" customWidth="1"/>
    <col min="9458" max="9706" width="8.86328125" style="418"/>
    <col min="9707" max="9707" width="0.86328125" style="418" customWidth="1"/>
    <col min="9708" max="9708" width="7" style="418" customWidth="1"/>
    <col min="9709" max="9709" width="50.6640625" style="418" customWidth="1"/>
    <col min="9710" max="9711" width="7.6640625" style="418" customWidth="1"/>
    <col min="9712" max="9712" width="11.6640625" style="418" customWidth="1"/>
    <col min="9713" max="9713" width="12.6640625" style="418" customWidth="1"/>
    <col min="9714" max="9962" width="8.86328125" style="418"/>
    <col min="9963" max="9963" width="0.86328125" style="418" customWidth="1"/>
    <col min="9964" max="9964" width="7" style="418" customWidth="1"/>
    <col min="9965" max="9965" width="50.6640625" style="418" customWidth="1"/>
    <col min="9966" max="9967" width="7.6640625" style="418" customWidth="1"/>
    <col min="9968" max="9968" width="11.6640625" style="418" customWidth="1"/>
    <col min="9969" max="9969" width="12.6640625" style="418" customWidth="1"/>
    <col min="9970" max="10218" width="8.86328125" style="418"/>
    <col min="10219" max="10219" width="0.86328125" style="418" customWidth="1"/>
    <col min="10220" max="10220" width="7" style="418" customWidth="1"/>
    <col min="10221" max="10221" width="50.6640625" style="418" customWidth="1"/>
    <col min="10222" max="10223" width="7.6640625" style="418" customWidth="1"/>
    <col min="10224" max="10224" width="11.6640625" style="418" customWidth="1"/>
    <col min="10225" max="10225" width="12.6640625" style="418" customWidth="1"/>
    <col min="10226" max="10474" width="8.86328125" style="418"/>
    <col min="10475" max="10475" width="0.86328125" style="418" customWidth="1"/>
    <col min="10476" max="10476" width="7" style="418" customWidth="1"/>
    <col min="10477" max="10477" width="50.6640625" style="418" customWidth="1"/>
    <col min="10478" max="10479" width="7.6640625" style="418" customWidth="1"/>
    <col min="10480" max="10480" width="11.6640625" style="418" customWidth="1"/>
    <col min="10481" max="10481" width="12.6640625" style="418" customWidth="1"/>
    <col min="10482" max="10730" width="8.86328125" style="418"/>
    <col min="10731" max="10731" width="0.86328125" style="418" customWidth="1"/>
    <col min="10732" max="10732" width="7" style="418" customWidth="1"/>
    <col min="10733" max="10733" width="50.6640625" style="418" customWidth="1"/>
    <col min="10734" max="10735" width="7.6640625" style="418" customWidth="1"/>
    <col min="10736" max="10736" width="11.6640625" style="418" customWidth="1"/>
    <col min="10737" max="10737" width="12.6640625" style="418" customWidth="1"/>
    <col min="10738" max="10986" width="8.86328125" style="418"/>
    <col min="10987" max="10987" width="0.86328125" style="418" customWidth="1"/>
    <col min="10988" max="10988" width="7" style="418" customWidth="1"/>
    <col min="10989" max="10989" width="50.6640625" style="418" customWidth="1"/>
    <col min="10990" max="10991" width="7.6640625" style="418" customWidth="1"/>
    <col min="10992" max="10992" width="11.6640625" style="418" customWidth="1"/>
    <col min="10993" max="10993" width="12.6640625" style="418" customWidth="1"/>
    <col min="10994" max="11242" width="8.86328125" style="418"/>
    <col min="11243" max="11243" width="0.86328125" style="418" customWidth="1"/>
    <col min="11244" max="11244" width="7" style="418" customWidth="1"/>
    <col min="11245" max="11245" width="50.6640625" style="418" customWidth="1"/>
    <col min="11246" max="11247" width="7.6640625" style="418" customWidth="1"/>
    <col min="11248" max="11248" width="11.6640625" style="418" customWidth="1"/>
    <col min="11249" max="11249" width="12.6640625" style="418" customWidth="1"/>
    <col min="11250" max="11498" width="8.86328125" style="418"/>
    <col min="11499" max="11499" width="0.86328125" style="418" customWidth="1"/>
    <col min="11500" max="11500" width="7" style="418" customWidth="1"/>
    <col min="11501" max="11501" width="50.6640625" style="418" customWidth="1"/>
    <col min="11502" max="11503" width="7.6640625" style="418" customWidth="1"/>
    <col min="11504" max="11504" width="11.6640625" style="418" customWidth="1"/>
    <col min="11505" max="11505" width="12.6640625" style="418" customWidth="1"/>
    <col min="11506" max="11754" width="8.86328125" style="418"/>
    <col min="11755" max="11755" width="0.86328125" style="418" customWidth="1"/>
    <col min="11756" max="11756" width="7" style="418" customWidth="1"/>
    <col min="11757" max="11757" width="50.6640625" style="418" customWidth="1"/>
    <col min="11758" max="11759" width="7.6640625" style="418" customWidth="1"/>
    <col min="11760" max="11760" width="11.6640625" style="418" customWidth="1"/>
    <col min="11761" max="11761" width="12.6640625" style="418" customWidth="1"/>
    <col min="11762" max="12010" width="8.86328125" style="418"/>
    <col min="12011" max="12011" width="0.86328125" style="418" customWidth="1"/>
    <col min="12012" max="12012" width="7" style="418" customWidth="1"/>
    <col min="12013" max="12013" width="50.6640625" style="418" customWidth="1"/>
    <col min="12014" max="12015" width="7.6640625" style="418" customWidth="1"/>
    <col min="12016" max="12016" width="11.6640625" style="418" customWidth="1"/>
    <col min="12017" max="12017" width="12.6640625" style="418" customWidth="1"/>
    <col min="12018" max="12266" width="8.86328125" style="418"/>
    <col min="12267" max="12267" width="0.86328125" style="418" customWidth="1"/>
    <col min="12268" max="12268" width="7" style="418" customWidth="1"/>
    <col min="12269" max="12269" width="50.6640625" style="418" customWidth="1"/>
    <col min="12270" max="12271" width="7.6640625" style="418" customWidth="1"/>
    <col min="12272" max="12272" width="11.6640625" style="418" customWidth="1"/>
    <col min="12273" max="12273" width="12.6640625" style="418" customWidth="1"/>
    <col min="12274" max="12522" width="8.86328125" style="418"/>
    <col min="12523" max="12523" width="0.86328125" style="418" customWidth="1"/>
    <col min="12524" max="12524" width="7" style="418" customWidth="1"/>
    <col min="12525" max="12525" width="50.6640625" style="418" customWidth="1"/>
    <col min="12526" max="12527" width="7.6640625" style="418" customWidth="1"/>
    <col min="12528" max="12528" width="11.6640625" style="418" customWidth="1"/>
    <col min="12529" max="12529" width="12.6640625" style="418" customWidth="1"/>
    <col min="12530" max="12778" width="8.86328125" style="418"/>
    <col min="12779" max="12779" width="0.86328125" style="418" customWidth="1"/>
    <col min="12780" max="12780" width="7" style="418" customWidth="1"/>
    <col min="12781" max="12781" width="50.6640625" style="418" customWidth="1"/>
    <col min="12782" max="12783" width="7.6640625" style="418" customWidth="1"/>
    <col min="12784" max="12784" width="11.6640625" style="418" customWidth="1"/>
    <col min="12785" max="12785" width="12.6640625" style="418" customWidth="1"/>
    <col min="12786" max="13034" width="8.86328125" style="418"/>
    <col min="13035" max="13035" width="0.86328125" style="418" customWidth="1"/>
    <col min="13036" max="13036" width="7" style="418" customWidth="1"/>
    <col min="13037" max="13037" width="50.6640625" style="418" customWidth="1"/>
    <col min="13038" max="13039" width="7.6640625" style="418" customWidth="1"/>
    <col min="13040" max="13040" width="11.6640625" style="418" customWidth="1"/>
    <col min="13041" max="13041" width="12.6640625" style="418" customWidth="1"/>
    <col min="13042" max="13290" width="8.86328125" style="418"/>
    <col min="13291" max="13291" width="0.86328125" style="418" customWidth="1"/>
    <col min="13292" max="13292" width="7" style="418" customWidth="1"/>
    <col min="13293" max="13293" width="50.6640625" style="418" customWidth="1"/>
    <col min="13294" max="13295" width="7.6640625" style="418" customWidth="1"/>
    <col min="13296" max="13296" width="11.6640625" style="418" customWidth="1"/>
    <col min="13297" max="13297" width="12.6640625" style="418" customWidth="1"/>
    <col min="13298" max="13546" width="8.86328125" style="418"/>
    <col min="13547" max="13547" width="0.86328125" style="418" customWidth="1"/>
    <col min="13548" max="13548" width="7" style="418" customWidth="1"/>
    <col min="13549" max="13549" width="50.6640625" style="418" customWidth="1"/>
    <col min="13550" max="13551" width="7.6640625" style="418" customWidth="1"/>
    <col min="13552" max="13552" width="11.6640625" style="418" customWidth="1"/>
    <col min="13553" max="13553" width="12.6640625" style="418" customWidth="1"/>
    <col min="13554" max="13802" width="8.86328125" style="418"/>
    <col min="13803" max="13803" width="0.86328125" style="418" customWidth="1"/>
    <col min="13804" max="13804" width="7" style="418" customWidth="1"/>
    <col min="13805" max="13805" width="50.6640625" style="418" customWidth="1"/>
    <col min="13806" max="13807" width="7.6640625" style="418" customWidth="1"/>
    <col min="13808" max="13808" width="11.6640625" style="418" customWidth="1"/>
    <col min="13809" max="13809" width="12.6640625" style="418" customWidth="1"/>
    <col min="13810" max="14058" width="8.86328125" style="418"/>
    <col min="14059" max="14059" width="0.86328125" style="418" customWidth="1"/>
    <col min="14060" max="14060" width="7" style="418" customWidth="1"/>
    <col min="14061" max="14061" width="50.6640625" style="418" customWidth="1"/>
    <col min="14062" max="14063" width="7.6640625" style="418" customWidth="1"/>
    <col min="14064" max="14064" width="11.6640625" style="418" customWidth="1"/>
    <col min="14065" max="14065" width="12.6640625" style="418" customWidth="1"/>
    <col min="14066" max="14314" width="8.86328125" style="418"/>
    <col min="14315" max="14315" width="0.86328125" style="418" customWidth="1"/>
    <col min="14316" max="14316" width="7" style="418" customWidth="1"/>
    <col min="14317" max="14317" width="50.6640625" style="418" customWidth="1"/>
    <col min="14318" max="14319" width="7.6640625" style="418" customWidth="1"/>
    <col min="14320" max="14320" width="11.6640625" style="418" customWidth="1"/>
    <col min="14321" max="14321" width="12.6640625" style="418" customWidth="1"/>
    <col min="14322" max="14570" width="8.86328125" style="418"/>
    <col min="14571" max="14571" width="0.86328125" style="418" customWidth="1"/>
    <col min="14572" max="14572" width="7" style="418" customWidth="1"/>
    <col min="14573" max="14573" width="50.6640625" style="418" customWidth="1"/>
    <col min="14574" max="14575" width="7.6640625" style="418" customWidth="1"/>
    <col min="14576" max="14576" width="11.6640625" style="418" customWidth="1"/>
    <col min="14577" max="14577" width="12.6640625" style="418" customWidth="1"/>
    <col min="14578" max="14826" width="8.86328125" style="418"/>
    <col min="14827" max="14827" width="0.86328125" style="418" customWidth="1"/>
    <col min="14828" max="14828" width="7" style="418" customWidth="1"/>
    <col min="14829" max="14829" width="50.6640625" style="418" customWidth="1"/>
    <col min="14830" max="14831" width="7.6640625" style="418" customWidth="1"/>
    <col min="14832" max="14832" width="11.6640625" style="418" customWidth="1"/>
    <col min="14833" max="14833" width="12.6640625" style="418" customWidth="1"/>
    <col min="14834" max="15082" width="8.86328125" style="418"/>
    <col min="15083" max="15083" width="0.86328125" style="418" customWidth="1"/>
    <col min="15084" max="15084" width="7" style="418" customWidth="1"/>
    <col min="15085" max="15085" width="50.6640625" style="418" customWidth="1"/>
    <col min="15086" max="15087" width="7.6640625" style="418" customWidth="1"/>
    <col min="15088" max="15088" width="11.6640625" style="418" customWidth="1"/>
    <col min="15089" max="15089" width="12.6640625" style="418" customWidth="1"/>
    <col min="15090" max="15338" width="8.86328125" style="418"/>
    <col min="15339" max="15339" width="0.86328125" style="418" customWidth="1"/>
    <col min="15340" max="15340" width="7" style="418" customWidth="1"/>
    <col min="15341" max="15341" width="50.6640625" style="418" customWidth="1"/>
    <col min="15342" max="15343" width="7.6640625" style="418" customWidth="1"/>
    <col min="15344" max="15344" width="11.6640625" style="418" customWidth="1"/>
    <col min="15345" max="15345" width="12.6640625" style="418" customWidth="1"/>
    <col min="15346" max="15594" width="8.86328125" style="418"/>
    <col min="15595" max="15595" width="0.86328125" style="418" customWidth="1"/>
    <col min="15596" max="15596" width="7" style="418" customWidth="1"/>
    <col min="15597" max="15597" width="50.6640625" style="418" customWidth="1"/>
    <col min="15598" max="15599" width="7.6640625" style="418" customWidth="1"/>
    <col min="15600" max="15600" width="11.6640625" style="418" customWidth="1"/>
    <col min="15601" max="15601" width="12.6640625" style="418" customWidth="1"/>
    <col min="15602" max="15850" width="8.86328125" style="418"/>
    <col min="15851" max="15851" width="0.86328125" style="418" customWidth="1"/>
    <col min="15852" max="15852" width="7" style="418" customWidth="1"/>
    <col min="15853" max="15853" width="50.6640625" style="418" customWidth="1"/>
    <col min="15854" max="15855" width="7.6640625" style="418" customWidth="1"/>
    <col min="15856" max="15856" width="11.6640625" style="418" customWidth="1"/>
    <col min="15857" max="15857" width="12.6640625" style="418" customWidth="1"/>
    <col min="15858" max="16106" width="8.86328125" style="418"/>
    <col min="16107" max="16107" width="0.86328125" style="418" customWidth="1"/>
    <col min="16108" max="16108" width="7" style="418" customWidth="1"/>
    <col min="16109" max="16109" width="50.6640625" style="418" customWidth="1"/>
    <col min="16110" max="16111" width="7.6640625" style="418" customWidth="1"/>
    <col min="16112" max="16112" width="11.6640625" style="418" customWidth="1"/>
    <col min="16113" max="16113" width="12.6640625" style="418" customWidth="1"/>
    <col min="16114" max="16384" width="8.86328125" style="418"/>
  </cols>
  <sheetData>
    <row r="1" spans="1:11" ht="3.75" customHeight="1" x14ac:dyDescent="0.35"/>
    <row r="2" spans="1:11" s="430" customFormat="1" ht="25.5" x14ac:dyDescent="0.35">
      <c r="A2" s="423"/>
      <c r="B2" s="424" t="s">
        <v>37</v>
      </c>
      <c r="C2" s="425" t="s">
        <v>38</v>
      </c>
      <c r="D2" s="426" t="s">
        <v>73</v>
      </c>
      <c r="E2" s="427" t="s">
        <v>54</v>
      </c>
      <c r="F2" s="428" t="s">
        <v>533</v>
      </c>
      <c r="G2" s="429" t="s">
        <v>534</v>
      </c>
    </row>
    <row r="3" spans="1:11" ht="12.4" customHeight="1" x14ac:dyDescent="0.35">
      <c r="B3" s="431"/>
      <c r="C3" s="432" t="str">
        <f>'Fly Sht. Bill No.4'!B2</f>
        <v>BILL NO.4</v>
      </c>
      <c r="D3" s="433"/>
      <c r="E3" s="434"/>
      <c r="F3" s="435"/>
      <c r="G3" s="436"/>
    </row>
    <row r="4" spans="1:11" ht="12.4" customHeight="1" x14ac:dyDescent="0.35">
      <c r="B4" s="431"/>
      <c r="C4" s="432" t="str">
        <f>'Fly Sht. Bill No.4'!B3</f>
        <v>ELECTRICAL INSTALLATIONS</v>
      </c>
      <c r="D4" s="433"/>
      <c r="E4" s="434"/>
      <c r="F4" s="435"/>
      <c r="G4" s="436"/>
    </row>
    <row r="5" spans="1:11" ht="12.4" customHeight="1" x14ac:dyDescent="0.35">
      <c r="B5" s="431"/>
      <c r="C5" s="432" t="s">
        <v>51</v>
      </c>
      <c r="D5" s="433"/>
      <c r="E5" s="434"/>
      <c r="F5" s="435"/>
      <c r="G5" s="436"/>
    </row>
    <row r="6" spans="1:11" ht="12.4" customHeight="1" x14ac:dyDescent="0.35">
      <c r="B6" s="431"/>
      <c r="C6" s="432" t="s">
        <v>1236</v>
      </c>
      <c r="D6" s="433"/>
      <c r="E6" s="434"/>
      <c r="F6" s="435"/>
      <c r="G6" s="436"/>
    </row>
    <row r="7" spans="1:11" ht="12.4" customHeight="1" x14ac:dyDescent="0.35">
      <c r="B7" s="431"/>
      <c r="C7" s="437" t="s">
        <v>527</v>
      </c>
      <c r="D7" s="433"/>
      <c r="E7" s="434"/>
      <c r="F7" s="435"/>
      <c r="G7" s="436"/>
    </row>
    <row r="8" spans="1:11" s="438" customFormat="1" ht="25.5" x14ac:dyDescent="0.35">
      <c r="B8" s="439"/>
      <c r="C8" s="437" t="s">
        <v>543</v>
      </c>
      <c r="D8" s="440"/>
      <c r="E8" s="441"/>
      <c r="F8" s="442"/>
      <c r="G8" s="443"/>
    </row>
    <row r="9" spans="1:11" s="438" customFormat="1" ht="51" x14ac:dyDescent="0.35">
      <c r="B9" s="439"/>
      <c r="C9" s="437" t="s">
        <v>544</v>
      </c>
      <c r="D9" s="440"/>
      <c r="E9" s="441"/>
      <c r="F9" s="442"/>
      <c r="G9" s="443"/>
    </row>
    <row r="10" spans="1:11" s="444" customFormat="1" ht="47.25" customHeight="1" x14ac:dyDescent="0.35">
      <c r="B10" s="445" t="s">
        <v>31</v>
      </c>
      <c r="C10" s="446" t="s">
        <v>1014</v>
      </c>
      <c r="D10" s="447">
        <f>SUM(D21:D26)</f>
        <v>13</v>
      </c>
      <c r="E10" s="448" t="s">
        <v>113</v>
      </c>
      <c r="F10" s="449">
        <v>139050</v>
      </c>
      <c r="G10" s="450">
        <f>F10*D10</f>
        <v>1807650</v>
      </c>
      <c r="H10" s="418"/>
      <c r="J10" s="451"/>
      <c r="K10" s="452"/>
    </row>
    <row r="11" spans="1:11" s="444" customFormat="1" ht="46.15" customHeight="1" x14ac:dyDescent="0.35">
      <c r="B11" s="445" t="s">
        <v>32</v>
      </c>
      <c r="C11" s="446" t="s">
        <v>929</v>
      </c>
      <c r="D11" s="447">
        <v>10</v>
      </c>
      <c r="E11" s="448" t="s">
        <v>113</v>
      </c>
      <c r="F11" s="449">
        <v>115850</v>
      </c>
      <c r="G11" s="450">
        <f t="shared" ref="G11:G16" si="0">F11*D11</f>
        <v>1158500</v>
      </c>
      <c r="H11" s="418"/>
      <c r="J11" s="451"/>
      <c r="K11" s="452"/>
    </row>
    <row r="12" spans="1:11" s="444" customFormat="1" ht="33.75" customHeight="1" x14ac:dyDescent="0.35">
      <c r="B12" s="445" t="s">
        <v>33</v>
      </c>
      <c r="C12" s="446" t="s">
        <v>545</v>
      </c>
      <c r="D12" s="447">
        <v>1</v>
      </c>
      <c r="E12" s="448" t="s">
        <v>113</v>
      </c>
      <c r="F12" s="449">
        <v>26400</v>
      </c>
      <c r="G12" s="450">
        <f t="shared" si="0"/>
        <v>26400</v>
      </c>
      <c r="H12" s="418"/>
      <c r="J12" s="451"/>
      <c r="K12" s="452"/>
    </row>
    <row r="13" spans="1:11" s="444" customFormat="1" ht="25.5" x14ac:dyDescent="0.35">
      <c r="B13" s="445" t="s">
        <v>34</v>
      </c>
      <c r="C13" s="446" t="s">
        <v>546</v>
      </c>
      <c r="D13" s="447">
        <v>6</v>
      </c>
      <c r="E13" s="448" t="s">
        <v>113</v>
      </c>
      <c r="F13" s="449">
        <v>26400</v>
      </c>
      <c r="G13" s="450">
        <f t="shared" si="0"/>
        <v>158400</v>
      </c>
      <c r="H13" s="418"/>
      <c r="J13" s="451"/>
      <c r="K13" s="452"/>
    </row>
    <row r="14" spans="1:11" s="444" customFormat="1" ht="25.5" x14ac:dyDescent="0.35">
      <c r="B14" s="445" t="s">
        <v>35</v>
      </c>
      <c r="C14" s="446" t="s">
        <v>547</v>
      </c>
      <c r="D14" s="447">
        <v>2</v>
      </c>
      <c r="E14" s="448" t="s">
        <v>113</v>
      </c>
      <c r="F14" s="449">
        <v>26400</v>
      </c>
      <c r="G14" s="450">
        <f t="shared" si="0"/>
        <v>52800</v>
      </c>
      <c r="H14" s="418"/>
      <c r="J14" s="451"/>
      <c r="K14" s="452"/>
    </row>
    <row r="15" spans="1:11" s="444" customFormat="1" ht="25.5" x14ac:dyDescent="0.35">
      <c r="B15" s="445" t="s">
        <v>114</v>
      </c>
      <c r="C15" s="446" t="s">
        <v>1015</v>
      </c>
      <c r="D15" s="447">
        <v>2</v>
      </c>
      <c r="E15" s="448" t="s">
        <v>113</v>
      </c>
      <c r="F15" s="449">
        <v>26400</v>
      </c>
      <c r="G15" s="450">
        <f t="shared" si="0"/>
        <v>52800</v>
      </c>
      <c r="H15" s="418"/>
      <c r="J15" s="451"/>
      <c r="K15" s="452"/>
    </row>
    <row r="16" spans="1:11" s="444" customFormat="1" ht="25.5" x14ac:dyDescent="0.35">
      <c r="B16" s="445" t="s">
        <v>15</v>
      </c>
      <c r="C16" s="446" t="s">
        <v>549</v>
      </c>
      <c r="D16" s="447">
        <v>6</v>
      </c>
      <c r="E16" s="448" t="s">
        <v>113</v>
      </c>
      <c r="F16" s="449">
        <v>4950</v>
      </c>
      <c r="G16" s="450">
        <f t="shared" si="0"/>
        <v>29700</v>
      </c>
      <c r="H16" s="418"/>
      <c r="J16" s="451"/>
      <c r="K16" s="452"/>
    </row>
    <row r="17" spans="2:11" s="444" customFormat="1" ht="25.5" x14ac:dyDescent="0.35">
      <c r="B17" s="445" t="s">
        <v>31</v>
      </c>
      <c r="C17" s="446" t="s">
        <v>550</v>
      </c>
      <c r="D17" s="447">
        <v>6</v>
      </c>
      <c r="E17" s="448" t="s">
        <v>113</v>
      </c>
      <c r="F17" s="449">
        <v>6600</v>
      </c>
      <c r="G17" s="450">
        <f t="shared" ref="G17:G19" si="1">F17*D17</f>
        <v>39600</v>
      </c>
      <c r="H17" s="418"/>
      <c r="J17" s="451"/>
      <c r="K17" s="452"/>
    </row>
    <row r="18" spans="2:11" s="444" customFormat="1" ht="17.350000000000001" customHeight="1" x14ac:dyDescent="0.35">
      <c r="B18" s="445" t="s">
        <v>32</v>
      </c>
      <c r="C18" s="446" t="s">
        <v>551</v>
      </c>
      <c r="D18" s="447">
        <v>6</v>
      </c>
      <c r="E18" s="448" t="s">
        <v>112</v>
      </c>
      <c r="F18" s="449">
        <v>148900</v>
      </c>
      <c r="G18" s="450">
        <f t="shared" si="1"/>
        <v>893400</v>
      </c>
      <c r="H18" s="418"/>
      <c r="J18" s="451"/>
      <c r="K18" s="452"/>
    </row>
    <row r="19" spans="2:11" s="444" customFormat="1" ht="17.350000000000001" customHeight="1" x14ac:dyDescent="0.35">
      <c r="B19" s="445" t="s">
        <v>33</v>
      </c>
      <c r="C19" s="446" t="s">
        <v>552</v>
      </c>
      <c r="D19" s="447">
        <v>6</v>
      </c>
      <c r="E19" s="448" t="s">
        <v>112</v>
      </c>
      <c r="F19" s="449">
        <v>99300</v>
      </c>
      <c r="G19" s="450">
        <f t="shared" si="1"/>
        <v>595800</v>
      </c>
      <c r="H19" s="418"/>
      <c r="J19" s="451"/>
      <c r="K19" s="452"/>
    </row>
    <row r="20" spans="2:11" ht="17.350000000000001" customHeight="1" x14ac:dyDescent="0.35">
      <c r="B20" s="431"/>
      <c r="C20" s="437" t="s">
        <v>553</v>
      </c>
      <c r="D20" s="433"/>
      <c r="E20" s="434"/>
      <c r="F20" s="435"/>
      <c r="G20" s="450"/>
      <c r="J20" s="451"/>
      <c r="K20" s="452"/>
    </row>
    <row r="21" spans="2:11" s="444" customFormat="1" ht="30.75" customHeight="1" x14ac:dyDescent="0.35">
      <c r="B21" s="445" t="s">
        <v>34</v>
      </c>
      <c r="C21" s="446" t="s">
        <v>554</v>
      </c>
      <c r="D21" s="447">
        <v>4</v>
      </c>
      <c r="E21" s="448" t="s">
        <v>113</v>
      </c>
      <c r="F21" s="449">
        <v>87500</v>
      </c>
      <c r="G21" s="450">
        <f t="shared" ref="G21:G25" si="2">F21*D21</f>
        <v>350000</v>
      </c>
      <c r="H21" s="418"/>
      <c r="J21" s="451"/>
      <c r="K21" s="452"/>
    </row>
    <row r="22" spans="2:11" s="444" customFormat="1" ht="38.25" x14ac:dyDescent="0.35">
      <c r="B22" s="445" t="s">
        <v>35</v>
      </c>
      <c r="C22" s="446" t="s">
        <v>555</v>
      </c>
      <c r="D22" s="447">
        <v>2</v>
      </c>
      <c r="E22" s="448" t="s">
        <v>113</v>
      </c>
      <c r="F22" s="449">
        <v>134800</v>
      </c>
      <c r="G22" s="450">
        <f t="shared" si="2"/>
        <v>269600</v>
      </c>
      <c r="H22" s="418"/>
      <c r="J22" s="451"/>
      <c r="K22" s="452"/>
    </row>
    <row r="23" spans="2:11" s="444" customFormat="1" ht="25.5" x14ac:dyDescent="0.35">
      <c r="B23" s="445" t="s">
        <v>15</v>
      </c>
      <c r="C23" s="446" t="s">
        <v>571</v>
      </c>
      <c r="D23" s="447">
        <v>3</v>
      </c>
      <c r="E23" s="448" t="s">
        <v>113</v>
      </c>
      <c r="F23" s="449">
        <v>302700</v>
      </c>
      <c r="G23" s="450">
        <f t="shared" si="2"/>
        <v>908100</v>
      </c>
      <c r="H23" s="418"/>
      <c r="J23" s="451"/>
      <c r="K23" s="452"/>
    </row>
    <row r="24" spans="2:11" s="444" customFormat="1" ht="38.25" x14ac:dyDescent="0.35">
      <c r="B24" s="445" t="s">
        <v>16</v>
      </c>
      <c r="C24" s="446" t="s">
        <v>572</v>
      </c>
      <c r="D24" s="447">
        <v>1</v>
      </c>
      <c r="E24" s="448" t="s">
        <v>113</v>
      </c>
      <c r="F24" s="449">
        <v>397200</v>
      </c>
      <c r="G24" s="450">
        <f t="shared" si="2"/>
        <v>397200</v>
      </c>
      <c r="H24" s="418"/>
      <c r="J24" s="451"/>
      <c r="K24" s="452"/>
    </row>
    <row r="25" spans="2:11" s="444" customFormat="1" ht="51" x14ac:dyDescent="0.35">
      <c r="B25" s="445" t="s">
        <v>36</v>
      </c>
      <c r="C25" s="446" t="s">
        <v>556</v>
      </c>
      <c r="D25" s="447">
        <v>1</v>
      </c>
      <c r="E25" s="448" t="s">
        <v>113</v>
      </c>
      <c r="F25" s="449">
        <v>85100</v>
      </c>
      <c r="G25" s="450">
        <f t="shared" si="2"/>
        <v>85100</v>
      </c>
      <c r="H25" s="418"/>
      <c r="J25" s="451"/>
      <c r="K25" s="452"/>
    </row>
    <row r="26" spans="2:11" s="444" customFormat="1" ht="33.4" customHeight="1" x14ac:dyDescent="0.35">
      <c r="B26" s="445" t="s">
        <v>17</v>
      </c>
      <c r="C26" s="446" t="s">
        <v>1080</v>
      </c>
      <c r="D26" s="447">
        <v>2</v>
      </c>
      <c r="E26" s="448" t="s">
        <v>113</v>
      </c>
      <c r="F26" s="449">
        <v>106400</v>
      </c>
      <c r="G26" s="450">
        <f t="shared" ref="G26" si="3">F26*D26</f>
        <v>212800</v>
      </c>
      <c r="H26" s="418"/>
      <c r="J26" s="451"/>
      <c r="K26" s="452"/>
    </row>
    <row r="27" spans="2:11" ht="13.5" customHeight="1" x14ac:dyDescent="0.35">
      <c r="B27" s="431"/>
      <c r="C27" s="437" t="s">
        <v>559</v>
      </c>
      <c r="D27" s="433"/>
      <c r="E27" s="434"/>
      <c r="F27" s="435"/>
      <c r="G27" s="450"/>
      <c r="J27" s="451"/>
      <c r="K27" s="452"/>
    </row>
    <row r="28" spans="2:11" s="444" customFormat="1" ht="25.5" x14ac:dyDescent="0.35">
      <c r="B28" s="445" t="s">
        <v>255</v>
      </c>
      <c r="C28" s="446" t="s">
        <v>560</v>
      </c>
      <c r="D28" s="447">
        <v>2</v>
      </c>
      <c r="E28" s="448" t="s">
        <v>113</v>
      </c>
      <c r="F28" s="449">
        <v>19850</v>
      </c>
      <c r="G28" s="450">
        <f t="shared" ref="G28" si="4">F28*D28</f>
        <v>39700</v>
      </c>
      <c r="H28" s="418"/>
      <c r="J28" s="451"/>
      <c r="K28" s="452"/>
    </row>
    <row r="29" spans="2:11" s="444" customFormat="1" ht="25.5" x14ac:dyDescent="0.35">
      <c r="B29" s="445" t="s">
        <v>31</v>
      </c>
      <c r="C29" s="446" t="s">
        <v>561</v>
      </c>
      <c r="D29" s="447">
        <v>2</v>
      </c>
      <c r="E29" s="448" t="s">
        <v>113</v>
      </c>
      <c r="F29" s="449">
        <v>26450</v>
      </c>
      <c r="G29" s="450">
        <f t="shared" ref="G29" si="5">F29*D29</f>
        <v>52900</v>
      </c>
      <c r="H29" s="418"/>
      <c r="J29" s="451"/>
      <c r="K29" s="452"/>
    </row>
    <row r="30" spans="2:11" ht="14.25" customHeight="1" x14ac:dyDescent="0.35">
      <c r="B30" s="431"/>
      <c r="C30" s="437" t="s">
        <v>563</v>
      </c>
      <c r="D30" s="433"/>
      <c r="E30" s="434"/>
      <c r="F30" s="435"/>
      <c r="G30" s="450"/>
      <c r="J30" s="451"/>
      <c r="K30" s="452"/>
    </row>
    <row r="31" spans="2:11" s="444" customFormat="1" ht="25.5" x14ac:dyDescent="0.35">
      <c r="B31" s="445" t="s">
        <v>33</v>
      </c>
      <c r="C31" s="446" t="s">
        <v>564</v>
      </c>
      <c r="D31" s="447">
        <v>10</v>
      </c>
      <c r="E31" s="448" t="s">
        <v>113</v>
      </c>
      <c r="F31" s="449">
        <v>33100</v>
      </c>
      <c r="G31" s="450">
        <f t="shared" ref="G31" si="6">F31*D31</f>
        <v>331000</v>
      </c>
      <c r="H31" s="418"/>
      <c r="J31" s="451"/>
      <c r="K31" s="452"/>
    </row>
    <row r="32" spans="2:11" s="444" customFormat="1" ht="18.850000000000001" customHeight="1" x14ac:dyDescent="0.35">
      <c r="B32" s="445"/>
      <c r="C32" s="446"/>
      <c r="D32" s="447"/>
      <c r="E32" s="448"/>
      <c r="F32" s="449"/>
      <c r="G32" s="450"/>
      <c r="H32" s="418"/>
      <c r="J32" s="451"/>
      <c r="K32" s="452"/>
    </row>
    <row r="33" spans="2:11" s="444" customFormat="1" ht="18.850000000000001" customHeight="1" x14ac:dyDescent="0.35">
      <c r="B33" s="445"/>
      <c r="C33" s="446"/>
      <c r="D33" s="447"/>
      <c r="E33" s="448"/>
      <c r="F33" s="449"/>
      <c r="G33" s="450"/>
      <c r="H33" s="418"/>
      <c r="J33" s="451"/>
      <c r="K33" s="452"/>
    </row>
    <row r="34" spans="2:11" s="444" customFormat="1" ht="18.850000000000001" customHeight="1" x14ac:dyDescent="0.35">
      <c r="B34" s="445"/>
      <c r="C34" s="446"/>
      <c r="D34" s="447"/>
      <c r="E34" s="448"/>
      <c r="F34" s="449"/>
      <c r="G34" s="450"/>
      <c r="H34" s="418"/>
      <c r="J34" s="451"/>
      <c r="K34" s="452"/>
    </row>
    <row r="35" spans="2:11" s="444" customFormat="1" ht="18.850000000000001" customHeight="1" x14ac:dyDescent="0.35">
      <c r="B35" s="445"/>
      <c r="C35" s="446"/>
      <c r="D35" s="447"/>
      <c r="E35" s="448"/>
      <c r="F35" s="449"/>
      <c r="G35" s="450"/>
      <c r="H35" s="418"/>
      <c r="J35" s="451"/>
      <c r="K35" s="452"/>
    </row>
    <row r="36" spans="2:11" s="444" customFormat="1" ht="18.850000000000001" customHeight="1" x14ac:dyDescent="0.35">
      <c r="B36" s="445"/>
      <c r="C36" s="446"/>
      <c r="D36" s="447"/>
      <c r="E36" s="448"/>
      <c r="F36" s="449"/>
      <c r="G36" s="450"/>
      <c r="H36" s="418"/>
      <c r="J36" s="451"/>
      <c r="K36" s="452"/>
    </row>
    <row r="37" spans="2:11" s="444" customFormat="1" ht="18.850000000000001" customHeight="1" x14ac:dyDescent="0.35">
      <c r="B37" s="445"/>
      <c r="C37" s="446"/>
      <c r="D37" s="447"/>
      <c r="E37" s="448"/>
      <c r="F37" s="449"/>
      <c r="G37" s="450"/>
      <c r="H37" s="418"/>
      <c r="J37" s="451"/>
      <c r="K37" s="452"/>
    </row>
    <row r="38" spans="2:11" s="444" customFormat="1" ht="18.850000000000001" customHeight="1" thickBot="1" x14ac:dyDescent="0.4">
      <c r="B38" s="445"/>
      <c r="C38" s="453" t="s">
        <v>55</v>
      </c>
      <c r="D38" s="447"/>
      <c r="E38" s="448"/>
      <c r="F38" s="454"/>
      <c r="G38" s="455">
        <f>SUM(G10:G31)</f>
        <v>7461450</v>
      </c>
      <c r="H38" s="418"/>
      <c r="J38" s="451"/>
      <c r="K38" s="452"/>
    </row>
    <row r="39" spans="2:11" s="456" customFormat="1" ht="18.850000000000001" customHeight="1" thickTop="1" x14ac:dyDescent="0.35">
      <c r="B39" s="457"/>
      <c r="C39" s="458" t="s">
        <v>1087</v>
      </c>
      <c r="D39" s="459"/>
      <c r="E39" s="459"/>
      <c r="F39" s="460"/>
      <c r="G39" s="461"/>
      <c r="H39" s="418"/>
      <c r="J39" s="451"/>
      <c r="K39" s="452"/>
    </row>
    <row r="40" spans="2:11" ht="22.25" customHeight="1" x14ac:dyDescent="0.35">
      <c r="B40" s="431"/>
      <c r="C40" s="432" t="str">
        <f>C3</f>
        <v>BILL NO.4</v>
      </c>
      <c r="D40" s="433"/>
      <c r="E40" s="434"/>
      <c r="F40" s="435"/>
      <c r="G40" s="436"/>
    </row>
    <row r="41" spans="2:11" ht="22.25" customHeight="1" x14ac:dyDescent="0.35">
      <c r="B41" s="431"/>
      <c r="C41" s="432" t="str">
        <f>C4</f>
        <v>ELECTRICAL INSTALLATIONS</v>
      </c>
      <c r="D41" s="433"/>
      <c r="E41" s="434"/>
      <c r="F41" s="435"/>
      <c r="G41" s="436"/>
    </row>
    <row r="42" spans="2:11" ht="22.25" customHeight="1" x14ac:dyDescent="0.35">
      <c r="B42" s="431"/>
      <c r="C42" s="432" t="s">
        <v>71</v>
      </c>
      <c r="D42" s="433"/>
      <c r="E42" s="434"/>
      <c r="F42" s="435"/>
      <c r="G42" s="436"/>
    </row>
    <row r="43" spans="2:11" ht="22.25" customHeight="1" x14ac:dyDescent="0.35">
      <c r="B43" s="431"/>
      <c r="C43" s="432" t="s">
        <v>1081</v>
      </c>
      <c r="D43" s="433"/>
      <c r="E43" s="434"/>
      <c r="F43" s="435"/>
      <c r="G43" s="436"/>
    </row>
    <row r="44" spans="2:11" ht="22.25" customHeight="1" x14ac:dyDescent="0.35">
      <c r="B44" s="431"/>
      <c r="C44" s="437" t="s">
        <v>527</v>
      </c>
      <c r="D44" s="433"/>
      <c r="E44" s="434"/>
      <c r="F44" s="435"/>
      <c r="G44" s="436"/>
    </row>
    <row r="45" spans="2:11" s="438" customFormat="1" ht="25.5" x14ac:dyDescent="0.35">
      <c r="B45" s="439"/>
      <c r="C45" s="437" t="s">
        <v>543</v>
      </c>
      <c r="D45" s="440"/>
      <c r="E45" s="441"/>
      <c r="F45" s="442"/>
      <c r="G45" s="443"/>
    </row>
    <row r="46" spans="2:11" s="438" customFormat="1" ht="51" x14ac:dyDescent="0.35">
      <c r="B46" s="439"/>
      <c r="C46" s="437" t="s">
        <v>544</v>
      </c>
      <c r="D46" s="440"/>
      <c r="E46" s="441"/>
      <c r="F46" s="442"/>
      <c r="G46" s="443"/>
    </row>
    <row r="47" spans="2:11" s="444" customFormat="1" ht="38.25" x14ac:dyDescent="0.35">
      <c r="B47" s="445" t="s">
        <v>31</v>
      </c>
      <c r="C47" s="446" t="s">
        <v>1014</v>
      </c>
      <c r="D47" s="447">
        <f>SUM(D78:D90)</f>
        <v>122</v>
      </c>
      <c r="E47" s="448" t="s">
        <v>113</v>
      </c>
      <c r="F47" s="449">
        <v>139050</v>
      </c>
      <c r="G47" s="450">
        <f>F47*D47</f>
        <v>16964100</v>
      </c>
      <c r="H47" s="418"/>
      <c r="J47" s="451"/>
      <c r="K47" s="452"/>
    </row>
    <row r="48" spans="2:11" s="444" customFormat="1" ht="38.25" x14ac:dyDescent="0.35">
      <c r="B48" s="445" t="s">
        <v>32</v>
      </c>
      <c r="C48" s="446" t="s">
        <v>929</v>
      </c>
      <c r="D48" s="447">
        <v>40</v>
      </c>
      <c r="E48" s="448" t="s">
        <v>113</v>
      </c>
      <c r="F48" s="449">
        <v>115850</v>
      </c>
      <c r="G48" s="450">
        <f t="shared" ref="G48:G98" si="7">F48*D48</f>
        <v>4634000</v>
      </c>
      <c r="H48" s="418"/>
      <c r="J48" s="451"/>
      <c r="K48" s="452"/>
    </row>
    <row r="49" spans="2:11" s="444" customFormat="1" ht="31.9" customHeight="1" x14ac:dyDescent="0.35">
      <c r="B49" s="445" t="s">
        <v>33</v>
      </c>
      <c r="C49" s="446" t="s">
        <v>545</v>
      </c>
      <c r="D49" s="447">
        <v>3</v>
      </c>
      <c r="E49" s="448" t="s">
        <v>113</v>
      </c>
      <c r="F49" s="449">
        <v>26400</v>
      </c>
      <c r="G49" s="450">
        <f t="shared" si="7"/>
        <v>79200</v>
      </c>
      <c r="H49" s="418"/>
      <c r="J49" s="451"/>
      <c r="K49" s="452"/>
    </row>
    <row r="50" spans="2:11" s="444" customFormat="1" ht="25.5" x14ac:dyDescent="0.35">
      <c r="B50" s="445" t="s">
        <v>34</v>
      </c>
      <c r="C50" s="446" t="s">
        <v>546</v>
      </c>
      <c r="D50" s="447">
        <v>24</v>
      </c>
      <c r="E50" s="448" t="s">
        <v>113</v>
      </c>
      <c r="F50" s="449">
        <v>26400</v>
      </c>
      <c r="G50" s="450">
        <f t="shared" si="7"/>
        <v>633600</v>
      </c>
      <c r="H50" s="418"/>
      <c r="J50" s="451"/>
      <c r="K50" s="452"/>
    </row>
    <row r="51" spans="2:11" s="444" customFormat="1" ht="25.5" x14ac:dyDescent="0.35">
      <c r="B51" s="445" t="s">
        <v>35</v>
      </c>
      <c r="C51" s="446" t="s">
        <v>547</v>
      </c>
      <c r="D51" s="447">
        <v>6</v>
      </c>
      <c r="E51" s="448" t="s">
        <v>113</v>
      </c>
      <c r="F51" s="449">
        <v>26400</v>
      </c>
      <c r="G51" s="450">
        <f t="shared" si="7"/>
        <v>158400</v>
      </c>
      <c r="H51" s="418"/>
      <c r="J51" s="451"/>
      <c r="K51" s="452"/>
    </row>
    <row r="52" spans="2:11" s="444" customFormat="1" ht="25.5" x14ac:dyDescent="0.35">
      <c r="B52" s="445" t="s">
        <v>36</v>
      </c>
      <c r="C52" s="446" t="s">
        <v>930</v>
      </c>
      <c r="D52" s="447">
        <v>2</v>
      </c>
      <c r="E52" s="448" t="s">
        <v>113</v>
      </c>
      <c r="F52" s="449">
        <v>115800</v>
      </c>
      <c r="G52" s="450">
        <f t="shared" si="7"/>
        <v>231600</v>
      </c>
      <c r="H52" s="418"/>
      <c r="J52" s="451"/>
      <c r="K52" s="452"/>
    </row>
    <row r="53" spans="2:11" s="444" customFormat="1" ht="25.5" x14ac:dyDescent="0.35">
      <c r="B53" s="445" t="s">
        <v>114</v>
      </c>
      <c r="C53" s="446" t="s">
        <v>1015</v>
      </c>
      <c r="D53" s="447">
        <v>12</v>
      </c>
      <c r="E53" s="448" t="s">
        <v>113</v>
      </c>
      <c r="F53" s="449">
        <v>26400</v>
      </c>
      <c r="G53" s="450">
        <f t="shared" si="7"/>
        <v>316800</v>
      </c>
      <c r="H53" s="418"/>
      <c r="J53" s="451"/>
      <c r="K53" s="452"/>
    </row>
    <row r="54" spans="2:11" s="444" customFormat="1" ht="38.25" x14ac:dyDescent="0.35">
      <c r="B54" s="445" t="s">
        <v>39</v>
      </c>
      <c r="C54" s="446" t="s">
        <v>931</v>
      </c>
      <c r="D54" s="447">
        <v>15</v>
      </c>
      <c r="E54" s="448" t="s">
        <v>112</v>
      </c>
      <c r="F54" s="449">
        <v>82750</v>
      </c>
      <c r="G54" s="450">
        <f t="shared" si="7"/>
        <v>1241250</v>
      </c>
      <c r="H54" s="418"/>
      <c r="J54" s="451"/>
      <c r="K54" s="452"/>
    </row>
    <row r="55" spans="2:11" s="444" customFormat="1" ht="63.4" customHeight="1" x14ac:dyDescent="0.35">
      <c r="B55" s="445" t="s">
        <v>40</v>
      </c>
      <c r="C55" s="446" t="s">
        <v>548</v>
      </c>
      <c r="D55" s="447">
        <v>1</v>
      </c>
      <c r="E55" s="448" t="s">
        <v>113</v>
      </c>
      <c r="F55" s="449">
        <v>1979750</v>
      </c>
      <c r="G55" s="450">
        <f t="shared" si="7"/>
        <v>1979750</v>
      </c>
      <c r="H55" s="418"/>
      <c r="J55" s="451"/>
      <c r="K55" s="452"/>
    </row>
    <row r="56" spans="2:11" s="444" customFormat="1" ht="25.5" x14ac:dyDescent="0.35">
      <c r="B56" s="445" t="s">
        <v>15</v>
      </c>
      <c r="C56" s="446" t="s">
        <v>549</v>
      </c>
      <c r="D56" s="447">
        <v>12</v>
      </c>
      <c r="E56" s="448" t="s">
        <v>113</v>
      </c>
      <c r="F56" s="449">
        <v>4950</v>
      </c>
      <c r="G56" s="450">
        <f t="shared" si="7"/>
        <v>59400</v>
      </c>
      <c r="H56" s="418"/>
      <c r="J56" s="451"/>
      <c r="K56" s="452"/>
    </row>
    <row r="57" spans="2:11" s="444" customFormat="1" ht="25.5" x14ac:dyDescent="0.35">
      <c r="B57" s="445" t="s">
        <v>31</v>
      </c>
      <c r="C57" s="446" t="s">
        <v>550</v>
      </c>
      <c r="D57" s="447">
        <v>16</v>
      </c>
      <c r="E57" s="448" t="s">
        <v>113</v>
      </c>
      <c r="F57" s="449">
        <v>6600</v>
      </c>
      <c r="G57" s="450">
        <f t="shared" si="7"/>
        <v>105600</v>
      </c>
      <c r="H57" s="418"/>
      <c r="J57" s="451"/>
      <c r="K57" s="452"/>
    </row>
    <row r="58" spans="2:11" s="444" customFormat="1" x14ac:dyDescent="0.35">
      <c r="B58" s="445" t="s">
        <v>32</v>
      </c>
      <c r="C58" s="446" t="s">
        <v>551</v>
      </c>
      <c r="D58" s="447">
        <v>45</v>
      </c>
      <c r="E58" s="448" t="s">
        <v>112</v>
      </c>
      <c r="F58" s="449">
        <v>148900</v>
      </c>
      <c r="G58" s="450">
        <f t="shared" si="7"/>
        <v>6700500</v>
      </c>
      <c r="H58" s="418"/>
      <c r="J58" s="451"/>
      <c r="K58" s="452"/>
    </row>
    <row r="59" spans="2:11" s="444" customFormat="1" x14ac:dyDescent="0.35">
      <c r="B59" s="445" t="s">
        <v>33</v>
      </c>
      <c r="C59" s="446" t="s">
        <v>552</v>
      </c>
      <c r="D59" s="447">
        <v>24</v>
      </c>
      <c r="E59" s="448" t="s">
        <v>112</v>
      </c>
      <c r="F59" s="449">
        <v>99300</v>
      </c>
      <c r="G59" s="450">
        <f t="shared" si="7"/>
        <v>2383200</v>
      </c>
      <c r="H59" s="418"/>
      <c r="J59" s="451"/>
      <c r="K59" s="452"/>
    </row>
    <row r="60" spans="2:11" s="444" customFormat="1" ht="19.5" customHeight="1" x14ac:dyDescent="0.35">
      <c r="B60" s="445"/>
      <c r="C60" s="446"/>
      <c r="D60" s="447"/>
      <c r="E60" s="448"/>
      <c r="F60" s="449"/>
      <c r="G60" s="450"/>
      <c r="H60" s="418"/>
      <c r="J60" s="451"/>
      <c r="K60" s="452"/>
    </row>
    <row r="61" spans="2:11" s="444" customFormat="1" ht="19.5" customHeight="1" x14ac:dyDescent="0.35">
      <c r="B61" s="445"/>
      <c r="C61" s="446"/>
      <c r="D61" s="447"/>
      <c r="E61" s="448"/>
      <c r="F61" s="449"/>
      <c r="G61" s="450"/>
      <c r="H61" s="418"/>
      <c r="J61" s="451"/>
      <c r="K61" s="452"/>
    </row>
    <row r="62" spans="2:11" s="444" customFormat="1" ht="19.5" customHeight="1" x14ac:dyDescent="0.35">
      <c r="B62" s="445"/>
      <c r="C62" s="446"/>
      <c r="D62" s="447"/>
      <c r="E62" s="448"/>
      <c r="F62" s="449"/>
      <c r="G62" s="450"/>
      <c r="H62" s="418"/>
      <c r="J62" s="451"/>
      <c r="K62" s="452"/>
    </row>
    <row r="63" spans="2:11" s="444" customFormat="1" ht="19.5" customHeight="1" x14ac:dyDescent="0.35">
      <c r="B63" s="445"/>
      <c r="C63" s="446"/>
      <c r="D63" s="447"/>
      <c r="E63" s="448"/>
      <c r="F63" s="449"/>
      <c r="G63" s="450"/>
      <c r="H63" s="418"/>
      <c r="J63" s="451"/>
      <c r="K63" s="452"/>
    </row>
    <row r="64" spans="2:11" s="444" customFormat="1" ht="19.5" customHeight="1" x14ac:dyDescent="0.35">
      <c r="B64" s="445"/>
      <c r="C64" s="446"/>
      <c r="D64" s="447"/>
      <c r="E64" s="448"/>
      <c r="F64" s="449"/>
      <c r="G64" s="450"/>
      <c r="H64" s="418"/>
      <c r="J64" s="451"/>
      <c r="K64" s="452"/>
    </row>
    <row r="65" spans="2:11" s="444" customFormat="1" ht="19.5" customHeight="1" x14ac:dyDescent="0.35">
      <c r="B65" s="445"/>
      <c r="C65" s="446"/>
      <c r="D65" s="447"/>
      <c r="E65" s="448"/>
      <c r="F65" s="449"/>
      <c r="G65" s="450"/>
      <c r="H65" s="418"/>
      <c r="J65" s="451"/>
      <c r="K65" s="452"/>
    </row>
    <row r="66" spans="2:11" s="444" customFormat="1" ht="19.5" customHeight="1" x14ac:dyDescent="0.35">
      <c r="B66" s="445"/>
      <c r="C66" s="446"/>
      <c r="D66" s="447"/>
      <c r="E66" s="448"/>
      <c r="F66" s="449"/>
      <c r="G66" s="450"/>
      <c r="H66" s="418"/>
      <c r="J66" s="451"/>
      <c r="K66" s="452"/>
    </row>
    <row r="67" spans="2:11" s="444" customFormat="1" ht="19.5" customHeight="1" x14ac:dyDescent="0.35">
      <c r="B67" s="445"/>
      <c r="C67" s="446"/>
      <c r="D67" s="447"/>
      <c r="E67" s="448"/>
      <c r="F67" s="449"/>
      <c r="G67" s="450"/>
      <c r="H67" s="418"/>
      <c r="J67" s="451"/>
      <c r="K67" s="452"/>
    </row>
    <row r="68" spans="2:11" s="444" customFormat="1" ht="19.5" customHeight="1" x14ac:dyDescent="0.35">
      <c r="B68" s="445"/>
      <c r="C68" s="446"/>
      <c r="D68" s="447"/>
      <c r="E68" s="448"/>
      <c r="F68" s="449"/>
      <c r="G68" s="450"/>
      <c r="H68" s="418"/>
      <c r="J68" s="451"/>
      <c r="K68" s="452"/>
    </row>
    <row r="69" spans="2:11" s="444" customFormat="1" ht="19.5" customHeight="1" x14ac:dyDescent="0.35">
      <c r="B69" s="445"/>
      <c r="C69" s="446"/>
      <c r="D69" s="447"/>
      <c r="E69" s="448"/>
      <c r="F69" s="449"/>
      <c r="G69" s="450"/>
      <c r="H69" s="418"/>
      <c r="J69" s="451"/>
      <c r="K69" s="452"/>
    </row>
    <row r="70" spans="2:11" s="444" customFormat="1" ht="19.5" customHeight="1" x14ac:dyDescent="0.35">
      <c r="B70" s="445"/>
      <c r="C70" s="446"/>
      <c r="D70" s="447"/>
      <c r="E70" s="448"/>
      <c r="F70" s="449"/>
      <c r="G70" s="450"/>
      <c r="H70" s="418"/>
      <c r="J70" s="451"/>
      <c r="K70" s="452"/>
    </row>
    <row r="71" spans="2:11" s="444" customFormat="1" ht="19.5" customHeight="1" x14ac:dyDescent="0.35">
      <c r="B71" s="445"/>
      <c r="C71" s="446"/>
      <c r="D71" s="447"/>
      <c r="E71" s="448"/>
      <c r="F71" s="449"/>
      <c r="G71" s="450"/>
      <c r="H71" s="418"/>
      <c r="J71" s="451"/>
      <c r="K71" s="452"/>
    </row>
    <row r="72" spans="2:11" s="444" customFormat="1" ht="19.5" customHeight="1" x14ac:dyDescent="0.35">
      <c r="B72" s="445"/>
      <c r="C72" s="446"/>
      <c r="D72" s="447"/>
      <c r="E72" s="448"/>
      <c r="F72" s="449"/>
      <c r="G72" s="450"/>
      <c r="H72" s="418"/>
      <c r="J72" s="451"/>
      <c r="K72" s="452"/>
    </row>
    <row r="73" spans="2:11" s="444" customFormat="1" ht="19.5" customHeight="1" x14ac:dyDescent="0.35">
      <c r="B73" s="445"/>
      <c r="C73" s="446"/>
      <c r="D73" s="447"/>
      <c r="E73" s="448"/>
      <c r="F73" s="449"/>
      <c r="G73" s="450"/>
      <c r="H73" s="418"/>
      <c r="J73" s="451"/>
      <c r="K73" s="452"/>
    </row>
    <row r="74" spans="2:11" s="444" customFormat="1" ht="19.5" customHeight="1" x14ac:dyDescent="0.35">
      <c r="B74" s="445"/>
      <c r="C74" s="446"/>
      <c r="D74" s="447"/>
      <c r="E74" s="448"/>
      <c r="F74" s="449"/>
      <c r="G74" s="450"/>
      <c r="H74" s="418"/>
      <c r="J74" s="451"/>
      <c r="K74" s="452"/>
    </row>
    <row r="75" spans="2:11" s="444" customFormat="1" ht="19.5" customHeight="1" x14ac:dyDescent="0.35">
      <c r="B75" s="445"/>
      <c r="C75" s="446"/>
      <c r="D75" s="447"/>
      <c r="E75" s="448"/>
      <c r="F75" s="449"/>
      <c r="G75" s="450"/>
      <c r="H75" s="418"/>
      <c r="J75" s="451"/>
      <c r="K75" s="452"/>
    </row>
    <row r="76" spans="2:11" s="444" customFormat="1" ht="19.5" customHeight="1" x14ac:dyDescent="0.35">
      <c r="B76" s="445"/>
      <c r="C76" s="446"/>
      <c r="D76" s="447"/>
      <c r="E76" s="448"/>
      <c r="F76" s="449"/>
      <c r="G76" s="450"/>
      <c r="H76" s="418"/>
      <c r="J76" s="451"/>
      <c r="K76" s="452"/>
    </row>
    <row r="77" spans="2:11" ht="22.05" customHeight="1" x14ac:dyDescent="0.35">
      <c r="B77" s="431"/>
      <c r="C77" s="437" t="s">
        <v>553</v>
      </c>
      <c r="D77" s="433"/>
      <c r="E77" s="434"/>
      <c r="F77" s="435"/>
      <c r="G77" s="450"/>
      <c r="J77" s="451"/>
      <c r="K77" s="452"/>
    </row>
    <row r="78" spans="2:11" s="444" customFormat="1" ht="25.5" x14ac:dyDescent="0.35">
      <c r="B78" s="445" t="s">
        <v>34</v>
      </c>
      <c r="C78" s="446" t="s">
        <v>554</v>
      </c>
      <c r="D78" s="447">
        <v>14</v>
      </c>
      <c r="E78" s="448" t="s">
        <v>113</v>
      </c>
      <c r="F78" s="449">
        <v>87500</v>
      </c>
      <c r="G78" s="450">
        <f t="shared" si="7"/>
        <v>1225000</v>
      </c>
      <c r="H78" s="418"/>
      <c r="J78" s="451"/>
      <c r="K78" s="452"/>
    </row>
    <row r="79" spans="2:11" s="444" customFormat="1" ht="38.25" x14ac:dyDescent="0.35">
      <c r="B79" s="445" t="s">
        <v>35</v>
      </c>
      <c r="C79" s="446" t="s">
        <v>555</v>
      </c>
      <c r="D79" s="447">
        <v>6</v>
      </c>
      <c r="E79" s="448" t="s">
        <v>113</v>
      </c>
      <c r="F79" s="449">
        <v>134800</v>
      </c>
      <c r="G79" s="450">
        <f t="shared" si="7"/>
        <v>808800</v>
      </c>
      <c r="H79" s="418"/>
      <c r="J79" s="451"/>
      <c r="K79" s="452"/>
    </row>
    <row r="80" spans="2:11" s="444" customFormat="1" ht="51" x14ac:dyDescent="0.35">
      <c r="B80" s="445" t="s">
        <v>36</v>
      </c>
      <c r="C80" s="446" t="s">
        <v>556</v>
      </c>
      <c r="D80" s="447">
        <v>3</v>
      </c>
      <c r="E80" s="448" t="s">
        <v>113</v>
      </c>
      <c r="F80" s="449">
        <v>85100</v>
      </c>
      <c r="G80" s="450">
        <f t="shared" si="7"/>
        <v>255300</v>
      </c>
      <c r="H80" s="418"/>
      <c r="J80" s="451"/>
      <c r="K80" s="452"/>
    </row>
    <row r="81" spans="2:11" s="444" customFormat="1" ht="25.5" x14ac:dyDescent="0.35">
      <c r="B81" s="445" t="s">
        <v>114</v>
      </c>
      <c r="C81" s="446" t="s">
        <v>557</v>
      </c>
      <c r="D81" s="447">
        <v>30</v>
      </c>
      <c r="E81" s="448" t="s">
        <v>113</v>
      </c>
      <c r="F81" s="449">
        <v>80400</v>
      </c>
      <c r="G81" s="450">
        <f t="shared" si="7"/>
        <v>2412000</v>
      </c>
      <c r="H81" s="418"/>
      <c r="J81" s="451"/>
      <c r="K81" s="452"/>
    </row>
    <row r="82" spans="2:11" s="444" customFormat="1" ht="38.25" x14ac:dyDescent="0.35">
      <c r="B82" s="445" t="s">
        <v>39</v>
      </c>
      <c r="C82" s="446" t="s">
        <v>558</v>
      </c>
      <c r="D82" s="447">
        <v>5</v>
      </c>
      <c r="E82" s="448" t="s">
        <v>113</v>
      </c>
      <c r="F82" s="449">
        <v>106400</v>
      </c>
      <c r="G82" s="450">
        <f t="shared" si="7"/>
        <v>532000</v>
      </c>
      <c r="H82" s="418"/>
      <c r="J82" s="451"/>
      <c r="K82" s="452"/>
    </row>
    <row r="83" spans="2:11" s="444" customFormat="1" ht="30" customHeight="1" x14ac:dyDescent="0.35">
      <c r="B83" s="445" t="s">
        <v>40</v>
      </c>
      <c r="C83" s="446" t="s">
        <v>1078</v>
      </c>
      <c r="D83" s="447">
        <v>25</v>
      </c>
      <c r="E83" s="448" t="s">
        <v>113</v>
      </c>
      <c r="F83" s="449">
        <v>52500</v>
      </c>
      <c r="G83" s="450">
        <f t="shared" si="7"/>
        <v>1312500</v>
      </c>
      <c r="H83" s="418"/>
      <c r="J83" s="451"/>
      <c r="K83" s="452"/>
    </row>
    <row r="84" spans="2:11" s="444" customFormat="1" ht="38.25" x14ac:dyDescent="0.35">
      <c r="B84" s="445" t="s">
        <v>40</v>
      </c>
      <c r="C84" s="446" t="s">
        <v>1079</v>
      </c>
      <c r="D84" s="447">
        <v>4</v>
      </c>
      <c r="E84" s="448" t="s">
        <v>113</v>
      </c>
      <c r="F84" s="449">
        <v>52500</v>
      </c>
      <c r="G84" s="450">
        <f t="shared" si="7"/>
        <v>210000</v>
      </c>
      <c r="H84" s="418"/>
      <c r="J84" s="451"/>
      <c r="K84" s="452"/>
    </row>
    <row r="85" spans="2:11" s="444" customFormat="1" ht="25.5" x14ac:dyDescent="0.35">
      <c r="B85" s="445" t="s">
        <v>15</v>
      </c>
      <c r="C85" s="446" t="s">
        <v>571</v>
      </c>
      <c r="D85" s="447">
        <v>11</v>
      </c>
      <c r="E85" s="448" t="s">
        <v>113</v>
      </c>
      <c r="F85" s="449">
        <v>302700</v>
      </c>
      <c r="G85" s="450">
        <f t="shared" si="7"/>
        <v>3329700</v>
      </c>
      <c r="H85" s="418"/>
      <c r="J85" s="451"/>
      <c r="K85" s="452"/>
    </row>
    <row r="86" spans="2:11" s="444" customFormat="1" ht="38.25" x14ac:dyDescent="0.35">
      <c r="B86" s="445" t="s">
        <v>16</v>
      </c>
      <c r="C86" s="446" t="s">
        <v>572</v>
      </c>
      <c r="D86" s="447">
        <v>7</v>
      </c>
      <c r="E86" s="448" t="s">
        <v>113</v>
      </c>
      <c r="F86" s="449">
        <v>397200</v>
      </c>
      <c r="G86" s="450">
        <f t="shared" si="7"/>
        <v>2780400</v>
      </c>
      <c r="H86" s="418"/>
      <c r="J86" s="451"/>
      <c r="K86" s="452"/>
    </row>
    <row r="87" spans="2:11" s="444" customFormat="1" ht="32.65" customHeight="1" x14ac:dyDescent="0.35">
      <c r="B87" s="445" t="s">
        <v>89</v>
      </c>
      <c r="C87" s="446" t="s">
        <v>1073</v>
      </c>
      <c r="D87" s="447">
        <v>9</v>
      </c>
      <c r="E87" s="448" t="s">
        <v>113</v>
      </c>
      <c r="F87" s="449">
        <v>124550</v>
      </c>
      <c r="G87" s="450">
        <f t="shared" si="7"/>
        <v>1120950</v>
      </c>
      <c r="H87" s="418"/>
      <c r="J87" s="451"/>
      <c r="K87" s="452"/>
    </row>
    <row r="88" spans="2:11" s="444" customFormat="1" ht="25.5" x14ac:dyDescent="0.35">
      <c r="B88" s="445" t="s">
        <v>17</v>
      </c>
      <c r="C88" s="446" t="s">
        <v>1074</v>
      </c>
      <c r="D88" s="447">
        <v>3</v>
      </c>
      <c r="E88" s="448" t="s">
        <v>113</v>
      </c>
      <c r="F88" s="449">
        <v>106400</v>
      </c>
      <c r="G88" s="450">
        <f t="shared" ref="G88:G90" si="8">F88*D88</f>
        <v>319200</v>
      </c>
      <c r="H88" s="418"/>
      <c r="J88" s="451"/>
      <c r="K88" s="452"/>
    </row>
    <row r="89" spans="2:11" s="444" customFormat="1" ht="38.25" x14ac:dyDescent="0.35">
      <c r="B89" s="445" t="s">
        <v>90</v>
      </c>
      <c r="C89" s="446" t="s">
        <v>1075</v>
      </c>
      <c r="D89" s="447">
        <v>3</v>
      </c>
      <c r="E89" s="448" t="s">
        <v>113</v>
      </c>
      <c r="F89" s="449">
        <v>147500</v>
      </c>
      <c r="G89" s="450">
        <f t="shared" si="8"/>
        <v>442500</v>
      </c>
      <c r="H89" s="418"/>
      <c r="J89" s="451"/>
      <c r="K89" s="452"/>
    </row>
    <row r="90" spans="2:11" s="444" customFormat="1" ht="38.25" x14ac:dyDescent="0.35">
      <c r="B90" s="445" t="s">
        <v>40</v>
      </c>
      <c r="C90" s="446" t="s">
        <v>1080</v>
      </c>
      <c r="D90" s="447">
        <v>2</v>
      </c>
      <c r="E90" s="448" t="s">
        <v>113</v>
      </c>
      <c r="F90" s="449">
        <v>52500</v>
      </c>
      <c r="G90" s="450">
        <f t="shared" si="8"/>
        <v>105000</v>
      </c>
      <c r="H90" s="418"/>
      <c r="J90" s="451"/>
      <c r="K90" s="452"/>
    </row>
    <row r="91" spans="2:11" ht="22.05" customHeight="1" x14ac:dyDescent="0.35">
      <c r="B91" s="431"/>
      <c r="C91" s="437" t="s">
        <v>559</v>
      </c>
      <c r="D91" s="433"/>
      <c r="E91" s="434"/>
      <c r="F91" s="435"/>
      <c r="G91" s="450"/>
      <c r="J91" s="451"/>
      <c r="K91" s="452"/>
    </row>
    <row r="92" spans="2:11" s="444" customFormat="1" ht="25.5" x14ac:dyDescent="0.35">
      <c r="B92" s="445" t="s">
        <v>255</v>
      </c>
      <c r="C92" s="446" t="s">
        <v>560</v>
      </c>
      <c r="D92" s="447">
        <v>12</v>
      </c>
      <c r="E92" s="448" t="s">
        <v>113</v>
      </c>
      <c r="F92" s="449">
        <v>19850</v>
      </c>
      <c r="G92" s="450">
        <f t="shared" si="7"/>
        <v>238200</v>
      </c>
      <c r="H92" s="418"/>
      <c r="J92" s="451"/>
      <c r="K92" s="452"/>
    </row>
    <row r="93" spans="2:11" s="444" customFormat="1" ht="25.5" x14ac:dyDescent="0.35">
      <c r="B93" s="445" t="s">
        <v>31</v>
      </c>
      <c r="C93" s="446" t="s">
        <v>561</v>
      </c>
      <c r="D93" s="447">
        <v>8</v>
      </c>
      <c r="E93" s="448" t="s">
        <v>113</v>
      </c>
      <c r="F93" s="449">
        <v>26450</v>
      </c>
      <c r="G93" s="450">
        <f t="shared" si="7"/>
        <v>211600</v>
      </c>
      <c r="H93" s="418"/>
      <c r="J93" s="451"/>
      <c r="K93" s="452"/>
    </row>
    <row r="94" spans="2:11" s="444" customFormat="1" ht="25.5" x14ac:dyDescent="0.35">
      <c r="B94" s="445" t="s">
        <v>32</v>
      </c>
      <c r="C94" s="446" t="s">
        <v>562</v>
      </c>
      <c r="D94" s="447">
        <v>2</v>
      </c>
      <c r="E94" s="448" t="s">
        <v>113</v>
      </c>
      <c r="F94" s="449">
        <v>397200</v>
      </c>
      <c r="G94" s="450">
        <f t="shared" si="7"/>
        <v>794400</v>
      </c>
      <c r="H94" s="418"/>
      <c r="J94" s="451"/>
      <c r="K94" s="452"/>
    </row>
    <row r="95" spans="2:11" ht="22.05" customHeight="1" x14ac:dyDescent="0.35">
      <c r="B95" s="431"/>
      <c r="C95" s="437" t="s">
        <v>563</v>
      </c>
      <c r="D95" s="433"/>
      <c r="E95" s="434"/>
      <c r="F95" s="435"/>
      <c r="G95" s="450"/>
      <c r="J95" s="451"/>
      <c r="K95" s="452"/>
    </row>
    <row r="96" spans="2:11" s="444" customFormat="1" ht="19.149999999999999" customHeight="1" x14ac:dyDescent="0.35">
      <c r="B96" s="445" t="s">
        <v>33</v>
      </c>
      <c r="C96" s="446" t="s">
        <v>564</v>
      </c>
      <c r="D96" s="447">
        <v>40</v>
      </c>
      <c r="E96" s="448" t="s">
        <v>113</v>
      </c>
      <c r="F96" s="449">
        <v>33100</v>
      </c>
      <c r="G96" s="450">
        <f t="shared" si="7"/>
        <v>1324000</v>
      </c>
      <c r="H96" s="418"/>
      <c r="J96" s="451"/>
      <c r="K96" s="452"/>
    </row>
    <row r="97" spans="2:11" s="444" customFormat="1" ht="25.5" x14ac:dyDescent="0.35">
      <c r="B97" s="445" t="s">
        <v>34</v>
      </c>
      <c r="C97" s="446" t="s">
        <v>578</v>
      </c>
      <c r="D97" s="447">
        <v>8</v>
      </c>
      <c r="E97" s="448" t="s">
        <v>113</v>
      </c>
      <c r="F97" s="449">
        <v>794500</v>
      </c>
      <c r="G97" s="450">
        <f t="shared" si="7"/>
        <v>6356000</v>
      </c>
      <c r="H97" s="418"/>
      <c r="J97" s="451"/>
      <c r="K97" s="452"/>
    </row>
    <row r="98" spans="2:11" s="444" customFormat="1" ht="25.5" x14ac:dyDescent="0.35">
      <c r="B98" s="445" t="s">
        <v>35</v>
      </c>
      <c r="C98" s="446" t="s">
        <v>936</v>
      </c>
      <c r="D98" s="447">
        <v>8</v>
      </c>
      <c r="E98" s="448" t="s">
        <v>113</v>
      </c>
      <c r="F98" s="449">
        <v>132400</v>
      </c>
      <c r="G98" s="450">
        <f t="shared" si="7"/>
        <v>1059200</v>
      </c>
      <c r="H98" s="418"/>
      <c r="J98" s="451"/>
      <c r="K98" s="452"/>
    </row>
    <row r="99" spans="2:11" s="444" customFormat="1" ht="18.850000000000001" customHeight="1" x14ac:dyDescent="0.35">
      <c r="B99" s="445"/>
      <c r="C99" s="446"/>
      <c r="D99" s="447"/>
      <c r="E99" s="448"/>
      <c r="F99" s="449"/>
      <c r="G99" s="450"/>
      <c r="H99" s="418"/>
      <c r="J99" s="451"/>
      <c r="K99" s="452"/>
    </row>
    <row r="100" spans="2:11" s="444" customFormat="1" ht="18.850000000000001" customHeight="1" x14ac:dyDescent="0.35">
      <c r="B100" s="445"/>
      <c r="C100" s="446"/>
      <c r="D100" s="447"/>
      <c r="E100" s="448"/>
      <c r="F100" s="449"/>
      <c r="G100" s="450"/>
      <c r="H100" s="418"/>
      <c r="J100" s="451"/>
      <c r="K100" s="452"/>
    </row>
    <row r="101" spans="2:11" s="444" customFormat="1" ht="18.850000000000001" customHeight="1" x14ac:dyDescent="0.35">
      <c r="B101" s="445"/>
      <c r="C101" s="446"/>
      <c r="D101" s="447"/>
      <c r="E101" s="448"/>
      <c r="F101" s="449"/>
      <c r="G101" s="450"/>
      <c r="H101" s="418"/>
      <c r="J101" s="451"/>
      <c r="K101" s="452"/>
    </row>
    <row r="102" spans="2:11" s="444" customFormat="1" ht="18.850000000000001" customHeight="1" x14ac:dyDescent="0.35">
      <c r="B102" s="445"/>
      <c r="C102" s="446"/>
      <c r="D102" s="447"/>
      <c r="E102" s="448"/>
      <c r="F102" s="449"/>
      <c r="G102" s="450"/>
      <c r="H102" s="418"/>
      <c r="J102" s="451"/>
      <c r="K102" s="452"/>
    </row>
    <row r="103" spans="2:11" s="444" customFormat="1" ht="18.850000000000001" customHeight="1" x14ac:dyDescent="0.35">
      <c r="B103" s="445"/>
      <c r="C103" s="446"/>
      <c r="D103" s="447"/>
      <c r="E103" s="448"/>
      <c r="F103" s="449"/>
      <c r="G103" s="450"/>
      <c r="H103" s="418"/>
      <c r="J103" s="451"/>
      <c r="K103" s="452"/>
    </row>
    <row r="104" spans="2:11" s="444" customFormat="1" ht="18.850000000000001" customHeight="1" thickBot="1" x14ac:dyDescent="0.4">
      <c r="B104" s="445"/>
      <c r="C104" s="453" t="s">
        <v>55</v>
      </c>
      <c r="D104" s="447"/>
      <c r="E104" s="448"/>
      <c r="F104" s="454"/>
      <c r="G104" s="455">
        <f>SUM(G47:G98)</f>
        <v>60324150</v>
      </c>
      <c r="H104" s="418"/>
      <c r="J104" s="451"/>
      <c r="K104" s="452"/>
    </row>
    <row r="105" spans="2:11" s="456" customFormat="1" ht="18.850000000000001" customHeight="1" thickTop="1" x14ac:dyDescent="0.35">
      <c r="B105" s="457"/>
      <c r="C105" s="458" t="s">
        <v>1088</v>
      </c>
      <c r="D105" s="459"/>
      <c r="E105" s="459"/>
      <c r="F105" s="460"/>
      <c r="G105" s="461"/>
      <c r="H105" s="418"/>
      <c r="J105" s="451"/>
      <c r="K105" s="452"/>
    </row>
    <row r="106" spans="2:11" ht="22.25" customHeight="1" x14ac:dyDescent="0.35">
      <c r="B106" s="431"/>
      <c r="C106" s="432" t="str">
        <f>C3</f>
        <v>BILL NO.4</v>
      </c>
      <c r="D106" s="433"/>
      <c r="E106" s="434"/>
      <c r="F106" s="435"/>
      <c r="G106" s="436"/>
    </row>
    <row r="107" spans="2:11" ht="22.25" customHeight="1" x14ac:dyDescent="0.35">
      <c r="B107" s="431"/>
      <c r="C107" s="432" t="str">
        <f>C4</f>
        <v>ELECTRICAL INSTALLATIONS</v>
      </c>
      <c r="D107" s="433"/>
      <c r="E107" s="434"/>
      <c r="F107" s="435"/>
      <c r="G107" s="436"/>
    </row>
    <row r="108" spans="2:11" ht="22.25" customHeight="1" x14ac:dyDescent="0.35">
      <c r="B108" s="431"/>
      <c r="C108" s="432" t="s">
        <v>81</v>
      </c>
      <c r="D108" s="433"/>
      <c r="E108" s="434"/>
      <c r="F108" s="435"/>
      <c r="G108" s="436"/>
    </row>
    <row r="109" spans="2:11" ht="22.25" customHeight="1" x14ac:dyDescent="0.35">
      <c r="B109" s="431"/>
      <c r="C109" s="432" t="s">
        <v>538</v>
      </c>
      <c r="D109" s="433"/>
      <c r="E109" s="434"/>
      <c r="F109" s="435"/>
      <c r="G109" s="436"/>
    </row>
    <row r="110" spans="2:11" s="444" customFormat="1" ht="38.25" x14ac:dyDescent="0.35">
      <c r="B110" s="445" t="s">
        <v>31</v>
      </c>
      <c r="C110" s="446" t="s">
        <v>1014</v>
      </c>
      <c r="D110" s="447">
        <f>SUM(D130:D144)</f>
        <v>129</v>
      </c>
      <c r="E110" s="448" t="s">
        <v>113</v>
      </c>
      <c r="F110" s="449">
        <v>139050</v>
      </c>
      <c r="G110" s="450">
        <f>F110*D110</f>
        <v>17937450</v>
      </c>
      <c r="H110" s="418"/>
      <c r="J110" s="451"/>
      <c r="K110" s="452"/>
    </row>
    <row r="111" spans="2:11" s="444" customFormat="1" ht="38.25" x14ac:dyDescent="0.35">
      <c r="B111" s="445" t="s">
        <v>32</v>
      </c>
      <c r="C111" s="446" t="s">
        <v>929</v>
      </c>
      <c r="D111" s="447">
        <v>40</v>
      </c>
      <c r="E111" s="448" t="s">
        <v>113</v>
      </c>
      <c r="F111" s="449">
        <v>115800</v>
      </c>
      <c r="G111" s="450">
        <f t="shared" ref="G111:G161" si="9">F111*D111</f>
        <v>4632000</v>
      </c>
      <c r="H111" s="418"/>
      <c r="J111" s="451"/>
      <c r="K111" s="452"/>
    </row>
    <row r="112" spans="2:11" s="444" customFormat="1" ht="31.15" customHeight="1" x14ac:dyDescent="0.35">
      <c r="B112" s="445" t="s">
        <v>33</v>
      </c>
      <c r="C112" s="446" t="s">
        <v>932</v>
      </c>
      <c r="D112" s="447">
        <v>12</v>
      </c>
      <c r="E112" s="448" t="s">
        <v>113</v>
      </c>
      <c r="F112" s="449">
        <v>115800</v>
      </c>
      <c r="G112" s="450">
        <f t="shared" si="9"/>
        <v>1389600</v>
      </c>
      <c r="H112" s="418"/>
      <c r="J112" s="451"/>
      <c r="K112" s="452"/>
    </row>
    <row r="113" spans="2:11" s="444" customFormat="1" ht="25.5" x14ac:dyDescent="0.35">
      <c r="B113" s="445" t="s">
        <v>34</v>
      </c>
      <c r="C113" s="446" t="s">
        <v>545</v>
      </c>
      <c r="D113" s="447">
        <v>2</v>
      </c>
      <c r="E113" s="448" t="s">
        <v>113</v>
      </c>
      <c r="F113" s="449">
        <v>26400</v>
      </c>
      <c r="G113" s="450">
        <f t="shared" si="9"/>
        <v>52800</v>
      </c>
      <c r="H113" s="418"/>
      <c r="J113" s="451"/>
      <c r="K113" s="452"/>
    </row>
    <row r="114" spans="2:11" s="444" customFormat="1" ht="25.5" x14ac:dyDescent="0.35">
      <c r="B114" s="445" t="s">
        <v>35</v>
      </c>
      <c r="C114" s="446" t="s">
        <v>546</v>
      </c>
      <c r="D114" s="447">
        <v>18</v>
      </c>
      <c r="E114" s="448" t="s">
        <v>113</v>
      </c>
      <c r="F114" s="449">
        <v>26400</v>
      </c>
      <c r="G114" s="450">
        <f t="shared" si="9"/>
        <v>475200</v>
      </c>
      <c r="H114" s="418"/>
      <c r="J114" s="451"/>
      <c r="K114" s="452"/>
    </row>
    <row r="115" spans="2:11" s="444" customFormat="1" ht="25.5" x14ac:dyDescent="0.35">
      <c r="B115" s="445" t="s">
        <v>36</v>
      </c>
      <c r="C115" s="446" t="s">
        <v>1016</v>
      </c>
      <c r="D115" s="447">
        <v>12</v>
      </c>
      <c r="E115" s="448" t="s">
        <v>113</v>
      </c>
      <c r="F115" s="449">
        <v>26400</v>
      </c>
      <c r="G115" s="450">
        <f t="shared" si="9"/>
        <v>316800</v>
      </c>
      <c r="H115" s="418"/>
      <c r="J115" s="451"/>
      <c r="K115" s="452"/>
    </row>
    <row r="116" spans="2:11" s="444" customFormat="1" ht="25.5" x14ac:dyDescent="0.35">
      <c r="B116" s="445" t="s">
        <v>114</v>
      </c>
      <c r="C116" s="446" t="s">
        <v>547</v>
      </c>
      <c r="D116" s="447">
        <v>5</v>
      </c>
      <c r="E116" s="448" t="s">
        <v>113</v>
      </c>
      <c r="F116" s="449">
        <v>26400</v>
      </c>
      <c r="G116" s="450">
        <f t="shared" si="9"/>
        <v>132000</v>
      </c>
      <c r="H116" s="418"/>
      <c r="J116" s="451"/>
      <c r="K116" s="452"/>
    </row>
    <row r="117" spans="2:11" s="444" customFormat="1" ht="31.5" customHeight="1" x14ac:dyDescent="0.35">
      <c r="B117" s="445" t="s">
        <v>39</v>
      </c>
      <c r="C117" s="446" t="s">
        <v>1017</v>
      </c>
      <c r="D117" s="447">
        <v>6</v>
      </c>
      <c r="E117" s="448" t="s">
        <v>113</v>
      </c>
      <c r="F117" s="449">
        <v>26400</v>
      </c>
      <c r="G117" s="450">
        <f t="shared" si="9"/>
        <v>158400</v>
      </c>
      <c r="H117" s="418"/>
      <c r="J117" s="451"/>
      <c r="K117" s="452"/>
    </row>
    <row r="118" spans="2:11" s="444" customFormat="1" ht="25.5" x14ac:dyDescent="0.35">
      <c r="B118" s="445" t="s">
        <v>40</v>
      </c>
      <c r="C118" s="446" t="s">
        <v>930</v>
      </c>
      <c r="D118" s="447">
        <v>4</v>
      </c>
      <c r="E118" s="448" t="s">
        <v>113</v>
      </c>
      <c r="F118" s="449">
        <v>115800</v>
      </c>
      <c r="G118" s="450">
        <f t="shared" si="9"/>
        <v>463200</v>
      </c>
      <c r="H118" s="418"/>
      <c r="J118" s="451"/>
      <c r="K118" s="452"/>
    </row>
    <row r="119" spans="2:11" s="444" customFormat="1" ht="38.25" x14ac:dyDescent="0.35">
      <c r="B119" s="445" t="s">
        <v>15</v>
      </c>
      <c r="C119" s="446" t="s">
        <v>933</v>
      </c>
      <c r="D119" s="447">
        <v>15</v>
      </c>
      <c r="E119" s="448" t="s">
        <v>112</v>
      </c>
      <c r="F119" s="449">
        <v>82700</v>
      </c>
      <c r="G119" s="450">
        <f t="shared" si="9"/>
        <v>1240500</v>
      </c>
      <c r="H119" s="418"/>
      <c r="J119" s="451"/>
      <c r="K119" s="452"/>
    </row>
    <row r="120" spans="2:11" s="444" customFormat="1" ht="38.25" x14ac:dyDescent="0.35">
      <c r="B120" s="445" t="s">
        <v>16</v>
      </c>
      <c r="C120" s="446" t="s">
        <v>934</v>
      </c>
      <c r="D120" s="447">
        <v>25</v>
      </c>
      <c r="E120" s="448" t="s">
        <v>112</v>
      </c>
      <c r="F120" s="449">
        <v>82700</v>
      </c>
      <c r="G120" s="450">
        <f t="shared" si="9"/>
        <v>2067500</v>
      </c>
      <c r="H120" s="418"/>
      <c r="J120" s="451"/>
      <c r="K120" s="452"/>
    </row>
    <row r="121" spans="2:11" s="444" customFormat="1" ht="38.25" x14ac:dyDescent="0.35">
      <c r="B121" s="445" t="s">
        <v>89</v>
      </c>
      <c r="C121" s="446" t="s">
        <v>935</v>
      </c>
      <c r="D121" s="447">
        <v>15</v>
      </c>
      <c r="E121" s="448" t="s">
        <v>112</v>
      </c>
      <c r="F121" s="449">
        <v>82700</v>
      </c>
      <c r="G121" s="450">
        <f t="shared" si="9"/>
        <v>1240500</v>
      </c>
      <c r="H121" s="418"/>
      <c r="J121" s="451"/>
      <c r="K121" s="452"/>
    </row>
    <row r="122" spans="2:11" s="444" customFormat="1" ht="51" x14ac:dyDescent="0.35">
      <c r="B122" s="445" t="s">
        <v>17</v>
      </c>
      <c r="C122" s="446" t="s">
        <v>567</v>
      </c>
      <c r="D122" s="447">
        <v>3</v>
      </c>
      <c r="E122" s="448" t="s">
        <v>113</v>
      </c>
      <c r="F122" s="449">
        <v>1979700</v>
      </c>
      <c r="G122" s="450">
        <f t="shared" si="9"/>
        <v>5939100</v>
      </c>
      <c r="H122" s="418"/>
      <c r="J122" s="451"/>
      <c r="K122" s="452"/>
    </row>
    <row r="123" spans="2:11" s="444" customFormat="1" x14ac:dyDescent="0.35">
      <c r="B123" s="445"/>
      <c r="C123" s="446"/>
      <c r="D123" s="447"/>
      <c r="E123" s="448"/>
      <c r="F123" s="449"/>
      <c r="G123" s="450"/>
      <c r="H123" s="418"/>
      <c r="J123" s="451"/>
      <c r="K123" s="452"/>
    </row>
    <row r="124" spans="2:11" s="444" customFormat="1" ht="51" x14ac:dyDescent="0.35">
      <c r="B124" s="445" t="s">
        <v>31</v>
      </c>
      <c r="C124" s="446" t="s">
        <v>568</v>
      </c>
      <c r="D124" s="447">
        <v>2</v>
      </c>
      <c r="E124" s="448" t="s">
        <v>113</v>
      </c>
      <c r="F124" s="449">
        <v>1033700</v>
      </c>
      <c r="G124" s="450">
        <f t="shared" si="9"/>
        <v>2067400</v>
      </c>
      <c r="H124" s="418"/>
      <c r="J124" s="451"/>
      <c r="K124" s="452"/>
    </row>
    <row r="125" spans="2:11" s="444" customFormat="1" ht="25.5" x14ac:dyDescent="0.35">
      <c r="B125" s="445" t="s">
        <v>32</v>
      </c>
      <c r="C125" s="446" t="s">
        <v>549</v>
      </c>
      <c r="D125" s="447">
        <v>12</v>
      </c>
      <c r="E125" s="448" t="s">
        <v>113</v>
      </c>
      <c r="F125" s="449">
        <v>2600</v>
      </c>
      <c r="G125" s="450">
        <f t="shared" si="9"/>
        <v>31200</v>
      </c>
      <c r="H125" s="418"/>
      <c r="J125" s="451"/>
      <c r="K125" s="452"/>
    </row>
    <row r="126" spans="2:11" s="444" customFormat="1" ht="25.5" x14ac:dyDescent="0.35">
      <c r="B126" s="445" t="s">
        <v>33</v>
      </c>
      <c r="C126" s="446" t="s">
        <v>550</v>
      </c>
      <c r="D126" s="447">
        <v>16</v>
      </c>
      <c r="E126" s="448" t="s">
        <v>113</v>
      </c>
      <c r="F126" s="449">
        <v>3900</v>
      </c>
      <c r="G126" s="450">
        <f t="shared" si="9"/>
        <v>62400</v>
      </c>
      <c r="H126" s="418"/>
      <c r="J126" s="451"/>
      <c r="K126" s="452"/>
    </row>
    <row r="127" spans="2:11" s="444" customFormat="1" ht="25.5" x14ac:dyDescent="0.35">
      <c r="B127" s="445" t="s">
        <v>34</v>
      </c>
      <c r="C127" s="446" t="s">
        <v>569</v>
      </c>
      <c r="D127" s="447">
        <v>25</v>
      </c>
      <c r="E127" s="448" t="s">
        <v>112</v>
      </c>
      <c r="F127" s="449">
        <v>11600</v>
      </c>
      <c r="G127" s="450">
        <f t="shared" si="9"/>
        <v>290000</v>
      </c>
      <c r="H127" s="418"/>
      <c r="J127" s="451"/>
      <c r="K127" s="452"/>
    </row>
    <row r="128" spans="2:11" s="444" customFormat="1" ht="25.5" x14ac:dyDescent="0.35">
      <c r="B128" s="445" t="s">
        <v>35</v>
      </c>
      <c r="C128" s="446" t="s">
        <v>570</v>
      </c>
      <c r="D128" s="447">
        <v>24</v>
      </c>
      <c r="E128" s="448" t="s">
        <v>112</v>
      </c>
      <c r="F128" s="449">
        <v>82750</v>
      </c>
      <c r="G128" s="450">
        <f t="shared" si="9"/>
        <v>1986000</v>
      </c>
      <c r="H128" s="418"/>
      <c r="J128" s="451"/>
      <c r="K128" s="452"/>
    </row>
    <row r="129" spans="2:11" ht="22.05" customHeight="1" x14ac:dyDescent="0.35">
      <c r="B129" s="431"/>
      <c r="C129" s="437" t="s">
        <v>553</v>
      </c>
      <c r="D129" s="433"/>
      <c r="E129" s="434"/>
      <c r="F129" s="435"/>
      <c r="G129" s="450"/>
      <c r="J129" s="451"/>
      <c r="K129" s="452"/>
    </row>
    <row r="130" spans="2:11" s="444" customFormat="1" ht="25.5" x14ac:dyDescent="0.35">
      <c r="B130" s="445" t="s">
        <v>34</v>
      </c>
      <c r="C130" s="446" t="s">
        <v>554</v>
      </c>
      <c r="D130" s="447">
        <v>18</v>
      </c>
      <c r="E130" s="448" t="s">
        <v>113</v>
      </c>
      <c r="F130" s="449">
        <v>87500</v>
      </c>
      <c r="G130" s="450">
        <f t="shared" ref="G130:G144" si="10">F130*D130</f>
        <v>1575000</v>
      </c>
      <c r="H130" s="418"/>
      <c r="J130" s="451"/>
      <c r="K130" s="452"/>
    </row>
    <row r="131" spans="2:11" s="444" customFormat="1" ht="38.25" x14ac:dyDescent="0.35">
      <c r="B131" s="445" t="s">
        <v>35</v>
      </c>
      <c r="C131" s="446" t="s">
        <v>555</v>
      </c>
      <c r="D131" s="447">
        <v>7</v>
      </c>
      <c r="E131" s="448" t="s">
        <v>113</v>
      </c>
      <c r="F131" s="449">
        <v>134800</v>
      </c>
      <c r="G131" s="450">
        <f t="shared" si="10"/>
        <v>943600</v>
      </c>
      <c r="H131" s="418"/>
      <c r="J131" s="451"/>
      <c r="K131" s="452"/>
    </row>
    <row r="132" spans="2:11" s="444" customFormat="1" ht="51" x14ac:dyDescent="0.35">
      <c r="B132" s="445" t="s">
        <v>36</v>
      </c>
      <c r="C132" s="446" t="s">
        <v>556</v>
      </c>
      <c r="D132" s="447">
        <v>3</v>
      </c>
      <c r="E132" s="448" t="s">
        <v>113</v>
      </c>
      <c r="F132" s="449">
        <v>85100</v>
      </c>
      <c r="G132" s="450">
        <f t="shared" si="10"/>
        <v>255300</v>
      </c>
      <c r="H132" s="418"/>
      <c r="J132" s="451"/>
      <c r="K132" s="452"/>
    </row>
    <row r="133" spans="2:11" s="444" customFormat="1" ht="25.5" x14ac:dyDescent="0.35">
      <c r="B133" s="445" t="s">
        <v>114</v>
      </c>
      <c r="C133" s="446" t="s">
        <v>557</v>
      </c>
      <c r="D133" s="447">
        <v>0</v>
      </c>
      <c r="E133" s="448" t="s">
        <v>113</v>
      </c>
      <c r="F133" s="449">
        <v>80400</v>
      </c>
      <c r="G133" s="450">
        <f t="shared" si="10"/>
        <v>0</v>
      </c>
      <c r="H133" s="418"/>
      <c r="J133" s="451"/>
      <c r="K133" s="452"/>
    </row>
    <row r="134" spans="2:11" s="444" customFormat="1" ht="38.25" x14ac:dyDescent="0.35">
      <c r="B134" s="445" t="s">
        <v>39</v>
      </c>
      <c r="C134" s="446" t="s">
        <v>558</v>
      </c>
      <c r="D134" s="447">
        <v>0</v>
      </c>
      <c r="E134" s="448" t="s">
        <v>113</v>
      </c>
      <c r="F134" s="449">
        <v>106400</v>
      </c>
      <c r="G134" s="450">
        <f t="shared" si="10"/>
        <v>0</v>
      </c>
      <c r="H134" s="418"/>
      <c r="J134" s="451"/>
      <c r="K134" s="452"/>
    </row>
    <row r="135" spans="2:11" s="444" customFormat="1" ht="38.25" x14ac:dyDescent="0.35">
      <c r="B135" s="445" t="s">
        <v>40</v>
      </c>
      <c r="C135" s="446" t="s">
        <v>1078</v>
      </c>
      <c r="D135" s="447">
        <v>26</v>
      </c>
      <c r="E135" s="448" t="s">
        <v>113</v>
      </c>
      <c r="F135" s="449">
        <v>52500</v>
      </c>
      <c r="G135" s="450">
        <f t="shared" ref="G135" si="11">F135*D135</f>
        <v>1365000</v>
      </c>
      <c r="H135" s="418"/>
      <c r="J135" s="451"/>
      <c r="K135" s="452"/>
    </row>
    <row r="136" spans="2:11" s="444" customFormat="1" ht="38.25" x14ac:dyDescent="0.35">
      <c r="B136" s="445" t="s">
        <v>40</v>
      </c>
      <c r="C136" s="446" t="s">
        <v>1079</v>
      </c>
      <c r="D136" s="447">
        <v>4</v>
      </c>
      <c r="E136" s="448" t="s">
        <v>113</v>
      </c>
      <c r="F136" s="449">
        <v>52500</v>
      </c>
      <c r="G136" s="450">
        <f t="shared" si="10"/>
        <v>210000</v>
      </c>
      <c r="H136" s="418"/>
      <c r="J136" s="451"/>
      <c r="K136" s="452"/>
    </row>
    <row r="137" spans="2:11" s="444" customFormat="1" ht="25.5" x14ac:dyDescent="0.35">
      <c r="B137" s="445" t="s">
        <v>15</v>
      </c>
      <c r="C137" s="446" t="s">
        <v>571</v>
      </c>
      <c r="D137" s="447">
        <v>32</v>
      </c>
      <c r="E137" s="448" t="s">
        <v>113</v>
      </c>
      <c r="F137" s="449">
        <v>302700</v>
      </c>
      <c r="G137" s="450">
        <f t="shared" si="10"/>
        <v>9686400</v>
      </c>
      <c r="H137" s="418"/>
      <c r="J137" s="451"/>
      <c r="K137" s="452"/>
    </row>
    <row r="138" spans="2:11" s="444" customFormat="1" ht="38.25" x14ac:dyDescent="0.35">
      <c r="B138" s="445" t="s">
        <v>16</v>
      </c>
      <c r="C138" s="446" t="s">
        <v>572</v>
      </c>
      <c r="D138" s="447">
        <v>8</v>
      </c>
      <c r="E138" s="448" t="s">
        <v>113</v>
      </c>
      <c r="F138" s="449">
        <v>397200</v>
      </c>
      <c r="G138" s="450">
        <f t="shared" si="10"/>
        <v>3177600</v>
      </c>
      <c r="H138" s="418"/>
      <c r="J138" s="451"/>
      <c r="K138" s="452"/>
    </row>
    <row r="139" spans="2:11" s="444" customFormat="1" ht="32.65" customHeight="1" x14ac:dyDescent="0.35">
      <c r="B139" s="445" t="s">
        <v>89</v>
      </c>
      <c r="C139" s="446" t="s">
        <v>1073</v>
      </c>
      <c r="D139" s="447">
        <v>9</v>
      </c>
      <c r="E139" s="448" t="s">
        <v>113</v>
      </c>
      <c r="F139" s="449">
        <v>124550</v>
      </c>
      <c r="G139" s="450">
        <f t="shared" si="10"/>
        <v>1120950</v>
      </c>
      <c r="H139" s="418"/>
      <c r="J139" s="451"/>
      <c r="K139" s="452"/>
    </row>
    <row r="140" spans="2:11" s="444" customFormat="1" ht="25.5" x14ac:dyDescent="0.35">
      <c r="B140" s="445" t="s">
        <v>17</v>
      </c>
      <c r="C140" s="446" t="s">
        <v>1074</v>
      </c>
      <c r="D140" s="447">
        <v>15</v>
      </c>
      <c r="E140" s="448" t="s">
        <v>113</v>
      </c>
      <c r="F140" s="449">
        <v>106400</v>
      </c>
      <c r="G140" s="450">
        <f t="shared" si="10"/>
        <v>1596000</v>
      </c>
      <c r="H140" s="418"/>
      <c r="J140" s="451"/>
      <c r="K140" s="452"/>
    </row>
    <row r="141" spans="2:11" s="444" customFormat="1" ht="38.25" x14ac:dyDescent="0.35">
      <c r="B141" s="445" t="s">
        <v>90</v>
      </c>
      <c r="C141" s="446" t="s">
        <v>1075</v>
      </c>
      <c r="D141" s="447">
        <v>5</v>
      </c>
      <c r="E141" s="448" t="s">
        <v>113</v>
      </c>
      <c r="F141" s="449">
        <v>147500</v>
      </c>
      <c r="G141" s="450">
        <f t="shared" si="10"/>
        <v>737500</v>
      </c>
      <c r="H141" s="418"/>
      <c r="J141" s="451"/>
      <c r="K141" s="452"/>
    </row>
    <row r="142" spans="2:11" s="444" customFormat="1" ht="38.25" x14ac:dyDescent="0.35">
      <c r="B142" s="445" t="s">
        <v>40</v>
      </c>
      <c r="C142" s="446" t="s">
        <v>1080</v>
      </c>
      <c r="D142" s="447">
        <v>2</v>
      </c>
      <c r="E142" s="448" t="s">
        <v>113</v>
      </c>
      <c r="F142" s="449">
        <v>52500</v>
      </c>
      <c r="G142" s="450">
        <f t="shared" si="10"/>
        <v>105000</v>
      </c>
      <c r="H142" s="418"/>
      <c r="J142" s="451"/>
      <c r="K142" s="452"/>
    </row>
    <row r="143" spans="2:11" s="444" customFormat="1" ht="38.25" x14ac:dyDescent="0.35">
      <c r="B143" s="445" t="s">
        <v>88</v>
      </c>
      <c r="C143" s="446" t="s">
        <v>1076</v>
      </c>
      <c r="D143" s="447">
        <v>0</v>
      </c>
      <c r="E143" s="448" t="s">
        <v>113</v>
      </c>
      <c r="F143" s="449">
        <v>106400</v>
      </c>
      <c r="G143" s="450">
        <f t="shared" si="10"/>
        <v>0</v>
      </c>
      <c r="H143" s="418"/>
      <c r="J143" s="451"/>
      <c r="K143" s="452"/>
    </row>
    <row r="144" spans="2:11" s="444" customFormat="1" ht="38.25" x14ac:dyDescent="0.35">
      <c r="B144" s="445" t="s">
        <v>251</v>
      </c>
      <c r="C144" s="446" t="s">
        <v>1077</v>
      </c>
      <c r="D144" s="447">
        <v>0</v>
      </c>
      <c r="E144" s="448" t="s">
        <v>113</v>
      </c>
      <c r="F144" s="449">
        <v>147500</v>
      </c>
      <c r="G144" s="450">
        <f t="shared" si="10"/>
        <v>0</v>
      </c>
      <c r="H144" s="418"/>
      <c r="J144" s="451"/>
      <c r="K144" s="452"/>
    </row>
    <row r="145" spans="2:11" ht="22.05" customHeight="1" x14ac:dyDescent="0.35">
      <c r="B145" s="431"/>
      <c r="C145" s="437" t="s">
        <v>559</v>
      </c>
      <c r="D145" s="433"/>
      <c r="E145" s="434"/>
      <c r="F145" s="435"/>
      <c r="G145" s="450"/>
      <c r="J145" s="451"/>
      <c r="K145" s="452"/>
    </row>
    <row r="146" spans="2:11" s="444" customFormat="1" ht="25.5" x14ac:dyDescent="0.35">
      <c r="B146" s="445" t="s">
        <v>33</v>
      </c>
      <c r="C146" s="446" t="s">
        <v>560</v>
      </c>
      <c r="D146" s="447">
        <v>20</v>
      </c>
      <c r="E146" s="448" t="s">
        <v>113</v>
      </c>
      <c r="F146" s="449">
        <v>13200</v>
      </c>
      <c r="G146" s="450">
        <f t="shared" si="9"/>
        <v>264000</v>
      </c>
      <c r="H146" s="418"/>
      <c r="J146" s="451"/>
      <c r="K146" s="452"/>
    </row>
    <row r="147" spans="2:11" s="444" customFormat="1" ht="25.5" x14ac:dyDescent="0.35">
      <c r="B147" s="445" t="s">
        <v>34</v>
      </c>
      <c r="C147" s="446" t="s">
        <v>573</v>
      </c>
      <c r="D147" s="447">
        <v>10</v>
      </c>
      <c r="E147" s="448" t="s">
        <v>113</v>
      </c>
      <c r="F147" s="449">
        <v>16550</v>
      </c>
      <c r="G147" s="450">
        <f t="shared" si="9"/>
        <v>165500</v>
      </c>
      <c r="H147" s="418"/>
      <c r="J147" s="451"/>
      <c r="K147" s="452"/>
    </row>
    <row r="148" spans="2:11" s="444" customFormat="1" ht="25.5" x14ac:dyDescent="0.35">
      <c r="B148" s="445" t="s">
        <v>35</v>
      </c>
      <c r="C148" s="446" t="s">
        <v>574</v>
      </c>
      <c r="D148" s="447">
        <v>12</v>
      </c>
      <c r="E148" s="448" t="s">
        <v>113</v>
      </c>
      <c r="F148" s="449">
        <v>26400</v>
      </c>
      <c r="G148" s="450">
        <f t="shared" si="9"/>
        <v>316800</v>
      </c>
      <c r="H148" s="418"/>
      <c r="J148" s="451"/>
      <c r="K148" s="452"/>
    </row>
    <row r="149" spans="2:11" s="444" customFormat="1" ht="25.5" x14ac:dyDescent="0.35">
      <c r="B149" s="445" t="s">
        <v>36</v>
      </c>
      <c r="C149" s="446" t="s">
        <v>575</v>
      </c>
      <c r="D149" s="447">
        <v>2</v>
      </c>
      <c r="E149" s="448" t="s">
        <v>113</v>
      </c>
      <c r="F149" s="449">
        <v>29700</v>
      </c>
      <c r="G149" s="450">
        <f t="shared" si="9"/>
        <v>59400</v>
      </c>
      <c r="H149" s="418"/>
      <c r="J149" s="451"/>
      <c r="K149" s="452"/>
    </row>
    <row r="150" spans="2:11" s="444" customFormat="1" ht="25.5" x14ac:dyDescent="0.35">
      <c r="B150" s="445" t="s">
        <v>114</v>
      </c>
      <c r="C150" s="446" t="s">
        <v>576</v>
      </c>
      <c r="D150" s="447">
        <v>3</v>
      </c>
      <c r="E150" s="448" t="s">
        <v>113</v>
      </c>
      <c r="F150" s="449">
        <v>49650</v>
      </c>
      <c r="G150" s="450">
        <f t="shared" si="9"/>
        <v>148950</v>
      </c>
      <c r="H150" s="418"/>
      <c r="J150" s="451"/>
      <c r="K150" s="452"/>
    </row>
    <row r="151" spans="2:11" ht="22.05" customHeight="1" x14ac:dyDescent="0.35">
      <c r="B151" s="431"/>
      <c r="C151" s="437" t="s">
        <v>563</v>
      </c>
      <c r="D151" s="433"/>
      <c r="E151" s="434"/>
      <c r="F151" s="435"/>
      <c r="G151" s="450"/>
      <c r="J151" s="451"/>
      <c r="K151" s="452"/>
    </row>
    <row r="152" spans="2:11" s="444" customFormat="1" ht="25.5" x14ac:dyDescent="0.35">
      <c r="B152" s="445" t="s">
        <v>39</v>
      </c>
      <c r="C152" s="446" t="s">
        <v>564</v>
      </c>
      <c r="D152" s="447">
        <v>40</v>
      </c>
      <c r="E152" s="448" t="s">
        <v>113</v>
      </c>
      <c r="F152" s="449">
        <v>33100</v>
      </c>
      <c r="G152" s="450">
        <f t="shared" si="9"/>
        <v>1324000</v>
      </c>
      <c r="H152" s="418"/>
      <c r="J152" s="451"/>
      <c r="K152" s="452"/>
    </row>
    <row r="153" spans="2:11" s="444" customFormat="1" x14ac:dyDescent="0.35">
      <c r="B153" s="445" t="s">
        <v>40</v>
      </c>
      <c r="C153" s="446" t="s">
        <v>577</v>
      </c>
      <c r="D153" s="447">
        <v>8</v>
      </c>
      <c r="E153" s="448" t="s">
        <v>113</v>
      </c>
      <c r="F153" s="449">
        <v>49650</v>
      </c>
      <c r="G153" s="450">
        <f t="shared" si="9"/>
        <v>397200</v>
      </c>
      <c r="H153" s="418"/>
      <c r="J153" s="451"/>
      <c r="K153" s="452"/>
    </row>
    <row r="154" spans="2:11" s="444" customFormat="1" ht="25.5" x14ac:dyDescent="0.35">
      <c r="B154" s="445" t="s">
        <v>15</v>
      </c>
      <c r="C154" s="446" t="s">
        <v>578</v>
      </c>
      <c r="D154" s="447">
        <v>5</v>
      </c>
      <c r="E154" s="448" t="s">
        <v>113</v>
      </c>
      <c r="F154" s="449">
        <v>794500</v>
      </c>
      <c r="G154" s="450">
        <f t="shared" si="9"/>
        <v>3972500</v>
      </c>
      <c r="H154" s="418"/>
      <c r="J154" s="451"/>
      <c r="K154" s="452"/>
    </row>
    <row r="155" spans="2:11" s="444" customFormat="1" ht="25.5" x14ac:dyDescent="0.35">
      <c r="B155" s="445" t="s">
        <v>16</v>
      </c>
      <c r="C155" s="446" t="s">
        <v>936</v>
      </c>
      <c r="D155" s="447">
        <v>12</v>
      </c>
      <c r="E155" s="448" t="s">
        <v>113</v>
      </c>
      <c r="F155" s="449">
        <v>132400</v>
      </c>
      <c r="G155" s="450">
        <f t="shared" si="9"/>
        <v>1588800</v>
      </c>
      <c r="H155" s="418"/>
      <c r="J155" s="451"/>
      <c r="K155" s="452"/>
    </row>
    <row r="156" spans="2:11" ht="22.05" customHeight="1" x14ac:dyDescent="0.35">
      <c r="B156" s="431"/>
      <c r="C156" s="437" t="s">
        <v>579</v>
      </c>
      <c r="D156" s="433"/>
      <c r="E156" s="434"/>
      <c r="F156" s="435"/>
      <c r="G156" s="450"/>
      <c r="J156" s="451"/>
      <c r="K156" s="452"/>
    </row>
    <row r="157" spans="2:11" s="444" customFormat="1" ht="25.5" x14ac:dyDescent="0.35">
      <c r="B157" s="445" t="s">
        <v>89</v>
      </c>
      <c r="C157" s="446" t="s">
        <v>580</v>
      </c>
      <c r="D157" s="447">
        <v>150</v>
      </c>
      <c r="E157" s="448" t="s">
        <v>112</v>
      </c>
      <c r="F157" s="449">
        <v>112400</v>
      </c>
      <c r="G157" s="450">
        <f t="shared" si="9"/>
        <v>16860000</v>
      </c>
      <c r="H157" s="418"/>
      <c r="J157" s="451"/>
      <c r="K157" s="452"/>
    </row>
    <row r="158" spans="2:11" ht="22.05" customHeight="1" x14ac:dyDescent="0.35">
      <c r="B158" s="431"/>
      <c r="C158" s="437" t="s">
        <v>581</v>
      </c>
      <c r="D158" s="433"/>
      <c r="E158" s="434"/>
      <c r="F158" s="435"/>
      <c r="G158" s="450"/>
      <c r="J158" s="451"/>
      <c r="K158" s="452"/>
    </row>
    <row r="159" spans="2:11" s="444" customFormat="1" ht="25.5" x14ac:dyDescent="0.35">
      <c r="B159" s="445" t="s">
        <v>17</v>
      </c>
      <c r="C159" s="446" t="s">
        <v>582</v>
      </c>
      <c r="D159" s="447">
        <v>1</v>
      </c>
      <c r="E159" s="448" t="s">
        <v>113</v>
      </c>
      <c r="F159" s="449">
        <v>662100</v>
      </c>
      <c r="G159" s="450">
        <f t="shared" si="9"/>
        <v>662100</v>
      </c>
      <c r="H159" s="418"/>
      <c r="J159" s="451"/>
      <c r="K159" s="452"/>
    </row>
    <row r="160" spans="2:11" ht="22.05" customHeight="1" x14ac:dyDescent="0.35">
      <c r="B160" s="431"/>
      <c r="C160" s="437" t="s">
        <v>565</v>
      </c>
      <c r="D160" s="433"/>
      <c r="E160" s="434"/>
      <c r="F160" s="435"/>
      <c r="G160" s="450"/>
      <c r="J160" s="451"/>
      <c r="K160" s="452"/>
    </row>
    <row r="161" spans="2:11" s="444" customFormat="1" x14ac:dyDescent="0.35">
      <c r="B161" s="445" t="s">
        <v>90</v>
      </c>
      <c r="C161" s="446" t="s">
        <v>566</v>
      </c>
      <c r="D161" s="447">
        <v>1</v>
      </c>
      <c r="E161" s="448" t="s">
        <v>113</v>
      </c>
      <c r="F161" s="449">
        <v>2675600</v>
      </c>
      <c r="G161" s="450">
        <f t="shared" si="9"/>
        <v>2675600</v>
      </c>
      <c r="H161" s="418"/>
      <c r="J161" s="451"/>
      <c r="K161" s="452"/>
    </row>
    <row r="162" spans="2:11" s="444" customFormat="1" ht="19.5" customHeight="1" x14ac:dyDescent="0.35">
      <c r="B162" s="445"/>
      <c r="C162" s="446"/>
      <c r="D162" s="447"/>
      <c r="E162" s="448"/>
      <c r="F162" s="449"/>
      <c r="G162" s="450"/>
      <c r="H162" s="418"/>
      <c r="J162" s="451"/>
      <c r="K162" s="452"/>
    </row>
    <row r="163" spans="2:11" s="444" customFormat="1" ht="19.5" customHeight="1" x14ac:dyDescent="0.35">
      <c r="B163" s="445"/>
      <c r="C163" s="446"/>
      <c r="D163" s="447"/>
      <c r="E163" s="448"/>
      <c r="F163" s="449"/>
      <c r="G163" s="450"/>
      <c r="H163" s="418"/>
      <c r="J163" s="451"/>
      <c r="K163" s="452"/>
    </row>
    <row r="164" spans="2:11" s="444" customFormat="1" ht="19.5" customHeight="1" x14ac:dyDescent="0.35">
      <c r="B164" s="445"/>
      <c r="C164" s="446"/>
      <c r="D164" s="447"/>
      <c r="E164" s="448"/>
      <c r="F164" s="449"/>
      <c r="G164" s="450"/>
      <c r="H164" s="418"/>
      <c r="J164" s="451"/>
      <c r="K164" s="452"/>
    </row>
    <row r="165" spans="2:11" s="444" customFormat="1" ht="19.5" customHeight="1" x14ac:dyDescent="0.35">
      <c r="B165" s="445"/>
      <c r="C165" s="446"/>
      <c r="D165" s="447"/>
      <c r="E165" s="448"/>
      <c r="F165" s="449"/>
      <c r="G165" s="450"/>
      <c r="H165" s="418"/>
      <c r="J165" s="451"/>
      <c r="K165" s="452"/>
    </row>
    <row r="166" spans="2:11" s="444" customFormat="1" ht="19.5" customHeight="1" x14ac:dyDescent="0.35">
      <c r="B166" s="445"/>
      <c r="C166" s="446"/>
      <c r="D166" s="447"/>
      <c r="E166" s="448"/>
      <c r="F166" s="449"/>
      <c r="G166" s="450"/>
      <c r="H166" s="418"/>
      <c r="J166" s="451"/>
      <c r="K166" s="452"/>
    </row>
    <row r="167" spans="2:11" s="444" customFormat="1" ht="19.5" customHeight="1" thickBot="1" x14ac:dyDescent="0.4">
      <c r="B167" s="445"/>
      <c r="C167" s="453" t="s">
        <v>55</v>
      </c>
      <c r="D167" s="447"/>
      <c r="E167" s="448"/>
      <c r="F167" s="454"/>
      <c r="G167" s="455">
        <f>SUM(G110:G162)</f>
        <v>89689250</v>
      </c>
      <c r="H167" s="418"/>
      <c r="J167" s="451"/>
      <c r="K167" s="452"/>
    </row>
    <row r="168" spans="2:11" s="456" customFormat="1" ht="19.5" customHeight="1" thickTop="1" x14ac:dyDescent="0.35">
      <c r="B168" s="457"/>
      <c r="C168" s="458" t="s">
        <v>953</v>
      </c>
      <c r="D168" s="459"/>
      <c r="E168" s="459"/>
      <c r="F168" s="460"/>
      <c r="G168" s="461"/>
      <c r="H168" s="418"/>
      <c r="J168" s="451"/>
      <c r="K168" s="452"/>
    </row>
    <row r="169" spans="2:11" ht="22.25" customHeight="1" x14ac:dyDescent="0.35">
      <c r="B169" s="431"/>
      <c r="C169" s="432" t="str">
        <f>C106</f>
        <v>BILL NO.4</v>
      </c>
      <c r="D169" s="433"/>
      <c r="E169" s="434"/>
      <c r="F169" s="435"/>
      <c r="G169" s="436"/>
    </row>
    <row r="170" spans="2:11" ht="22.25" customHeight="1" x14ac:dyDescent="0.35">
      <c r="B170" s="431"/>
      <c r="C170" s="432" t="str">
        <f>C107</f>
        <v>ELECTRICAL INSTALLATIONS</v>
      </c>
      <c r="D170" s="433"/>
      <c r="E170" s="434"/>
      <c r="F170" s="435"/>
      <c r="G170" s="436"/>
    </row>
    <row r="171" spans="2:11" ht="22.25" customHeight="1" x14ac:dyDescent="0.35">
      <c r="B171" s="431"/>
      <c r="C171" s="432" t="s">
        <v>208</v>
      </c>
      <c r="D171" s="433"/>
      <c r="E171" s="434"/>
      <c r="F171" s="435"/>
      <c r="G171" s="436"/>
    </row>
    <row r="172" spans="2:11" ht="22.25" customHeight="1" x14ac:dyDescent="0.35">
      <c r="B172" s="431"/>
      <c r="C172" s="432" t="s">
        <v>539</v>
      </c>
      <c r="D172" s="433"/>
      <c r="E172" s="434"/>
      <c r="F172" s="435"/>
      <c r="G172" s="436"/>
    </row>
    <row r="173" spans="2:11" s="444" customFormat="1" ht="38.25" x14ac:dyDescent="0.35">
      <c r="B173" s="445" t="s">
        <v>31</v>
      </c>
      <c r="C173" s="446" t="s">
        <v>1014</v>
      </c>
      <c r="D173" s="447">
        <f>SUM(D194:D208)</f>
        <v>126</v>
      </c>
      <c r="E173" s="448" t="s">
        <v>113</v>
      </c>
      <c r="F173" s="449">
        <v>139050</v>
      </c>
      <c r="G173" s="450">
        <f>F173*D173</f>
        <v>17520300</v>
      </c>
      <c r="H173" s="418"/>
      <c r="J173" s="451"/>
      <c r="K173" s="452"/>
    </row>
    <row r="174" spans="2:11" s="444" customFormat="1" ht="38.25" x14ac:dyDescent="0.35">
      <c r="B174" s="445" t="s">
        <v>32</v>
      </c>
      <c r="C174" s="446" t="s">
        <v>929</v>
      </c>
      <c r="D174" s="447">
        <v>44</v>
      </c>
      <c r="E174" s="448" t="s">
        <v>113</v>
      </c>
      <c r="F174" s="449">
        <v>115800</v>
      </c>
      <c r="G174" s="450">
        <f t="shared" ref="G174:G225" si="12">F174*D174</f>
        <v>5095200</v>
      </c>
      <c r="H174" s="418"/>
      <c r="J174" s="451"/>
      <c r="K174" s="452"/>
    </row>
    <row r="175" spans="2:11" s="444" customFormat="1" ht="25.5" x14ac:dyDescent="0.35">
      <c r="B175" s="445" t="s">
        <v>33</v>
      </c>
      <c r="C175" s="446" t="s">
        <v>1018</v>
      </c>
      <c r="D175" s="447">
        <v>12</v>
      </c>
      <c r="E175" s="448" t="s">
        <v>113</v>
      </c>
      <c r="F175" s="449">
        <v>115800</v>
      </c>
      <c r="G175" s="450">
        <f t="shared" si="12"/>
        <v>1389600</v>
      </c>
      <c r="H175" s="418"/>
      <c r="J175" s="451"/>
      <c r="K175" s="452"/>
    </row>
    <row r="176" spans="2:11" s="444" customFormat="1" ht="25.5" x14ac:dyDescent="0.35">
      <c r="B176" s="445" t="s">
        <v>34</v>
      </c>
      <c r="C176" s="446" t="s">
        <v>1019</v>
      </c>
      <c r="D176" s="447">
        <v>2</v>
      </c>
      <c r="E176" s="448" t="s">
        <v>113</v>
      </c>
      <c r="F176" s="449">
        <v>26400</v>
      </c>
      <c r="G176" s="450">
        <f t="shared" si="12"/>
        <v>52800</v>
      </c>
      <c r="H176" s="418"/>
      <c r="J176" s="451"/>
      <c r="K176" s="452"/>
    </row>
    <row r="177" spans="2:11" s="444" customFormat="1" ht="25.5" x14ac:dyDescent="0.35">
      <c r="B177" s="445" t="s">
        <v>35</v>
      </c>
      <c r="C177" s="446" t="s">
        <v>932</v>
      </c>
      <c r="D177" s="447">
        <v>18</v>
      </c>
      <c r="E177" s="448" t="s">
        <v>113</v>
      </c>
      <c r="F177" s="449">
        <v>26400</v>
      </c>
      <c r="G177" s="450">
        <f t="shared" si="12"/>
        <v>475200</v>
      </c>
      <c r="H177" s="418"/>
      <c r="J177" s="451"/>
      <c r="K177" s="452"/>
    </row>
    <row r="178" spans="2:11" s="444" customFormat="1" ht="25.5" x14ac:dyDescent="0.35">
      <c r="B178" s="445" t="s">
        <v>36</v>
      </c>
      <c r="C178" s="446" t="s">
        <v>545</v>
      </c>
      <c r="D178" s="447">
        <v>12</v>
      </c>
      <c r="E178" s="448" t="s">
        <v>113</v>
      </c>
      <c r="F178" s="449">
        <v>26400</v>
      </c>
      <c r="G178" s="450">
        <f t="shared" si="12"/>
        <v>316800</v>
      </c>
      <c r="H178" s="418"/>
      <c r="J178" s="451"/>
      <c r="K178" s="452"/>
    </row>
    <row r="179" spans="2:11" s="444" customFormat="1" ht="25.5" x14ac:dyDescent="0.35">
      <c r="B179" s="445" t="s">
        <v>114</v>
      </c>
      <c r="C179" s="446" t="s">
        <v>546</v>
      </c>
      <c r="D179" s="447">
        <v>5</v>
      </c>
      <c r="E179" s="448" t="s">
        <v>113</v>
      </c>
      <c r="F179" s="449">
        <v>26400</v>
      </c>
      <c r="G179" s="450">
        <f t="shared" si="12"/>
        <v>132000</v>
      </c>
      <c r="H179" s="418"/>
      <c r="J179" s="451"/>
      <c r="K179" s="452"/>
    </row>
    <row r="180" spans="2:11" s="444" customFormat="1" ht="25.5" x14ac:dyDescent="0.35">
      <c r="B180" s="445" t="s">
        <v>39</v>
      </c>
      <c r="C180" s="446" t="s">
        <v>547</v>
      </c>
      <c r="D180" s="447">
        <v>6</v>
      </c>
      <c r="E180" s="448" t="s">
        <v>113</v>
      </c>
      <c r="F180" s="449">
        <v>26400</v>
      </c>
      <c r="G180" s="450">
        <f t="shared" si="12"/>
        <v>158400</v>
      </c>
      <c r="H180" s="418"/>
      <c r="J180" s="451"/>
      <c r="K180" s="452"/>
    </row>
    <row r="181" spans="2:11" s="444" customFormat="1" ht="25.5" x14ac:dyDescent="0.35">
      <c r="B181" s="445" t="s">
        <v>40</v>
      </c>
      <c r="C181" s="446" t="s">
        <v>930</v>
      </c>
      <c r="D181" s="447">
        <v>4</v>
      </c>
      <c r="E181" s="448" t="s">
        <v>113</v>
      </c>
      <c r="F181" s="449">
        <v>115800</v>
      </c>
      <c r="G181" s="450">
        <f t="shared" si="12"/>
        <v>463200</v>
      </c>
      <c r="H181" s="418"/>
      <c r="J181" s="451"/>
      <c r="K181" s="452"/>
    </row>
    <row r="182" spans="2:11" s="444" customFormat="1" ht="38.25" x14ac:dyDescent="0.35">
      <c r="B182" s="445" t="s">
        <v>15</v>
      </c>
      <c r="C182" s="446" t="s">
        <v>937</v>
      </c>
      <c r="D182" s="447">
        <v>15</v>
      </c>
      <c r="E182" s="448" t="s">
        <v>112</v>
      </c>
      <c r="F182" s="449">
        <v>82700</v>
      </c>
      <c r="G182" s="450">
        <f t="shared" si="12"/>
        <v>1240500</v>
      </c>
      <c r="H182" s="418"/>
      <c r="J182" s="451"/>
      <c r="K182" s="452"/>
    </row>
    <row r="183" spans="2:11" s="444" customFormat="1" ht="38.25" x14ac:dyDescent="0.35">
      <c r="B183" s="445" t="s">
        <v>16</v>
      </c>
      <c r="C183" s="446" t="s">
        <v>938</v>
      </c>
      <c r="D183" s="447">
        <v>25</v>
      </c>
      <c r="E183" s="448" t="s">
        <v>112</v>
      </c>
      <c r="F183" s="449">
        <v>82700</v>
      </c>
      <c r="G183" s="450">
        <f t="shared" si="12"/>
        <v>2067500</v>
      </c>
      <c r="H183" s="418"/>
      <c r="J183" s="451"/>
      <c r="K183" s="452"/>
    </row>
    <row r="184" spans="2:11" s="444" customFormat="1" ht="38.25" x14ac:dyDescent="0.35">
      <c r="B184" s="445" t="s">
        <v>89</v>
      </c>
      <c r="C184" s="446" t="s">
        <v>939</v>
      </c>
      <c r="D184" s="447">
        <v>15</v>
      </c>
      <c r="E184" s="448" t="s">
        <v>112</v>
      </c>
      <c r="F184" s="449">
        <v>82700</v>
      </c>
      <c r="G184" s="450">
        <f t="shared" si="12"/>
        <v>1240500</v>
      </c>
      <c r="H184" s="418"/>
      <c r="J184" s="451"/>
      <c r="K184" s="452"/>
    </row>
    <row r="185" spans="2:11" s="444" customFormat="1" ht="51" x14ac:dyDescent="0.35">
      <c r="B185" s="445" t="s">
        <v>17</v>
      </c>
      <c r="C185" s="446" t="s">
        <v>567</v>
      </c>
      <c r="D185" s="447">
        <v>3</v>
      </c>
      <c r="E185" s="448" t="s">
        <v>113</v>
      </c>
      <c r="F185" s="449">
        <v>1979700</v>
      </c>
      <c r="G185" s="450">
        <f t="shared" si="12"/>
        <v>5939100</v>
      </c>
      <c r="H185" s="418"/>
      <c r="J185" s="451"/>
      <c r="K185" s="452"/>
    </row>
    <row r="186" spans="2:11" s="444" customFormat="1" x14ac:dyDescent="0.35">
      <c r="B186" s="445"/>
      <c r="C186" s="446"/>
      <c r="D186" s="447"/>
      <c r="E186" s="448"/>
      <c r="F186" s="449"/>
      <c r="G186" s="450"/>
      <c r="H186" s="418"/>
      <c r="J186" s="451"/>
      <c r="K186" s="452"/>
    </row>
    <row r="187" spans="2:11" s="444" customFormat="1" x14ac:dyDescent="0.35">
      <c r="B187" s="445"/>
      <c r="C187" s="446"/>
      <c r="D187" s="447"/>
      <c r="E187" s="448"/>
      <c r="F187" s="449"/>
      <c r="G187" s="450"/>
      <c r="H187" s="418"/>
      <c r="J187" s="451"/>
      <c r="K187" s="452"/>
    </row>
    <row r="188" spans="2:11" s="444" customFormat="1" ht="51" x14ac:dyDescent="0.35">
      <c r="B188" s="445" t="s">
        <v>31</v>
      </c>
      <c r="C188" s="446" t="s">
        <v>568</v>
      </c>
      <c r="D188" s="447">
        <v>2</v>
      </c>
      <c r="E188" s="448" t="s">
        <v>113</v>
      </c>
      <c r="F188" s="449">
        <v>1033700</v>
      </c>
      <c r="G188" s="450">
        <f t="shared" si="12"/>
        <v>2067400</v>
      </c>
      <c r="H188" s="418"/>
      <c r="J188" s="451"/>
      <c r="K188" s="452"/>
    </row>
    <row r="189" spans="2:11" s="444" customFormat="1" ht="25.5" x14ac:dyDescent="0.35">
      <c r="B189" s="445" t="s">
        <v>32</v>
      </c>
      <c r="C189" s="446" t="s">
        <v>549</v>
      </c>
      <c r="D189" s="447">
        <v>12</v>
      </c>
      <c r="E189" s="448" t="s">
        <v>113</v>
      </c>
      <c r="F189" s="449">
        <v>2600</v>
      </c>
      <c r="G189" s="450">
        <f t="shared" si="12"/>
        <v>31200</v>
      </c>
      <c r="H189" s="418"/>
      <c r="J189" s="451"/>
      <c r="K189" s="452"/>
    </row>
    <row r="190" spans="2:11" s="444" customFormat="1" ht="25.5" x14ac:dyDescent="0.35">
      <c r="B190" s="445" t="s">
        <v>33</v>
      </c>
      <c r="C190" s="446" t="s">
        <v>550</v>
      </c>
      <c r="D190" s="447">
        <v>16</v>
      </c>
      <c r="E190" s="448" t="s">
        <v>113</v>
      </c>
      <c r="F190" s="449">
        <v>3900</v>
      </c>
      <c r="G190" s="450">
        <f t="shared" si="12"/>
        <v>62400</v>
      </c>
      <c r="H190" s="418"/>
      <c r="J190" s="451"/>
      <c r="K190" s="452"/>
    </row>
    <row r="191" spans="2:11" s="444" customFormat="1" ht="25.5" x14ac:dyDescent="0.35">
      <c r="B191" s="445" t="s">
        <v>34</v>
      </c>
      <c r="C191" s="446" t="s">
        <v>569</v>
      </c>
      <c r="D191" s="447">
        <v>25</v>
      </c>
      <c r="E191" s="448" t="s">
        <v>112</v>
      </c>
      <c r="F191" s="449">
        <v>11600</v>
      </c>
      <c r="G191" s="450">
        <f t="shared" si="12"/>
        <v>290000</v>
      </c>
      <c r="H191" s="418"/>
      <c r="J191" s="451"/>
      <c r="K191" s="452"/>
    </row>
    <row r="192" spans="2:11" s="444" customFormat="1" x14ac:dyDescent="0.35">
      <c r="B192" s="445" t="s">
        <v>35</v>
      </c>
      <c r="C192" s="446" t="s">
        <v>552</v>
      </c>
      <c r="D192" s="447">
        <v>24</v>
      </c>
      <c r="E192" s="448" t="s">
        <v>112</v>
      </c>
      <c r="F192" s="449">
        <v>82750</v>
      </c>
      <c r="G192" s="450">
        <f t="shared" si="12"/>
        <v>1986000</v>
      </c>
      <c r="H192" s="418"/>
      <c r="J192" s="451"/>
      <c r="K192" s="452"/>
    </row>
    <row r="193" spans="2:11" x14ac:dyDescent="0.35">
      <c r="B193" s="431"/>
      <c r="C193" s="437" t="s">
        <v>553</v>
      </c>
      <c r="D193" s="433"/>
      <c r="E193" s="434"/>
      <c r="F193" s="435"/>
      <c r="G193" s="450"/>
      <c r="J193" s="451"/>
      <c r="K193" s="452"/>
    </row>
    <row r="194" spans="2:11" s="444" customFormat="1" ht="25.5" x14ac:dyDescent="0.35">
      <c r="B194" s="445" t="s">
        <v>34</v>
      </c>
      <c r="C194" s="446" t="s">
        <v>554</v>
      </c>
      <c r="D194" s="447">
        <v>17</v>
      </c>
      <c r="E194" s="448" t="s">
        <v>113</v>
      </c>
      <c r="F194" s="449">
        <v>87500</v>
      </c>
      <c r="G194" s="450">
        <f t="shared" ref="G194:G208" si="13">F194*D194</f>
        <v>1487500</v>
      </c>
      <c r="H194" s="418"/>
      <c r="J194" s="451"/>
      <c r="K194" s="452"/>
    </row>
    <row r="195" spans="2:11" s="444" customFormat="1" ht="38.25" x14ac:dyDescent="0.35">
      <c r="B195" s="445" t="s">
        <v>35</v>
      </c>
      <c r="C195" s="446" t="s">
        <v>555</v>
      </c>
      <c r="D195" s="447">
        <v>7</v>
      </c>
      <c r="E195" s="448" t="s">
        <v>113</v>
      </c>
      <c r="F195" s="449">
        <v>134800</v>
      </c>
      <c r="G195" s="450">
        <f t="shared" si="13"/>
        <v>943600</v>
      </c>
      <c r="H195" s="418"/>
      <c r="J195" s="451"/>
      <c r="K195" s="452"/>
    </row>
    <row r="196" spans="2:11" s="444" customFormat="1" ht="51" x14ac:dyDescent="0.35">
      <c r="B196" s="445" t="s">
        <v>36</v>
      </c>
      <c r="C196" s="446" t="s">
        <v>556</v>
      </c>
      <c r="D196" s="447">
        <v>3</v>
      </c>
      <c r="E196" s="448" t="s">
        <v>113</v>
      </c>
      <c r="F196" s="449">
        <v>85100</v>
      </c>
      <c r="G196" s="450">
        <f t="shared" si="13"/>
        <v>255300</v>
      </c>
      <c r="H196" s="418"/>
      <c r="J196" s="451"/>
      <c r="K196" s="452"/>
    </row>
    <row r="197" spans="2:11" s="444" customFormat="1" ht="25.5" x14ac:dyDescent="0.35">
      <c r="B197" s="445" t="s">
        <v>114</v>
      </c>
      <c r="C197" s="446" t="s">
        <v>557</v>
      </c>
      <c r="D197" s="447">
        <v>0</v>
      </c>
      <c r="E197" s="448" t="s">
        <v>113</v>
      </c>
      <c r="F197" s="449">
        <v>80400</v>
      </c>
      <c r="G197" s="450">
        <f t="shared" si="13"/>
        <v>0</v>
      </c>
      <c r="H197" s="418"/>
      <c r="J197" s="451"/>
      <c r="K197" s="452"/>
    </row>
    <row r="198" spans="2:11" s="444" customFormat="1" ht="38.25" x14ac:dyDescent="0.35">
      <c r="B198" s="445" t="s">
        <v>39</v>
      </c>
      <c r="C198" s="446" t="s">
        <v>558</v>
      </c>
      <c r="D198" s="447">
        <v>0</v>
      </c>
      <c r="E198" s="448" t="s">
        <v>113</v>
      </c>
      <c r="F198" s="449">
        <v>106400</v>
      </c>
      <c r="G198" s="450">
        <f t="shared" si="13"/>
        <v>0</v>
      </c>
      <c r="H198" s="418"/>
      <c r="J198" s="451"/>
      <c r="K198" s="452"/>
    </row>
    <row r="199" spans="2:11" s="444" customFormat="1" ht="38.25" x14ac:dyDescent="0.35">
      <c r="B199" s="445" t="s">
        <v>40</v>
      </c>
      <c r="C199" s="446" t="s">
        <v>1078</v>
      </c>
      <c r="D199" s="447">
        <v>15</v>
      </c>
      <c r="E199" s="448" t="s">
        <v>113</v>
      </c>
      <c r="F199" s="449">
        <v>52500</v>
      </c>
      <c r="G199" s="450">
        <f t="shared" si="13"/>
        <v>787500</v>
      </c>
      <c r="H199" s="418"/>
      <c r="J199" s="451"/>
      <c r="K199" s="452"/>
    </row>
    <row r="200" spans="2:11" s="444" customFormat="1" ht="38.25" x14ac:dyDescent="0.35">
      <c r="B200" s="445" t="s">
        <v>40</v>
      </c>
      <c r="C200" s="446" t="s">
        <v>1079</v>
      </c>
      <c r="D200" s="447">
        <v>4</v>
      </c>
      <c r="E200" s="448" t="s">
        <v>113</v>
      </c>
      <c r="F200" s="449">
        <v>52500</v>
      </c>
      <c r="G200" s="450">
        <f t="shared" si="13"/>
        <v>210000</v>
      </c>
      <c r="H200" s="418"/>
      <c r="J200" s="451"/>
      <c r="K200" s="452"/>
    </row>
    <row r="201" spans="2:11" s="444" customFormat="1" ht="25.5" x14ac:dyDescent="0.35">
      <c r="B201" s="445" t="s">
        <v>15</v>
      </c>
      <c r="C201" s="446" t="s">
        <v>571</v>
      </c>
      <c r="D201" s="447">
        <v>46</v>
      </c>
      <c r="E201" s="448" t="s">
        <v>113</v>
      </c>
      <c r="F201" s="449">
        <v>302700</v>
      </c>
      <c r="G201" s="450">
        <f t="shared" si="13"/>
        <v>13924200</v>
      </c>
      <c r="H201" s="418"/>
      <c r="J201" s="451"/>
      <c r="K201" s="452"/>
    </row>
    <row r="202" spans="2:11" s="444" customFormat="1" ht="38.25" x14ac:dyDescent="0.35">
      <c r="B202" s="445" t="s">
        <v>16</v>
      </c>
      <c r="C202" s="446" t="s">
        <v>572</v>
      </c>
      <c r="D202" s="447">
        <v>13</v>
      </c>
      <c r="E202" s="448" t="s">
        <v>113</v>
      </c>
      <c r="F202" s="449">
        <v>397200</v>
      </c>
      <c r="G202" s="450">
        <f t="shared" si="13"/>
        <v>5163600</v>
      </c>
      <c r="H202" s="418"/>
      <c r="J202" s="451"/>
      <c r="K202" s="452"/>
    </row>
    <row r="203" spans="2:11" s="444" customFormat="1" ht="32.65" customHeight="1" x14ac:dyDescent="0.35">
      <c r="B203" s="445" t="s">
        <v>89</v>
      </c>
      <c r="C203" s="446" t="s">
        <v>1073</v>
      </c>
      <c r="D203" s="447">
        <v>11</v>
      </c>
      <c r="E203" s="448" t="s">
        <v>113</v>
      </c>
      <c r="F203" s="449">
        <v>124550</v>
      </c>
      <c r="G203" s="450">
        <f t="shared" si="13"/>
        <v>1370050</v>
      </c>
      <c r="H203" s="418"/>
      <c r="J203" s="451"/>
      <c r="K203" s="452"/>
    </row>
    <row r="204" spans="2:11" s="444" customFormat="1" ht="25.5" x14ac:dyDescent="0.35">
      <c r="B204" s="445" t="s">
        <v>17</v>
      </c>
      <c r="C204" s="446" t="s">
        <v>1074</v>
      </c>
      <c r="D204" s="447">
        <v>3</v>
      </c>
      <c r="E204" s="448" t="s">
        <v>113</v>
      </c>
      <c r="F204" s="449">
        <v>106400</v>
      </c>
      <c r="G204" s="450">
        <f t="shared" si="13"/>
        <v>319200</v>
      </c>
      <c r="H204" s="418"/>
      <c r="J204" s="451"/>
      <c r="K204" s="452"/>
    </row>
    <row r="205" spans="2:11" s="444" customFormat="1" ht="38.25" x14ac:dyDescent="0.35">
      <c r="B205" s="445" t="s">
        <v>90</v>
      </c>
      <c r="C205" s="446" t="s">
        <v>1075</v>
      </c>
      <c r="D205" s="447">
        <v>5</v>
      </c>
      <c r="E205" s="448" t="s">
        <v>113</v>
      </c>
      <c r="F205" s="449">
        <v>147500</v>
      </c>
      <c r="G205" s="450">
        <f t="shared" si="13"/>
        <v>737500</v>
      </c>
      <c r="H205" s="418"/>
      <c r="J205" s="451"/>
      <c r="K205" s="452"/>
    </row>
    <row r="206" spans="2:11" s="444" customFormat="1" ht="38.25" x14ac:dyDescent="0.35">
      <c r="B206" s="445" t="s">
        <v>40</v>
      </c>
      <c r="C206" s="446" t="s">
        <v>1080</v>
      </c>
      <c r="D206" s="447">
        <v>2</v>
      </c>
      <c r="E206" s="448" t="s">
        <v>113</v>
      </c>
      <c r="F206" s="449">
        <v>52500</v>
      </c>
      <c r="G206" s="450">
        <f t="shared" ref="G206" si="14">F206*D206</f>
        <v>105000</v>
      </c>
      <c r="H206" s="418"/>
      <c r="J206" s="451"/>
      <c r="K206" s="452"/>
    </row>
    <row r="207" spans="2:11" s="444" customFormat="1" ht="38.25" x14ac:dyDescent="0.35">
      <c r="B207" s="445" t="s">
        <v>88</v>
      </c>
      <c r="C207" s="446" t="s">
        <v>1076</v>
      </c>
      <c r="D207" s="447">
        <v>0</v>
      </c>
      <c r="E207" s="448" t="s">
        <v>113</v>
      </c>
      <c r="F207" s="449">
        <v>106400</v>
      </c>
      <c r="G207" s="450">
        <f t="shared" si="13"/>
        <v>0</v>
      </c>
      <c r="H207" s="418"/>
      <c r="J207" s="451"/>
      <c r="K207" s="452"/>
    </row>
    <row r="208" spans="2:11" s="444" customFormat="1" ht="38.25" x14ac:dyDescent="0.35">
      <c r="B208" s="445" t="s">
        <v>251</v>
      </c>
      <c r="C208" s="446" t="s">
        <v>1077</v>
      </c>
      <c r="D208" s="447">
        <v>0</v>
      </c>
      <c r="E208" s="448" t="s">
        <v>113</v>
      </c>
      <c r="F208" s="449">
        <v>147500</v>
      </c>
      <c r="G208" s="450">
        <f t="shared" si="13"/>
        <v>0</v>
      </c>
      <c r="H208" s="418"/>
      <c r="J208" s="451"/>
      <c r="K208" s="452"/>
    </row>
    <row r="209" spans="2:11" x14ac:dyDescent="0.35">
      <c r="B209" s="431"/>
      <c r="C209" s="437" t="s">
        <v>559</v>
      </c>
      <c r="D209" s="433"/>
      <c r="E209" s="434"/>
      <c r="F209" s="435"/>
      <c r="G209" s="450"/>
      <c r="J209" s="451"/>
      <c r="K209" s="452"/>
    </row>
    <row r="210" spans="2:11" s="444" customFormat="1" ht="25.5" x14ac:dyDescent="0.35">
      <c r="B210" s="445" t="s">
        <v>33</v>
      </c>
      <c r="C210" s="446" t="s">
        <v>560</v>
      </c>
      <c r="D210" s="447">
        <v>20</v>
      </c>
      <c r="E210" s="448" t="s">
        <v>113</v>
      </c>
      <c r="F210" s="449">
        <v>13200</v>
      </c>
      <c r="G210" s="450">
        <f t="shared" si="12"/>
        <v>264000</v>
      </c>
      <c r="H210" s="418"/>
      <c r="J210" s="451"/>
      <c r="K210" s="452"/>
    </row>
    <row r="211" spans="2:11" s="444" customFormat="1" ht="25.5" x14ac:dyDescent="0.35">
      <c r="B211" s="445" t="s">
        <v>34</v>
      </c>
      <c r="C211" s="446" t="s">
        <v>573</v>
      </c>
      <c r="D211" s="447">
        <v>10</v>
      </c>
      <c r="E211" s="448" t="s">
        <v>113</v>
      </c>
      <c r="F211" s="449">
        <v>16550</v>
      </c>
      <c r="G211" s="450">
        <f t="shared" si="12"/>
        <v>165500</v>
      </c>
      <c r="H211" s="418"/>
      <c r="J211" s="451"/>
      <c r="K211" s="452"/>
    </row>
    <row r="212" spans="2:11" s="444" customFormat="1" ht="25.5" x14ac:dyDescent="0.35">
      <c r="B212" s="445" t="s">
        <v>35</v>
      </c>
      <c r="C212" s="446" t="s">
        <v>574</v>
      </c>
      <c r="D212" s="447">
        <v>12</v>
      </c>
      <c r="E212" s="448" t="s">
        <v>113</v>
      </c>
      <c r="F212" s="449">
        <v>26400</v>
      </c>
      <c r="G212" s="450">
        <f t="shared" si="12"/>
        <v>316800</v>
      </c>
      <c r="H212" s="418"/>
      <c r="J212" s="451"/>
      <c r="K212" s="452"/>
    </row>
    <row r="213" spans="2:11" s="444" customFormat="1" ht="25.5" x14ac:dyDescent="0.35">
      <c r="B213" s="445" t="s">
        <v>36</v>
      </c>
      <c r="C213" s="446" t="s">
        <v>575</v>
      </c>
      <c r="D213" s="447">
        <v>2</v>
      </c>
      <c r="E213" s="448" t="s">
        <v>113</v>
      </c>
      <c r="F213" s="449">
        <v>29700</v>
      </c>
      <c r="G213" s="450">
        <f t="shared" si="12"/>
        <v>59400</v>
      </c>
      <c r="H213" s="418"/>
      <c r="J213" s="451"/>
      <c r="K213" s="452"/>
    </row>
    <row r="214" spans="2:11" s="444" customFormat="1" ht="25.5" x14ac:dyDescent="0.35">
      <c r="B214" s="445" t="s">
        <v>114</v>
      </c>
      <c r="C214" s="446" t="s">
        <v>576</v>
      </c>
      <c r="D214" s="447">
        <v>3</v>
      </c>
      <c r="E214" s="448" t="s">
        <v>113</v>
      </c>
      <c r="F214" s="449">
        <v>49650</v>
      </c>
      <c r="G214" s="450">
        <f t="shared" si="12"/>
        <v>148950</v>
      </c>
      <c r="H214" s="418"/>
      <c r="J214" s="451"/>
      <c r="K214" s="452"/>
    </row>
    <row r="215" spans="2:11" x14ac:dyDescent="0.35">
      <c r="B215" s="431"/>
      <c r="C215" s="437" t="s">
        <v>563</v>
      </c>
      <c r="D215" s="433"/>
      <c r="E215" s="434"/>
      <c r="F215" s="435"/>
      <c r="G215" s="450"/>
      <c r="J215" s="451"/>
      <c r="K215" s="452"/>
    </row>
    <row r="216" spans="2:11" s="444" customFormat="1" ht="25.5" x14ac:dyDescent="0.35">
      <c r="B216" s="445" t="s">
        <v>39</v>
      </c>
      <c r="C216" s="446" t="s">
        <v>583</v>
      </c>
      <c r="D216" s="447">
        <v>44</v>
      </c>
      <c r="E216" s="448" t="s">
        <v>113</v>
      </c>
      <c r="F216" s="449">
        <v>33100</v>
      </c>
      <c r="G216" s="450">
        <f t="shared" si="12"/>
        <v>1456400</v>
      </c>
      <c r="H216" s="418"/>
      <c r="J216" s="451"/>
      <c r="K216" s="452"/>
    </row>
    <row r="217" spans="2:11" s="444" customFormat="1" ht="25.5" x14ac:dyDescent="0.35">
      <c r="B217" s="445" t="s">
        <v>40</v>
      </c>
      <c r="C217" s="446" t="s">
        <v>584</v>
      </c>
      <c r="D217" s="447">
        <v>8</v>
      </c>
      <c r="E217" s="448" t="s">
        <v>113</v>
      </c>
      <c r="F217" s="449">
        <v>49650</v>
      </c>
      <c r="G217" s="450">
        <f t="shared" si="12"/>
        <v>397200</v>
      </c>
      <c r="H217" s="418"/>
      <c r="J217" s="451"/>
      <c r="K217" s="452"/>
    </row>
    <row r="218" spans="2:11" s="444" customFormat="1" ht="25.5" x14ac:dyDescent="0.35">
      <c r="B218" s="445" t="s">
        <v>15</v>
      </c>
      <c r="C218" s="446" t="s">
        <v>578</v>
      </c>
      <c r="D218" s="447">
        <v>5</v>
      </c>
      <c r="E218" s="448" t="s">
        <v>113</v>
      </c>
      <c r="F218" s="449">
        <v>794500</v>
      </c>
      <c r="G218" s="450">
        <f t="shared" si="12"/>
        <v>3972500</v>
      </c>
      <c r="H218" s="418"/>
      <c r="J218" s="451"/>
      <c r="K218" s="452"/>
    </row>
    <row r="219" spans="2:11" s="444" customFormat="1" ht="25.5" x14ac:dyDescent="0.35">
      <c r="B219" s="445" t="s">
        <v>16</v>
      </c>
      <c r="C219" s="446" t="s">
        <v>936</v>
      </c>
      <c r="D219" s="447">
        <v>12</v>
      </c>
      <c r="E219" s="448" t="s">
        <v>113</v>
      </c>
      <c r="F219" s="449">
        <v>132400</v>
      </c>
      <c r="G219" s="450">
        <f t="shared" si="12"/>
        <v>1588800</v>
      </c>
      <c r="H219" s="418"/>
      <c r="J219" s="451"/>
      <c r="K219" s="452"/>
    </row>
    <row r="220" spans="2:11" ht="22.05" customHeight="1" x14ac:dyDescent="0.35">
      <c r="B220" s="431"/>
      <c r="C220" s="437" t="s">
        <v>579</v>
      </c>
      <c r="D220" s="433"/>
      <c r="E220" s="434"/>
      <c r="F220" s="435"/>
      <c r="G220" s="450"/>
      <c r="J220" s="451"/>
      <c r="K220" s="452"/>
    </row>
    <row r="221" spans="2:11" s="444" customFormat="1" ht="25.5" x14ac:dyDescent="0.35">
      <c r="B221" s="445" t="s">
        <v>89</v>
      </c>
      <c r="C221" s="446" t="s">
        <v>580</v>
      </c>
      <c r="D221" s="447">
        <v>150</v>
      </c>
      <c r="E221" s="448" t="s">
        <v>112</v>
      </c>
      <c r="F221" s="449">
        <v>112400</v>
      </c>
      <c r="G221" s="450">
        <f t="shared" si="12"/>
        <v>16860000</v>
      </c>
      <c r="H221" s="418"/>
      <c r="J221" s="451"/>
      <c r="K221" s="452"/>
    </row>
    <row r="222" spans="2:11" ht="22.05" customHeight="1" x14ac:dyDescent="0.35">
      <c r="B222" s="431"/>
      <c r="C222" s="437" t="s">
        <v>581</v>
      </c>
      <c r="D222" s="433"/>
      <c r="E222" s="434"/>
      <c r="F222" s="435"/>
      <c r="G222" s="450"/>
      <c r="J222" s="451"/>
      <c r="K222" s="452"/>
    </row>
    <row r="223" spans="2:11" s="444" customFormat="1" ht="25.5" x14ac:dyDescent="0.35">
      <c r="B223" s="445" t="s">
        <v>17</v>
      </c>
      <c r="C223" s="446" t="s">
        <v>582</v>
      </c>
      <c r="D223" s="447">
        <v>1</v>
      </c>
      <c r="E223" s="448" t="s">
        <v>113</v>
      </c>
      <c r="F223" s="449">
        <v>662100</v>
      </c>
      <c r="G223" s="450">
        <f t="shared" si="12"/>
        <v>662100</v>
      </c>
      <c r="H223" s="418"/>
      <c r="J223" s="451"/>
      <c r="K223" s="452"/>
    </row>
    <row r="224" spans="2:11" ht="22.05" customHeight="1" x14ac:dyDescent="0.35">
      <c r="B224" s="431"/>
      <c r="C224" s="437" t="s">
        <v>565</v>
      </c>
      <c r="D224" s="433"/>
      <c r="E224" s="434"/>
      <c r="F224" s="435"/>
      <c r="G224" s="450"/>
      <c r="J224" s="451"/>
      <c r="K224" s="452"/>
    </row>
    <row r="225" spans="2:11" s="444" customFormat="1" ht="22.9" customHeight="1" x14ac:dyDescent="0.35">
      <c r="B225" s="445" t="s">
        <v>90</v>
      </c>
      <c r="C225" s="446" t="s">
        <v>566</v>
      </c>
      <c r="D225" s="447">
        <v>1</v>
      </c>
      <c r="E225" s="448" t="s">
        <v>113</v>
      </c>
      <c r="F225" s="449">
        <v>2675600</v>
      </c>
      <c r="G225" s="450">
        <f t="shared" si="12"/>
        <v>2675600</v>
      </c>
      <c r="H225" s="418"/>
      <c r="J225" s="451"/>
      <c r="K225" s="452"/>
    </row>
    <row r="226" spans="2:11" s="444" customFormat="1" ht="20.75" customHeight="1" x14ac:dyDescent="0.35">
      <c r="B226" s="445"/>
      <c r="C226" s="446"/>
      <c r="D226" s="447"/>
      <c r="E226" s="448"/>
      <c r="F226" s="449"/>
      <c r="G226" s="450"/>
      <c r="H226" s="418"/>
      <c r="J226" s="451"/>
      <c r="K226" s="452"/>
    </row>
    <row r="227" spans="2:11" s="444" customFormat="1" ht="20.75" customHeight="1" x14ac:dyDescent="0.35">
      <c r="B227" s="445"/>
      <c r="C227" s="446"/>
      <c r="D227" s="447"/>
      <c r="E227" s="448"/>
      <c r="F227" s="449"/>
      <c r="G227" s="450"/>
      <c r="H227" s="418"/>
      <c r="J227" s="451"/>
      <c r="K227" s="452"/>
    </row>
    <row r="228" spans="2:11" s="444" customFormat="1" ht="20.75" customHeight="1" x14ac:dyDescent="0.35">
      <c r="B228" s="445"/>
      <c r="C228" s="446"/>
      <c r="D228" s="447"/>
      <c r="E228" s="448"/>
      <c r="F228" s="449"/>
      <c r="G228" s="450"/>
      <c r="H228" s="418"/>
      <c r="J228" s="451"/>
      <c r="K228" s="452"/>
    </row>
    <row r="229" spans="2:11" s="444" customFormat="1" ht="20.75" customHeight="1" x14ac:dyDescent="0.35">
      <c r="B229" s="445"/>
      <c r="C229" s="446"/>
      <c r="D229" s="447"/>
      <c r="E229" s="448"/>
      <c r="F229" s="449"/>
      <c r="G229" s="450"/>
      <c r="H229" s="418"/>
      <c r="J229" s="451"/>
      <c r="K229" s="452"/>
    </row>
    <row r="230" spans="2:11" s="444" customFormat="1" ht="20.75" customHeight="1" x14ac:dyDescent="0.35">
      <c r="B230" s="445"/>
      <c r="C230" s="446"/>
      <c r="D230" s="447"/>
      <c r="E230" s="448"/>
      <c r="F230" s="449"/>
      <c r="G230" s="450"/>
      <c r="H230" s="418"/>
      <c r="J230" s="451"/>
      <c r="K230" s="452"/>
    </row>
    <row r="231" spans="2:11" s="444" customFormat="1" ht="20.75" customHeight="1" x14ac:dyDescent="0.35">
      <c r="B231" s="445"/>
      <c r="C231" s="446"/>
      <c r="D231" s="447"/>
      <c r="E231" s="448"/>
      <c r="F231" s="449"/>
      <c r="G231" s="450"/>
      <c r="H231" s="418"/>
      <c r="J231" s="451"/>
      <c r="K231" s="452"/>
    </row>
    <row r="232" spans="2:11" s="444" customFormat="1" ht="20.75" customHeight="1" thickBot="1" x14ac:dyDescent="0.4">
      <c r="B232" s="445"/>
      <c r="C232" s="453" t="s">
        <v>55</v>
      </c>
      <c r="D232" s="447"/>
      <c r="E232" s="448"/>
      <c r="F232" s="454"/>
      <c r="G232" s="455">
        <f>SUM(G173:G226)</f>
        <v>94398800</v>
      </c>
      <c r="H232" s="418"/>
      <c r="J232" s="451"/>
      <c r="K232" s="452"/>
    </row>
    <row r="233" spans="2:11" s="456" customFormat="1" ht="20.75" customHeight="1" thickTop="1" x14ac:dyDescent="0.35">
      <c r="B233" s="457"/>
      <c r="C233" s="458" t="s">
        <v>1089</v>
      </c>
      <c r="D233" s="459"/>
      <c r="E233" s="459"/>
      <c r="F233" s="460"/>
      <c r="G233" s="461"/>
      <c r="H233" s="418"/>
      <c r="J233" s="451"/>
      <c r="K233" s="452"/>
    </row>
    <row r="234" spans="2:11" ht="22.25" customHeight="1" x14ac:dyDescent="0.35">
      <c r="B234" s="431"/>
      <c r="C234" s="432" t="str">
        <f>C169</f>
        <v>BILL NO.4</v>
      </c>
      <c r="D234" s="433"/>
      <c r="E234" s="434"/>
      <c r="F234" s="435"/>
      <c r="G234" s="436"/>
    </row>
    <row r="235" spans="2:11" ht="22.25" customHeight="1" x14ac:dyDescent="0.35">
      <c r="B235" s="431"/>
      <c r="C235" s="432" t="str">
        <f>C170</f>
        <v>ELECTRICAL INSTALLATIONS</v>
      </c>
      <c r="D235" s="433"/>
      <c r="E235" s="434"/>
      <c r="F235" s="435"/>
      <c r="G235" s="436"/>
    </row>
    <row r="236" spans="2:11" ht="22.25" customHeight="1" x14ac:dyDescent="0.35">
      <c r="B236" s="431"/>
      <c r="C236" s="432" t="s">
        <v>1082</v>
      </c>
      <c r="D236" s="433"/>
      <c r="E236" s="434"/>
      <c r="F236" s="435"/>
      <c r="G236" s="436"/>
    </row>
    <row r="237" spans="2:11" ht="15.4" customHeight="1" x14ac:dyDescent="0.35">
      <c r="B237" s="431"/>
      <c r="C237" s="432" t="s">
        <v>540</v>
      </c>
      <c r="D237" s="433"/>
      <c r="E237" s="434"/>
      <c r="F237" s="435"/>
      <c r="G237" s="436"/>
    </row>
    <row r="238" spans="2:11" s="444" customFormat="1" ht="63" customHeight="1" x14ac:dyDescent="0.35">
      <c r="B238" s="445" t="s">
        <v>31</v>
      </c>
      <c r="C238" s="446" t="s">
        <v>1014</v>
      </c>
      <c r="D238" s="447">
        <v>87</v>
      </c>
      <c r="E238" s="448" t="s">
        <v>113</v>
      </c>
      <c r="F238" s="449">
        <v>139050</v>
      </c>
      <c r="G238" s="450">
        <f>F238*D238</f>
        <v>12097350</v>
      </c>
      <c r="H238" s="418"/>
      <c r="J238" s="451"/>
      <c r="K238" s="452"/>
    </row>
    <row r="239" spans="2:11" s="444" customFormat="1" ht="38.25" x14ac:dyDescent="0.35">
      <c r="B239" s="445" t="s">
        <v>32</v>
      </c>
      <c r="C239" s="446" t="s">
        <v>929</v>
      </c>
      <c r="D239" s="447">
        <v>43</v>
      </c>
      <c r="E239" s="448" t="s">
        <v>113</v>
      </c>
      <c r="F239" s="449">
        <v>115800</v>
      </c>
      <c r="G239" s="450">
        <f t="shared" ref="G239:G290" si="15">F239*D239</f>
        <v>4979400</v>
      </c>
      <c r="H239" s="418"/>
      <c r="J239" s="451"/>
      <c r="K239" s="452"/>
    </row>
    <row r="240" spans="2:11" s="444" customFormat="1" ht="25.5" x14ac:dyDescent="0.35">
      <c r="B240" s="445" t="s">
        <v>33</v>
      </c>
      <c r="C240" s="446" t="s">
        <v>932</v>
      </c>
      <c r="D240" s="447">
        <v>12</v>
      </c>
      <c r="E240" s="448" t="s">
        <v>113</v>
      </c>
      <c r="F240" s="449">
        <v>115800</v>
      </c>
      <c r="G240" s="450">
        <f t="shared" si="15"/>
        <v>1389600</v>
      </c>
      <c r="H240" s="418"/>
      <c r="J240" s="451"/>
      <c r="K240" s="452"/>
    </row>
    <row r="241" spans="2:11" s="444" customFormat="1" ht="25.5" x14ac:dyDescent="0.35">
      <c r="B241" s="445" t="s">
        <v>34</v>
      </c>
      <c r="C241" s="446" t="s">
        <v>1020</v>
      </c>
      <c r="D241" s="447">
        <v>2</v>
      </c>
      <c r="E241" s="448" t="s">
        <v>113</v>
      </c>
      <c r="F241" s="449">
        <v>26400</v>
      </c>
      <c r="G241" s="450">
        <f t="shared" si="15"/>
        <v>52800</v>
      </c>
      <c r="H241" s="418"/>
      <c r="J241" s="451"/>
      <c r="K241" s="452"/>
    </row>
    <row r="242" spans="2:11" s="444" customFormat="1" ht="25.5" x14ac:dyDescent="0.35">
      <c r="B242" s="445" t="s">
        <v>35</v>
      </c>
      <c r="C242" s="446" t="s">
        <v>1019</v>
      </c>
      <c r="D242" s="447">
        <v>18</v>
      </c>
      <c r="E242" s="448" t="s">
        <v>113</v>
      </c>
      <c r="F242" s="449">
        <v>26400</v>
      </c>
      <c r="G242" s="450">
        <f t="shared" si="15"/>
        <v>475200</v>
      </c>
      <c r="H242" s="418"/>
      <c r="J242" s="451"/>
      <c r="K242" s="452"/>
    </row>
    <row r="243" spans="2:11" s="444" customFormat="1" ht="25.5" x14ac:dyDescent="0.35">
      <c r="B243" s="445" t="s">
        <v>36</v>
      </c>
      <c r="C243" s="446" t="s">
        <v>545</v>
      </c>
      <c r="D243" s="447">
        <v>12</v>
      </c>
      <c r="E243" s="448" t="s">
        <v>113</v>
      </c>
      <c r="F243" s="449">
        <v>26400</v>
      </c>
      <c r="G243" s="450">
        <f t="shared" si="15"/>
        <v>316800</v>
      </c>
      <c r="H243" s="418"/>
      <c r="J243" s="451"/>
      <c r="K243" s="452"/>
    </row>
    <row r="244" spans="2:11" s="444" customFormat="1" ht="25.5" x14ac:dyDescent="0.35">
      <c r="B244" s="445" t="s">
        <v>114</v>
      </c>
      <c r="C244" s="446" t="s">
        <v>546</v>
      </c>
      <c r="D244" s="447">
        <v>5</v>
      </c>
      <c r="E244" s="448" t="s">
        <v>113</v>
      </c>
      <c r="F244" s="449">
        <v>26400</v>
      </c>
      <c r="G244" s="450">
        <f t="shared" si="15"/>
        <v>132000</v>
      </c>
      <c r="H244" s="418"/>
      <c r="J244" s="451"/>
      <c r="K244" s="452"/>
    </row>
    <row r="245" spans="2:11" s="444" customFormat="1" ht="25.5" x14ac:dyDescent="0.35">
      <c r="B245" s="445" t="s">
        <v>39</v>
      </c>
      <c r="C245" s="446" t="s">
        <v>547</v>
      </c>
      <c r="D245" s="447">
        <v>6</v>
      </c>
      <c r="E245" s="448" t="s">
        <v>113</v>
      </c>
      <c r="F245" s="449">
        <v>26400</v>
      </c>
      <c r="G245" s="450">
        <f t="shared" si="15"/>
        <v>158400</v>
      </c>
      <c r="H245" s="418"/>
      <c r="J245" s="451"/>
      <c r="K245" s="452"/>
    </row>
    <row r="246" spans="2:11" s="444" customFormat="1" ht="25.5" x14ac:dyDescent="0.35">
      <c r="B246" s="445" t="s">
        <v>40</v>
      </c>
      <c r="C246" s="446" t="s">
        <v>930</v>
      </c>
      <c r="D246" s="447">
        <v>4</v>
      </c>
      <c r="E246" s="448" t="s">
        <v>113</v>
      </c>
      <c r="F246" s="449">
        <v>115800</v>
      </c>
      <c r="G246" s="450">
        <f t="shared" si="15"/>
        <v>463200</v>
      </c>
      <c r="H246" s="418"/>
      <c r="J246" s="451"/>
      <c r="K246" s="452"/>
    </row>
    <row r="247" spans="2:11" s="444" customFormat="1" ht="38.25" x14ac:dyDescent="0.35">
      <c r="B247" s="445" t="s">
        <v>15</v>
      </c>
      <c r="C247" s="446" t="s">
        <v>940</v>
      </c>
      <c r="D247" s="447">
        <v>15</v>
      </c>
      <c r="E247" s="448" t="s">
        <v>112</v>
      </c>
      <c r="F247" s="449">
        <v>82700</v>
      </c>
      <c r="G247" s="450">
        <f t="shared" si="15"/>
        <v>1240500</v>
      </c>
      <c r="H247" s="418"/>
      <c r="J247" s="451"/>
      <c r="K247" s="452"/>
    </row>
    <row r="248" spans="2:11" s="444" customFormat="1" ht="38.25" x14ac:dyDescent="0.35">
      <c r="B248" s="445" t="s">
        <v>16</v>
      </c>
      <c r="C248" s="446" t="s">
        <v>941</v>
      </c>
      <c r="D248" s="447">
        <v>25</v>
      </c>
      <c r="E248" s="448" t="s">
        <v>112</v>
      </c>
      <c r="F248" s="449">
        <v>82700</v>
      </c>
      <c r="G248" s="450">
        <f t="shared" si="15"/>
        <v>2067500</v>
      </c>
      <c r="H248" s="418"/>
      <c r="J248" s="451"/>
      <c r="K248" s="452"/>
    </row>
    <row r="249" spans="2:11" s="444" customFormat="1" ht="38.25" x14ac:dyDescent="0.35">
      <c r="B249" s="445" t="s">
        <v>89</v>
      </c>
      <c r="C249" s="446" t="s">
        <v>942</v>
      </c>
      <c r="D249" s="447">
        <v>15</v>
      </c>
      <c r="E249" s="448" t="s">
        <v>112</v>
      </c>
      <c r="F249" s="449">
        <v>82700</v>
      </c>
      <c r="G249" s="450">
        <f t="shared" si="15"/>
        <v>1240500</v>
      </c>
      <c r="H249" s="418"/>
      <c r="J249" s="451"/>
      <c r="K249" s="452"/>
    </row>
    <row r="250" spans="2:11" s="444" customFormat="1" ht="51" x14ac:dyDescent="0.35">
      <c r="B250" s="445" t="s">
        <v>17</v>
      </c>
      <c r="C250" s="446" t="s">
        <v>567</v>
      </c>
      <c r="D250" s="447">
        <v>3</v>
      </c>
      <c r="E250" s="448" t="s">
        <v>113</v>
      </c>
      <c r="F250" s="449">
        <v>1979700</v>
      </c>
      <c r="G250" s="450">
        <f t="shared" si="15"/>
        <v>5939100</v>
      </c>
      <c r="H250" s="418"/>
      <c r="J250" s="451"/>
      <c r="K250" s="452"/>
    </row>
    <row r="251" spans="2:11" s="444" customFormat="1" x14ac:dyDescent="0.35">
      <c r="B251" s="445"/>
      <c r="C251" s="446"/>
      <c r="D251" s="447"/>
      <c r="E251" s="448"/>
      <c r="F251" s="449"/>
      <c r="G251" s="450"/>
      <c r="H251" s="418"/>
      <c r="J251" s="451"/>
      <c r="K251" s="452"/>
    </row>
    <row r="252" spans="2:11" s="444" customFormat="1" x14ac:dyDescent="0.35">
      <c r="B252" s="445"/>
      <c r="C252" s="446"/>
      <c r="D252" s="447"/>
      <c r="E252" s="448"/>
      <c r="F252" s="449"/>
      <c r="G252" s="450"/>
      <c r="H252" s="418"/>
      <c r="J252" s="451"/>
      <c r="K252" s="452"/>
    </row>
    <row r="253" spans="2:11" s="444" customFormat="1" ht="51" x14ac:dyDescent="0.35">
      <c r="B253" s="445" t="s">
        <v>31</v>
      </c>
      <c r="C253" s="446" t="s">
        <v>568</v>
      </c>
      <c r="D253" s="447">
        <v>2</v>
      </c>
      <c r="E253" s="448" t="s">
        <v>113</v>
      </c>
      <c r="F253" s="449">
        <v>1033700</v>
      </c>
      <c r="G253" s="450">
        <f t="shared" si="15"/>
        <v>2067400</v>
      </c>
      <c r="H253" s="418"/>
      <c r="J253" s="451"/>
      <c r="K253" s="452"/>
    </row>
    <row r="254" spans="2:11" s="444" customFormat="1" ht="25.5" x14ac:dyDescent="0.35">
      <c r="B254" s="445" t="s">
        <v>32</v>
      </c>
      <c r="C254" s="446" t="s">
        <v>549</v>
      </c>
      <c r="D254" s="447">
        <v>12</v>
      </c>
      <c r="E254" s="448" t="s">
        <v>113</v>
      </c>
      <c r="F254" s="449">
        <v>2600</v>
      </c>
      <c r="G254" s="450">
        <f t="shared" si="15"/>
        <v>31200</v>
      </c>
      <c r="H254" s="418"/>
      <c r="J254" s="451"/>
      <c r="K254" s="452"/>
    </row>
    <row r="255" spans="2:11" s="444" customFormat="1" ht="25.5" x14ac:dyDescent="0.35">
      <c r="B255" s="445" t="s">
        <v>33</v>
      </c>
      <c r="C255" s="446" t="s">
        <v>550</v>
      </c>
      <c r="D255" s="447">
        <v>16</v>
      </c>
      <c r="E255" s="448" t="s">
        <v>113</v>
      </c>
      <c r="F255" s="449">
        <v>3900</v>
      </c>
      <c r="G255" s="450">
        <f t="shared" si="15"/>
        <v>62400</v>
      </c>
      <c r="H255" s="418"/>
      <c r="J255" s="451"/>
      <c r="K255" s="452"/>
    </row>
    <row r="256" spans="2:11" s="444" customFormat="1" ht="25.5" x14ac:dyDescent="0.35">
      <c r="B256" s="445" t="s">
        <v>34</v>
      </c>
      <c r="C256" s="446" t="s">
        <v>569</v>
      </c>
      <c r="D256" s="447">
        <v>25</v>
      </c>
      <c r="E256" s="448" t="s">
        <v>112</v>
      </c>
      <c r="F256" s="449">
        <v>11600</v>
      </c>
      <c r="G256" s="450">
        <f t="shared" si="15"/>
        <v>290000</v>
      </c>
      <c r="H256" s="418"/>
      <c r="J256" s="451"/>
      <c r="K256" s="452"/>
    </row>
    <row r="257" spans="2:11" s="444" customFormat="1" x14ac:dyDescent="0.35">
      <c r="B257" s="445" t="s">
        <v>35</v>
      </c>
      <c r="C257" s="446" t="s">
        <v>552</v>
      </c>
      <c r="D257" s="447">
        <v>24</v>
      </c>
      <c r="E257" s="448" t="s">
        <v>112</v>
      </c>
      <c r="F257" s="449">
        <v>82750</v>
      </c>
      <c r="G257" s="450">
        <f t="shared" si="15"/>
        <v>1986000</v>
      </c>
      <c r="H257" s="418"/>
      <c r="J257" s="451"/>
      <c r="K257" s="452"/>
    </row>
    <row r="258" spans="2:11" x14ac:dyDescent="0.35">
      <c r="B258" s="431"/>
      <c r="C258" s="437" t="s">
        <v>553</v>
      </c>
      <c r="D258" s="433"/>
      <c r="E258" s="434"/>
      <c r="F258" s="435"/>
      <c r="G258" s="450"/>
      <c r="J258" s="451"/>
      <c r="K258" s="452"/>
    </row>
    <row r="259" spans="2:11" s="444" customFormat="1" ht="25.5" x14ac:dyDescent="0.35">
      <c r="B259" s="445" t="s">
        <v>34</v>
      </c>
      <c r="C259" s="446" t="s">
        <v>554</v>
      </c>
      <c r="D259" s="447">
        <v>17</v>
      </c>
      <c r="E259" s="448" t="s">
        <v>113</v>
      </c>
      <c r="F259" s="449">
        <v>87500</v>
      </c>
      <c r="G259" s="450">
        <f t="shared" ref="G259:G273" si="16">F259*D259</f>
        <v>1487500</v>
      </c>
      <c r="H259" s="418"/>
      <c r="J259" s="451"/>
      <c r="K259" s="452"/>
    </row>
    <row r="260" spans="2:11" s="444" customFormat="1" ht="38.25" x14ac:dyDescent="0.35">
      <c r="B260" s="445" t="s">
        <v>35</v>
      </c>
      <c r="C260" s="446" t="s">
        <v>555</v>
      </c>
      <c r="D260" s="447">
        <v>7</v>
      </c>
      <c r="E260" s="448" t="s">
        <v>113</v>
      </c>
      <c r="F260" s="449">
        <v>134800</v>
      </c>
      <c r="G260" s="450">
        <f t="shared" si="16"/>
        <v>943600</v>
      </c>
      <c r="H260" s="418"/>
      <c r="J260" s="451"/>
      <c r="K260" s="452"/>
    </row>
    <row r="261" spans="2:11" s="444" customFormat="1" ht="51" x14ac:dyDescent="0.35">
      <c r="B261" s="445" t="s">
        <v>36</v>
      </c>
      <c r="C261" s="446" t="s">
        <v>556</v>
      </c>
      <c r="D261" s="447">
        <v>2</v>
      </c>
      <c r="E261" s="448" t="s">
        <v>113</v>
      </c>
      <c r="F261" s="449">
        <v>85100</v>
      </c>
      <c r="G261" s="450">
        <f t="shared" si="16"/>
        <v>170200</v>
      </c>
      <c r="H261" s="418"/>
      <c r="J261" s="451"/>
      <c r="K261" s="452"/>
    </row>
    <row r="262" spans="2:11" s="444" customFormat="1" ht="25.5" x14ac:dyDescent="0.35">
      <c r="B262" s="445" t="s">
        <v>114</v>
      </c>
      <c r="C262" s="446" t="s">
        <v>557</v>
      </c>
      <c r="D262" s="447">
        <v>0</v>
      </c>
      <c r="E262" s="448" t="s">
        <v>113</v>
      </c>
      <c r="F262" s="449">
        <v>80400</v>
      </c>
      <c r="G262" s="450">
        <f t="shared" si="16"/>
        <v>0</v>
      </c>
      <c r="H262" s="418"/>
      <c r="J262" s="451"/>
      <c r="K262" s="452"/>
    </row>
    <row r="263" spans="2:11" s="444" customFormat="1" ht="38.25" x14ac:dyDescent="0.35">
      <c r="B263" s="445" t="s">
        <v>39</v>
      </c>
      <c r="C263" s="446" t="s">
        <v>558</v>
      </c>
      <c r="D263" s="447">
        <v>0</v>
      </c>
      <c r="E263" s="448" t="s">
        <v>113</v>
      </c>
      <c r="F263" s="449">
        <v>106400</v>
      </c>
      <c r="G263" s="450">
        <f t="shared" si="16"/>
        <v>0</v>
      </c>
      <c r="H263" s="418"/>
      <c r="J263" s="451"/>
      <c r="K263" s="452"/>
    </row>
    <row r="264" spans="2:11" s="444" customFormat="1" ht="38.25" x14ac:dyDescent="0.35">
      <c r="B264" s="445" t="s">
        <v>40</v>
      </c>
      <c r="C264" s="446" t="s">
        <v>1078</v>
      </c>
      <c r="D264" s="447">
        <v>16</v>
      </c>
      <c r="E264" s="448" t="s">
        <v>113</v>
      </c>
      <c r="F264" s="449">
        <v>52500</v>
      </c>
      <c r="G264" s="450">
        <f t="shared" si="16"/>
        <v>840000</v>
      </c>
      <c r="H264" s="418"/>
      <c r="J264" s="451"/>
      <c r="K264" s="452"/>
    </row>
    <row r="265" spans="2:11" s="444" customFormat="1" ht="38.25" x14ac:dyDescent="0.35">
      <c r="B265" s="445" t="s">
        <v>40</v>
      </c>
      <c r="C265" s="446" t="s">
        <v>1079</v>
      </c>
      <c r="D265" s="447">
        <v>2</v>
      </c>
      <c r="E265" s="448" t="s">
        <v>113</v>
      </c>
      <c r="F265" s="449">
        <v>52500</v>
      </c>
      <c r="G265" s="450">
        <f t="shared" si="16"/>
        <v>105000</v>
      </c>
      <c r="H265" s="418"/>
      <c r="J265" s="451"/>
      <c r="K265" s="452"/>
    </row>
    <row r="266" spans="2:11" s="444" customFormat="1" ht="25.5" x14ac:dyDescent="0.35">
      <c r="B266" s="445" t="s">
        <v>15</v>
      </c>
      <c r="C266" s="446" t="s">
        <v>571</v>
      </c>
      <c r="D266" s="447">
        <v>46</v>
      </c>
      <c r="E266" s="448" t="s">
        <v>113</v>
      </c>
      <c r="F266" s="449">
        <v>302700</v>
      </c>
      <c r="G266" s="450">
        <f t="shared" si="16"/>
        <v>13924200</v>
      </c>
      <c r="H266" s="418"/>
      <c r="J266" s="451"/>
      <c r="K266" s="452"/>
    </row>
    <row r="267" spans="2:11" s="444" customFormat="1" ht="38.25" x14ac:dyDescent="0.35">
      <c r="B267" s="445" t="s">
        <v>16</v>
      </c>
      <c r="C267" s="446" t="s">
        <v>572</v>
      </c>
      <c r="D267" s="447">
        <v>12</v>
      </c>
      <c r="E267" s="448" t="s">
        <v>113</v>
      </c>
      <c r="F267" s="449">
        <v>397200</v>
      </c>
      <c r="G267" s="450">
        <f t="shared" si="16"/>
        <v>4766400</v>
      </c>
      <c r="H267" s="418"/>
      <c r="J267" s="451"/>
      <c r="K267" s="452"/>
    </row>
    <row r="268" spans="2:11" s="444" customFormat="1" ht="32.65" customHeight="1" x14ac:dyDescent="0.35">
      <c r="B268" s="445" t="s">
        <v>89</v>
      </c>
      <c r="C268" s="446" t="s">
        <v>1073</v>
      </c>
      <c r="D268" s="447">
        <v>13</v>
      </c>
      <c r="E268" s="448" t="s">
        <v>113</v>
      </c>
      <c r="F268" s="449">
        <v>124550</v>
      </c>
      <c r="G268" s="450">
        <f t="shared" si="16"/>
        <v>1619150</v>
      </c>
      <c r="H268" s="418"/>
      <c r="J268" s="451"/>
      <c r="K268" s="452"/>
    </row>
    <row r="269" spans="2:11" s="444" customFormat="1" ht="25.5" x14ac:dyDescent="0.35">
      <c r="B269" s="445" t="s">
        <v>17</v>
      </c>
      <c r="C269" s="446" t="s">
        <v>1074</v>
      </c>
      <c r="D269" s="447">
        <v>3</v>
      </c>
      <c r="E269" s="448" t="s">
        <v>113</v>
      </c>
      <c r="F269" s="449">
        <v>106400</v>
      </c>
      <c r="G269" s="450">
        <f t="shared" si="16"/>
        <v>319200</v>
      </c>
      <c r="H269" s="418"/>
      <c r="J269" s="451"/>
      <c r="K269" s="452"/>
    </row>
    <row r="270" spans="2:11" s="444" customFormat="1" ht="38.25" x14ac:dyDescent="0.35">
      <c r="B270" s="445" t="s">
        <v>90</v>
      </c>
      <c r="C270" s="446" t="s">
        <v>1075</v>
      </c>
      <c r="D270" s="447">
        <v>5</v>
      </c>
      <c r="E270" s="448" t="s">
        <v>113</v>
      </c>
      <c r="F270" s="449">
        <v>147500</v>
      </c>
      <c r="G270" s="450">
        <f t="shared" si="16"/>
        <v>737500</v>
      </c>
      <c r="H270" s="418"/>
      <c r="J270" s="451"/>
      <c r="K270" s="452"/>
    </row>
    <row r="271" spans="2:11" s="444" customFormat="1" ht="38.25" x14ac:dyDescent="0.35">
      <c r="B271" s="445" t="s">
        <v>40</v>
      </c>
      <c r="C271" s="446" t="s">
        <v>1080</v>
      </c>
      <c r="D271" s="447">
        <v>2</v>
      </c>
      <c r="E271" s="448" t="s">
        <v>113</v>
      </c>
      <c r="F271" s="449">
        <v>52500</v>
      </c>
      <c r="G271" s="450">
        <f t="shared" si="16"/>
        <v>105000</v>
      </c>
      <c r="H271" s="418"/>
      <c r="J271" s="451"/>
      <c r="K271" s="452"/>
    </row>
    <row r="272" spans="2:11" s="444" customFormat="1" ht="38.25" x14ac:dyDescent="0.35">
      <c r="B272" s="445" t="s">
        <v>88</v>
      </c>
      <c r="C272" s="446" t="s">
        <v>1076</v>
      </c>
      <c r="D272" s="447">
        <v>0</v>
      </c>
      <c r="E272" s="448" t="s">
        <v>113</v>
      </c>
      <c r="F272" s="449">
        <v>106400</v>
      </c>
      <c r="G272" s="450">
        <f t="shared" si="16"/>
        <v>0</v>
      </c>
      <c r="H272" s="418"/>
      <c r="J272" s="451"/>
      <c r="K272" s="452"/>
    </row>
    <row r="273" spans="2:11" s="444" customFormat="1" ht="38.25" x14ac:dyDescent="0.35">
      <c r="B273" s="445" t="s">
        <v>251</v>
      </c>
      <c r="C273" s="446" t="s">
        <v>1077</v>
      </c>
      <c r="D273" s="447">
        <v>0</v>
      </c>
      <c r="E273" s="448" t="s">
        <v>113</v>
      </c>
      <c r="F273" s="449">
        <v>147500</v>
      </c>
      <c r="G273" s="450">
        <f t="shared" si="16"/>
        <v>0</v>
      </c>
      <c r="H273" s="418"/>
      <c r="J273" s="451"/>
      <c r="K273" s="452"/>
    </row>
    <row r="274" spans="2:11" x14ac:dyDescent="0.35">
      <c r="B274" s="431"/>
      <c r="C274" s="437" t="s">
        <v>559</v>
      </c>
      <c r="D274" s="433"/>
      <c r="E274" s="434"/>
      <c r="F274" s="435"/>
      <c r="G274" s="450"/>
      <c r="J274" s="451"/>
      <c r="K274" s="452"/>
    </row>
    <row r="275" spans="2:11" s="444" customFormat="1" ht="25.5" x14ac:dyDescent="0.35">
      <c r="B275" s="445" t="s">
        <v>33</v>
      </c>
      <c r="C275" s="446" t="s">
        <v>560</v>
      </c>
      <c r="D275" s="447">
        <v>20</v>
      </c>
      <c r="E275" s="448" t="s">
        <v>113</v>
      </c>
      <c r="F275" s="449">
        <v>13200</v>
      </c>
      <c r="G275" s="450">
        <f t="shared" si="15"/>
        <v>264000</v>
      </c>
      <c r="H275" s="418"/>
      <c r="J275" s="451"/>
      <c r="K275" s="452"/>
    </row>
    <row r="276" spans="2:11" s="444" customFormat="1" ht="25.5" x14ac:dyDescent="0.35">
      <c r="B276" s="445" t="s">
        <v>34</v>
      </c>
      <c r="C276" s="446" t="s">
        <v>573</v>
      </c>
      <c r="D276" s="447">
        <v>10</v>
      </c>
      <c r="E276" s="448" t="s">
        <v>113</v>
      </c>
      <c r="F276" s="449">
        <v>16550</v>
      </c>
      <c r="G276" s="450">
        <f t="shared" si="15"/>
        <v>165500</v>
      </c>
      <c r="H276" s="418"/>
      <c r="J276" s="451"/>
      <c r="K276" s="452"/>
    </row>
    <row r="277" spans="2:11" s="444" customFormat="1" ht="25.5" x14ac:dyDescent="0.35">
      <c r="B277" s="445" t="s">
        <v>35</v>
      </c>
      <c r="C277" s="446" t="s">
        <v>574</v>
      </c>
      <c r="D277" s="447">
        <v>12</v>
      </c>
      <c r="E277" s="448" t="s">
        <v>113</v>
      </c>
      <c r="F277" s="449">
        <v>26400</v>
      </c>
      <c r="G277" s="450">
        <f t="shared" si="15"/>
        <v>316800</v>
      </c>
      <c r="H277" s="418"/>
      <c r="J277" s="451"/>
      <c r="K277" s="452"/>
    </row>
    <row r="278" spans="2:11" s="444" customFormat="1" ht="25.5" x14ac:dyDescent="0.35">
      <c r="B278" s="445" t="s">
        <v>36</v>
      </c>
      <c r="C278" s="446" t="s">
        <v>575</v>
      </c>
      <c r="D278" s="447">
        <v>2</v>
      </c>
      <c r="E278" s="448" t="s">
        <v>113</v>
      </c>
      <c r="F278" s="449">
        <v>29700</v>
      </c>
      <c r="G278" s="450">
        <f t="shared" si="15"/>
        <v>59400</v>
      </c>
      <c r="H278" s="418"/>
      <c r="J278" s="451"/>
      <c r="K278" s="452"/>
    </row>
    <row r="279" spans="2:11" s="444" customFormat="1" ht="25.5" x14ac:dyDescent="0.35">
      <c r="B279" s="445" t="s">
        <v>114</v>
      </c>
      <c r="C279" s="446" t="s">
        <v>576</v>
      </c>
      <c r="D279" s="447">
        <v>3</v>
      </c>
      <c r="E279" s="448" t="s">
        <v>113</v>
      </c>
      <c r="F279" s="449">
        <v>49650</v>
      </c>
      <c r="G279" s="450">
        <f t="shared" si="15"/>
        <v>148950</v>
      </c>
      <c r="H279" s="418"/>
      <c r="J279" s="451"/>
      <c r="K279" s="452"/>
    </row>
    <row r="280" spans="2:11" ht="22.05" customHeight="1" x14ac:dyDescent="0.35">
      <c r="B280" s="431"/>
      <c r="C280" s="437" t="s">
        <v>563</v>
      </c>
      <c r="D280" s="433"/>
      <c r="E280" s="434"/>
      <c r="F280" s="435"/>
      <c r="G280" s="450"/>
      <c r="J280" s="451"/>
      <c r="K280" s="452"/>
    </row>
    <row r="281" spans="2:11" s="444" customFormat="1" ht="25.5" x14ac:dyDescent="0.35">
      <c r="B281" s="445" t="s">
        <v>39</v>
      </c>
      <c r="C281" s="446" t="s">
        <v>583</v>
      </c>
      <c r="D281" s="447">
        <v>43</v>
      </c>
      <c r="E281" s="448" t="s">
        <v>113</v>
      </c>
      <c r="F281" s="449">
        <v>33100</v>
      </c>
      <c r="G281" s="450">
        <f t="shared" si="15"/>
        <v>1423300</v>
      </c>
      <c r="H281" s="418"/>
      <c r="J281" s="451"/>
      <c r="K281" s="452"/>
    </row>
    <row r="282" spans="2:11" s="444" customFormat="1" ht="25.5" x14ac:dyDescent="0.35">
      <c r="B282" s="445" t="s">
        <v>40</v>
      </c>
      <c r="C282" s="446" t="s">
        <v>584</v>
      </c>
      <c r="D282" s="447">
        <v>8</v>
      </c>
      <c r="E282" s="448" t="s">
        <v>113</v>
      </c>
      <c r="F282" s="449">
        <v>49650</v>
      </c>
      <c r="G282" s="450">
        <f t="shared" si="15"/>
        <v>397200</v>
      </c>
      <c r="H282" s="418"/>
      <c r="J282" s="451"/>
      <c r="K282" s="452"/>
    </row>
    <row r="283" spans="2:11" s="444" customFormat="1" ht="25.5" x14ac:dyDescent="0.35">
      <c r="B283" s="445" t="s">
        <v>15</v>
      </c>
      <c r="C283" s="446" t="s">
        <v>578</v>
      </c>
      <c r="D283" s="447">
        <v>5</v>
      </c>
      <c r="E283" s="448" t="s">
        <v>113</v>
      </c>
      <c r="F283" s="449">
        <v>794500</v>
      </c>
      <c r="G283" s="450">
        <f t="shared" si="15"/>
        <v>3972500</v>
      </c>
      <c r="H283" s="418"/>
      <c r="J283" s="451"/>
      <c r="K283" s="452"/>
    </row>
    <row r="284" spans="2:11" s="444" customFormat="1" ht="25.5" x14ac:dyDescent="0.35">
      <c r="B284" s="445" t="s">
        <v>16</v>
      </c>
      <c r="C284" s="446" t="s">
        <v>936</v>
      </c>
      <c r="D284" s="447">
        <v>12</v>
      </c>
      <c r="E284" s="448" t="s">
        <v>113</v>
      </c>
      <c r="F284" s="449">
        <v>132400</v>
      </c>
      <c r="G284" s="450">
        <f t="shared" si="15"/>
        <v>1588800</v>
      </c>
      <c r="H284" s="418"/>
      <c r="J284" s="451"/>
      <c r="K284" s="452"/>
    </row>
    <row r="285" spans="2:11" ht="22.05" customHeight="1" x14ac:dyDescent="0.35">
      <c r="B285" s="431"/>
      <c r="C285" s="437" t="s">
        <v>579</v>
      </c>
      <c r="D285" s="433"/>
      <c r="E285" s="434"/>
      <c r="F285" s="435"/>
      <c r="G285" s="450"/>
      <c r="J285" s="451"/>
      <c r="K285" s="452"/>
    </row>
    <row r="286" spans="2:11" s="444" customFormat="1" ht="25.5" x14ac:dyDescent="0.35">
      <c r="B286" s="445" t="s">
        <v>89</v>
      </c>
      <c r="C286" s="446" t="s">
        <v>580</v>
      </c>
      <c r="D286" s="447">
        <v>150</v>
      </c>
      <c r="E286" s="448" t="s">
        <v>112</v>
      </c>
      <c r="F286" s="449">
        <v>112400</v>
      </c>
      <c r="G286" s="450">
        <f t="shared" si="15"/>
        <v>16860000</v>
      </c>
      <c r="H286" s="418"/>
      <c r="J286" s="451"/>
      <c r="K286" s="452"/>
    </row>
    <row r="287" spans="2:11" ht="22.05" customHeight="1" x14ac:dyDescent="0.35">
      <c r="B287" s="431"/>
      <c r="C287" s="437" t="s">
        <v>581</v>
      </c>
      <c r="D287" s="433"/>
      <c r="E287" s="434"/>
      <c r="F287" s="435"/>
      <c r="G287" s="450"/>
      <c r="J287" s="451"/>
      <c r="K287" s="452"/>
    </row>
    <row r="288" spans="2:11" s="444" customFormat="1" ht="25.5" x14ac:dyDescent="0.35">
      <c r="B288" s="445" t="s">
        <v>17</v>
      </c>
      <c r="C288" s="446" t="s">
        <v>582</v>
      </c>
      <c r="D288" s="447">
        <v>1</v>
      </c>
      <c r="E288" s="448" t="s">
        <v>113</v>
      </c>
      <c r="F288" s="449">
        <v>662100</v>
      </c>
      <c r="G288" s="450">
        <f t="shared" si="15"/>
        <v>662100</v>
      </c>
      <c r="H288" s="418"/>
      <c r="J288" s="451"/>
      <c r="K288" s="452"/>
    </row>
    <row r="289" spans="2:11" x14ac:dyDescent="0.35">
      <c r="B289" s="431"/>
      <c r="C289" s="437" t="s">
        <v>565</v>
      </c>
      <c r="D289" s="433"/>
      <c r="E289" s="434"/>
      <c r="F289" s="435"/>
      <c r="G289" s="450"/>
      <c r="J289" s="451"/>
      <c r="K289" s="452"/>
    </row>
    <row r="290" spans="2:11" s="444" customFormat="1" ht="26.35" customHeight="1" x14ac:dyDescent="0.35">
      <c r="B290" s="445" t="s">
        <v>90</v>
      </c>
      <c r="C290" s="446" t="s">
        <v>566</v>
      </c>
      <c r="D290" s="447">
        <v>1</v>
      </c>
      <c r="E290" s="448" t="s">
        <v>113</v>
      </c>
      <c r="F290" s="449">
        <v>2675600</v>
      </c>
      <c r="G290" s="450">
        <f t="shared" si="15"/>
        <v>2675600</v>
      </c>
      <c r="H290" s="418"/>
      <c r="J290" s="451"/>
      <c r="K290" s="452"/>
    </row>
    <row r="291" spans="2:11" s="444" customFormat="1" ht="26.35" customHeight="1" x14ac:dyDescent="0.35">
      <c r="B291" s="445"/>
      <c r="C291" s="446"/>
      <c r="D291" s="447"/>
      <c r="E291" s="448"/>
      <c r="F291" s="454"/>
      <c r="G291" s="450"/>
      <c r="H291" s="418"/>
      <c r="J291" s="451"/>
      <c r="K291" s="452"/>
    </row>
    <row r="292" spans="2:11" s="444" customFormat="1" ht="26.35" customHeight="1" x14ac:dyDescent="0.35">
      <c r="B292" s="445"/>
      <c r="C292" s="446"/>
      <c r="D292" s="447"/>
      <c r="E292" s="448"/>
      <c r="F292" s="454"/>
      <c r="G292" s="450"/>
      <c r="H292" s="418"/>
      <c r="J292" s="451"/>
      <c r="K292" s="452"/>
    </row>
    <row r="293" spans="2:11" s="444" customFormat="1" ht="26.35" customHeight="1" x14ac:dyDescent="0.35">
      <c r="B293" s="445"/>
      <c r="C293" s="446"/>
      <c r="D293" s="447"/>
      <c r="E293" s="448"/>
      <c r="F293" s="454"/>
      <c r="G293" s="450"/>
      <c r="H293" s="418"/>
      <c r="J293" s="451"/>
      <c r="K293" s="452"/>
    </row>
    <row r="294" spans="2:11" s="444" customFormat="1" ht="26.35" customHeight="1" x14ac:dyDescent="0.35">
      <c r="B294" s="445"/>
      <c r="C294" s="446"/>
      <c r="D294" s="447"/>
      <c r="E294" s="448"/>
      <c r="F294" s="454"/>
      <c r="G294" s="450"/>
      <c r="H294" s="418"/>
      <c r="J294" s="451"/>
      <c r="K294" s="452"/>
    </row>
    <row r="295" spans="2:11" s="444" customFormat="1" ht="26.35" customHeight="1" x14ac:dyDescent="0.35">
      <c r="B295" s="445"/>
      <c r="C295" s="446"/>
      <c r="D295" s="447"/>
      <c r="E295" s="448"/>
      <c r="F295" s="454"/>
      <c r="G295" s="450"/>
      <c r="H295" s="418"/>
      <c r="J295" s="451"/>
      <c r="K295" s="452"/>
    </row>
    <row r="296" spans="2:11" s="444" customFormat="1" ht="26.35" customHeight="1" thickBot="1" x14ac:dyDescent="0.4">
      <c r="B296" s="445"/>
      <c r="C296" s="453" t="s">
        <v>55</v>
      </c>
      <c r="D296" s="447"/>
      <c r="E296" s="448"/>
      <c r="F296" s="454"/>
      <c r="G296" s="455">
        <f>SUM(G238:G291)</f>
        <v>88541250</v>
      </c>
      <c r="H296" s="418"/>
      <c r="J296" s="451"/>
      <c r="K296" s="452"/>
    </row>
    <row r="297" spans="2:11" s="456" customFormat="1" ht="26.35" customHeight="1" thickTop="1" x14ac:dyDescent="0.35">
      <c r="B297" s="457"/>
      <c r="C297" s="458" t="s">
        <v>1090</v>
      </c>
      <c r="D297" s="459"/>
      <c r="E297" s="459"/>
      <c r="F297" s="460"/>
      <c r="G297" s="461"/>
      <c r="H297" s="418"/>
      <c r="J297" s="451"/>
      <c r="K297" s="452"/>
    </row>
    <row r="298" spans="2:11" ht="22.25" customHeight="1" x14ac:dyDescent="0.35">
      <c r="B298" s="431"/>
      <c r="C298" s="432" t="str">
        <f>C169</f>
        <v>BILL NO.4</v>
      </c>
      <c r="D298" s="433"/>
      <c r="E298" s="434"/>
      <c r="F298" s="435"/>
      <c r="G298" s="436"/>
    </row>
    <row r="299" spans="2:11" ht="22.25" customHeight="1" x14ac:dyDescent="0.35">
      <c r="B299" s="431"/>
      <c r="C299" s="432" t="str">
        <f>C170</f>
        <v>ELECTRICAL INSTALLATIONS</v>
      </c>
      <c r="D299" s="433"/>
      <c r="E299" s="434"/>
      <c r="F299" s="435"/>
      <c r="G299" s="436"/>
    </row>
    <row r="300" spans="2:11" ht="22.25" customHeight="1" x14ac:dyDescent="0.35">
      <c r="B300" s="431"/>
      <c r="C300" s="432" t="s">
        <v>1082</v>
      </c>
      <c r="D300" s="433"/>
      <c r="E300" s="434"/>
      <c r="F300" s="435"/>
      <c r="G300" s="436"/>
    </row>
    <row r="301" spans="2:11" ht="15.4" customHeight="1" x14ac:dyDescent="0.35">
      <c r="B301" s="431"/>
      <c r="C301" s="432" t="s">
        <v>1234</v>
      </c>
      <c r="D301" s="433"/>
      <c r="E301" s="434"/>
      <c r="F301" s="435"/>
      <c r="G301" s="436"/>
    </row>
    <row r="302" spans="2:11" s="444" customFormat="1" ht="63" customHeight="1" x14ac:dyDescent="0.35">
      <c r="B302" s="445" t="s">
        <v>31</v>
      </c>
      <c r="C302" s="446" t="s">
        <v>1014</v>
      </c>
      <c r="D302" s="447">
        <v>87</v>
      </c>
      <c r="E302" s="448" t="s">
        <v>113</v>
      </c>
      <c r="F302" s="449">
        <v>139050</v>
      </c>
      <c r="G302" s="450">
        <f>F302*D302</f>
        <v>12097350</v>
      </c>
      <c r="H302" s="418"/>
      <c r="J302" s="451"/>
      <c r="K302" s="452"/>
    </row>
    <row r="303" spans="2:11" s="444" customFormat="1" ht="38.25" x14ac:dyDescent="0.35">
      <c r="B303" s="445" t="s">
        <v>32</v>
      </c>
      <c r="C303" s="446" t="s">
        <v>929</v>
      </c>
      <c r="D303" s="447">
        <v>43</v>
      </c>
      <c r="E303" s="448" t="s">
        <v>113</v>
      </c>
      <c r="F303" s="449">
        <v>115800</v>
      </c>
      <c r="G303" s="450">
        <f t="shared" ref="G303:G314" si="17">F303*D303</f>
        <v>4979400</v>
      </c>
      <c r="H303" s="418"/>
      <c r="J303" s="451"/>
      <c r="K303" s="452"/>
    </row>
    <row r="304" spans="2:11" s="444" customFormat="1" ht="25.5" x14ac:dyDescent="0.35">
      <c r="B304" s="445" t="s">
        <v>33</v>
      </c>
      <c r="C304" s="446" t="s">
        <v>932</v>
      </c>
      <c r="D304" s="447">
        <v>12</v>
      </c>
      <c r="E304" s="448" t="s">
        <v>113</v>
      </c>
      <c r="F304" s="449">
        <v>115800</v>
      </c>
      <c r="G304" s="450">
        <f t="shared" si="17"/>
        <v>1389600</v>
      </c>
      <c r="H304" s="418"/>
      <c r="J304" s="451"/>
      <c r="K304" s="452"/>
    </row>
    <row r="305" spans="2:11" s="444" customFormat="1" ht="25.5" x14ac:dyDescent="0.35">
      <c r="B305" s="445" t="s">
        <v>34</v>
      </c>
      <c r="C305" s="446" t="s">
        <v>1020</v>
      </c>
      <c r="D305" s="447">
        <v>2</v>
      </c>
      <c r="E305" s="448" t="s">
        <v>113</v>
      </c>
      <c r="F305" s="449">
        <v>26400</v>
      </c>
      <c r="G305" s="450">
        <f t="shared" si="17"/>
        <v>52800</v>
      </c>
      <c r="H305" s="418"/>
      <c r="J305" s="451"/>
      <c r="K305" s="452"/>
    </row>
    <row r="306" spans="2:11" s="444" customFormat="1" ht="25.5" x14ac:dyDescent="0.35">
      <c r="B306" s="445" t="s">
        <v>35</v>
      </c>
      <c r="C306" s="446" t="s">
        <v>1019</v>
      </c>
      <c r="D306" s="447">
        <v>18</v>
      </c>
      <c r="E306" s="448" t="s">
        <v>113</v>
      </c>
      <c r="F306" s="449">
        <v>26400</v>
      </c>
      <c r="G306" s="450">
        <f t="shared" si="17"/>
        <v>475200</v>
      </c>
      <c r="H306" s="418"/>
      <c r="J306" s="451"/>
      <c r="K306" s="452"/>
    </row>
    <row r="307" spans="2:11" s="444" customFormat="1" ht="25.5" x14ac:dyDescent="0.35">
      <c r="B307" s="445" t="s">
        <v>36</v>
      </c>
      <c r="C307" s="446" t="s">
        <v>545</v>
      </c>
      <c r="D307" s="447">
        <v>12</v>
      </c>
      <c r="E307" s="448" t="s">
        <v>113</v>
      </c>
      <c r="F307" s="449">
        <v>26400</v>
      </c>
      <c r="G307" s="450">
        <f t="shared" si="17"/>
        <v>316800</v>
      </c>
      <c r="H307" s="418"/>
      <c r="J307" s="451"/>
      <c r="K307" s="452"/>
    </row>
    <row r="308" spans="2:11" s="444" customFormat="1" ht="25.5" x14ac:dyDescent="0.35">
      <c r="B308" s="445" t="s">
        <v>114</v>
      </c>
      <c r="C308" s="446" t="s">
        <v>546</v>
      </c>
      <c r="D308" s="447">
        <v>5</v>
      </c>
      <c r="E308" s="448" t="s">
        <v>113</v>
      </c>
      <c r="F308" s="449">
        <v>26400</v>
      </c>
      <c r="G308" s="450">
        <f t="shared" si="17"/>
        <v>132000</v>
      </c>
      <c r="H308" s="418"/>
      <c r="J308" s="451"/>
      <c r="K308" s="452"/>
    </row>
    <row r="309" spans="2:11" s="444" customFormat="1" ht="25.5" x14ac:dyDescent="0.35">
      <c r="B309" s="445" t="s">
        <v>39</v>
      </c>
      <c r="C309" s="446" t="s">
        <v>547</v>
      </c>
      <c r="D309" s="447">
        <v>6</v>
      </c>
      <c r="E309" s="448" t="s">
        <v>113</v>
      </c>
      <c r="F309" s="449">
        <v>26400</v>
      </c>
      <c r="G309" s="450">
        <f t="shared" si="17"/>
        <v>158400</v>
      </c>
      <c r="H309" s="418"/>
      <c r="J309" s="451"/>
      <c r="K309" s="452"/>
    </row>
    <row r="310" spans="2:11" s="444" customFormat="1" ht="25.5" x14ac:dyDescent="0.35">
      <c r="B310" s="445" t="s">
        <v>40</v>
      </c>
      <c r="C310" s="446" t="s">
        <v>930</v>
      </c>
      <c r="D310" s="447">
        <v>4</v>
      </c>
      <c r="E310" s="448" t="s">
        <v>113</v>
      </c>
      <c r="F310" s="449">
        <v>115800</v>
      </c>
      <c r="G310" s="450">
        <f t="shared" si="17"/>
        <v>463200</v>
      </c>
      <c r="H310" s="418"/>
      <c r="J310" s="451"/>
      <c r="K310" s="452"/>
    </row>
    <row r="311" spans="2:11" s="444" customFormat="1" ht="38.25" x14ac:dyDescent="0.35">
      <c r="B311" s="445" t="s">
        <v>15</v>
      </c>
      <c r="C311" s="446" t="s">
        <v>940</v>
      </c>
      <c r="D311" s="447">
        <v>15</v>
      </c>
      <c r="E311" s="448" t="s">
        <v>112</v>
      </c>
      <c r="F311" s="449">
        <v>82700</v>
      </c>
      <c r="G311" s="450">
        <f t="shared" si="17"/>
        <v>1240500</v>
      </c>
      <c r="H311" s="418"/>
      <c r="J311" s="451"/>
      <c r="K311" s="452"/>
    </row>
    <row r="312" spans="2:11" s="444" customFormat="1" ht="38.25" x14ac:dyDescent="0.35">
      <c r="B312" s="445" t="s">
        <v>16</v>
      </c>
      <c r="C312" s="446" t="s">
        <v>941</v>
      </c>
      <c r="D312" s="447">
        <v>25</v>
      </c>
      <c r="E312" s="448" t="s">
        <v>112</v>
      </c>
      <c r="F312" s="449">
        <v>82700</v>
      </c>
      <c r="G312" s="450">
        <f t="shared" si="17"/>
        <v>2067500</v>
      </c>
      <c r="H312" s="418"/>
      <c r="J312" s="451"/>
      <c r="K312" s="452"/>
    </row>
    <row r="313" spans="2:11" s="444" customFormat="1" ht="38.25" x14ac:dyDescent="0.35">
      <c r="B313" s="445" t="s">
        <v>89</v>
      </c>
      <c r="C313" s="446" t="s">
        <v>942</v>
      </c>
      <c r="D313" s="447">
        <v>15</v>
      </c>
      <c r="E313" s="448" t="s">
        <v>112</v>
      </c>
      <c r="F313" s="449">
        <v>82700</v>
      </c>
      <c r="G313" s="450">
        <f t="shared" si="17"/>
        <v>1240500</v>
      </c>
      <c r="H313" s="418"/>
      <c r="J313" s="451"/>
      <c r="K313" s="452"/>
    </row>
    <row r="314" spans="2:11" s="444" customFormat="1" ht="51" x14ac:dyDescent="0.35">
      <c r="B314" s="445" t="s">
        <v>17</v>
      </c>
      <c r="C314" s="446" t="s">
        <v>567</v>
      </c>
      <c r="D314" s="447">
        <v>3</v>
      </c>
      <c r="E314" s="448" t="s">
        <v>113</v>
      </c>
      <c r="F314" s="449">
        <v>1979700</v>
      </c>
      <c r="G314" s="450">
        <f t="shared" si="17"/>
        <v>5939100</v>
      </c>
      <c r="H314" s="418"/>
      <c r="J314" s="451"/>
      <c r="K314" s="452"/>
    </row>
    <row r="315" spans="2:11" s="444" customFormat="1" x14ac:dyDescent="0.35">
      <c r="B315" s="445"/>
      <c r="C315" s="446"/>
      <c r="D315" s="447"/>
      <c r="E315" s="448"/>
      <c r="F315" s="449"/>
      <c r="G315" s="450"/>
      <c r="H315" s="418"/>
      <c r="J315" s="451"/>
      <c r="K315" s="452"/>
    </row>
    <row r="316" spans="2:11" s="444" customFormat="1" x14ac:dyDescent="0.35">
      <c r="B316" s="445"/>
      <c r="C316" s="446"/>
      <c r="D316" s="447"/>
      <c r="E316" s="448"/>
      <c r="F316" s="449"/>
      <c r="G316" s="450"/>
      <c r="H316" s="418"/>
      <c r="J316" s="451"/>
      <c r="K316" s="452"/>
    </row>
    <row r="317" spans="2:11" s="444" customFormat="1" ht="51" x14ac:dyDescent="0.35">
      <c r="B317" s="445" t="s">
        <v>31</v>
      </c>
      <c r="C317" s="446" t="s">
        <v>568</v>
      </c>
      <c r="D317" s="447">
        <v>2</v>
      </c>
      <c r="E317" s="448" t="s">
        <v>113</v>
      </c>
      <c r="F317" s="449">
        <v>1033700</v>
      </c>
      <c r="G317" s="450">
        <f t="shared" ref="G317:G321" si="18">F317*D317</f>
        <v>2067400</v>
      </c>
      <c r="H317" s="418"/>
      <c r="J317" s="451"/>
      <c r="K317" s="452"/>
    </row>
    <row r="318" spans="2:11" s="444" customFormat="1" ht="25.5" x14ac:dyDescent="0.35">
      <c r="B318" s="445" t="s">
        <v>32</v>
      </c>
      <c r="C318" s="446" t="s">
        <v>549</v>
      </c>
      <c r="D318" s="447">
        <v>12</v>
      </c>
      <c r="E318" s="448" t="s">
        <v>113</v>
      </c>
      <c r="F318" s="449">
        <v>2600</v>
      </c>
      <c r="G318" s="450">
        <f t="shared" si="18"/>
        <v>31200</v>
      </c>
      <c r="H318" s="418"/>
      <c r="J318" s="451"/>
      <c r="K318" s="452"/>
    </row>
    <row r="319" spans="2:11" s="444" customFormat="1" ht="25.5" x14ac:dyDescent="0.35">
      <c r="B319" s="445" t="s">
        <v>33</v>
      </c>
      <c r="C319" s="446" t="s">
        <v>550</v>
      </c>
      <c r="D319" s="447">
        <v>16</v>
      </c>
      <c r="E319" s="448" t="s">
        <v>113</v>
      </c>
      <c r="F319" s="449">
        <v>3900</v>
      </c>
      <c r="G319" s="450">
        <f t="shared" si="18"/>
        <v>62400</v>
      </c>
      <c r="H319" s="418"/>
      <c r="J319" s="451"/>
      <c r="K319" s="452"/>
    </row>
    <row r="320" spans="2:11" s="444" customFormat="1" ht="25.5" x14ac:dyDescent="0.35">
      <c r="B320" s="445" t="s">
        <v>34</v>
      </c>
      <c r="C320" s="446" t="s">
        <v>569</v>
      </c>
      <c r="D320" s="447">
        <v>25</v>
      </c>
      <c r="E320" s="448" t="s">
        <v>112</v>
      </c>
      <c r="F320" s="449">
        <v>11600</v>
      </c>
      <c r="G320" s="450">
        <f t="shared" si="18"/>
        <v>290000</v>
      </c>
      <c r="H320" s="418"/>
      <c r="J320" s="451"/>
      <c r="K320" s="452"/>
    </row>
    <row r="321" spans="2:11" s="444" customFormat="1" x14ac:dyDescent="0.35">
      <c r="B321" s="445" t="s">
        <v>35</v>
      </c>
      <c r="C321" s="446" t="s">
        <v>552</v>
      </c>
      <c r="D321" s="447">
        <v>24</v>
      </c>
      <c r="E321" s="448" t="s">
        <v>112</v>
      </c>
      <c r="F321" s="449">
        <v>82750</v>
      </c>
      <c r="G321" s="450">
        <f t="shared" si="18"/>
        <v>1986000</v>
      </c>
      <c r="H321" s="418"/>
      <c r="J321" s="451"/>
      <c r="K321" s="452"/>
    </row>
    <row r="322" spans="2:11" x14ac:dyDescent="0.35">
      <c r="B322" s="431"/>
      <c r="C322" s="437" t="s">
        <v>553</v>
      </c>
      <c r="D322" s="433"/>
      <c r="E322" s="434"/>
      <c r="F322" s="435"/>
      <c r="G322" s="450"/>
      <c r="J322" s="451"/>
      <c r="K322" s="452"/>
    </row>
    <row r="323" spans="2:11" s="444" customFormat="1" ht="25.5" x14ac:dyDescent="0.35">
      <c r="B323" s="445" t="s">
        <v>34</v>
      </c>
      <c r="C323" s="446" t="s">
        <v>554</v>
      </c>
      <c r="D323" s="447">
        <v>17</v>
      </c>
      <c r="E323" s="448" t="s">
        <v>113</v>
      </c>
      <c r="F323" s="449">
        <v>87500</v>
      </c>
      <c r="G323" s="450">
        <f t="shared" ref="G323:G337" si="19">F323*D323</f>
        <v>1487500</v>
      </c>
      <c r="H323" s="418"/>
      <c r="J323" s="451"/>
      <c r="K323" s="452"/>
    </row>
    <row r="324" spans="2:11" s="444" customFormat="1" ht="38.25" x14ac:dyDescent="0.35">
      <c r="B324" s="445" t="s">
        <v>35</v>
      </c>
      <c r="C324" s="446" t="s">
        <v>555</v>
      </c>
      <c r="D324" s="447">
        <v>7</v>
      </c>
      <c r="E324" s="448" t="s">
        <v>113</v>
      </c>
      <c r="F324" s="449">
        <v>134800</v>
      </c>
      <c r="G324" s="450">
        <f t="shared" si="19"/>
        <v>943600</v>
      </c>
      <c r="H324" s="418"/>
      <c r="J324" s="451"/>
      <c r="K324" s="452"/>
    </row>
    <row r="325" spans="2:11" s="444" customFormat="1" ht="51" x14ac:dyDescent="0.35">
      <c r="B325" s="445" t="s">
        <v>36</v>
      </c>
      <c r="C325" s="446" t="s">
        <v>556</v>
      </c>
      <c r="D325" s="447">
        <v>2</v>
      </c>
      <c r="E325" s="448" t="s">
        <v>113</v>
      </c>
      <c r="F325" s="449">
        <v>85100</v>
      </c>
      <c r="G325" s="450">
        <f t="shared" si="19"/>
        <v>170200</v>
      </c>
      <c r="H325" s="418"/>
      <c r="J325" s="451"/>
      <c r="K325" s="452"/>
    </row>
    <row r="326" spans="2:11" s="444" customFormat="1" ht="25.5" x14ac:dyDescent="0.35">
      <c r="B326" s="445" t="s">
        <v>114</v>
      </c>
      <c r="C326" s="446" t="s">
        <v>557</v>
      </c>
      <c r="D326" s="447">
        <v>0</v>
      </c>
      <c r="E326" s="448" t="s">
        <v>113</v>
      </c>
      <c r="F326" s="449">
        <v>80400</v>
      </c>
      <c r="G326" s="450">
        <f t="shared" si="19"/>
        <v>0</v>
      </c>
      <c r="H326" s="418"/>
      <c r="J326" s="451"/>
      <c r="K326" s="452"/>
    </row>
    <row r="327" spans="2:11" s="444" customFormat="1" ht="38.25" x14ac:dyDescent="0.35">
      <c r="B327" s="445" t="s">
        <v>39</v>
      </c>
      <c r="C327" s="446" t="s">
        <v>558</v>
      </c>
      <c r="D327" s="447">
        <v>0</v>
      </c>
      <c r="E327" s="448" t="s">
        <v>113</v>
      </c>
      <c r="F327" s="449">
        <v>106400</v>
      </c>
      <c r="G327" s="450">
        <f t="shared" si="19"/>
        <v>0</v>
      </c>
      <c r="H327" s="418"/>
      <c r="J327" s="451"/>
      <c r="K327" s="452"/>
    </row>
    <row r="328" spans="2:11" s="444" customFormat="1" ht="38.25" x14ac:dyDescent="0.35">
      <c r="B328" s="445" t="s">
        <v>40</v>
      </c>
      <c r="C328" s="446" t="s">
        <v>1078</v>
      </c>
      <c r="D328" s="447">
        <v>16</v>
      </c>
      <c r="E328" s="448" t="s">
        <v>113</v>
      </c>
      <c r="F328" s="449">
        <v>52500</v>
      </c>
      <c r="G328" s="450">
        <f t="shared" si="19"/>
        <v>840000</v>
      </c>
      <c r="H328" s="418"/>
      <c r="J328" s="451"/>
      <c r="K328" s="452"/>
    </row>
    <row r="329" spans="2:11" s="444" customFormat="1" ht="38.25" x14ac:dyDescent="0.35">
      <c r="B329" s="445" t="s">
        <v>40</v>
      </c>
      <c r="C329" s="446" t="s">
        <v>1079</v>
      </c>
      <c r="D329" s="447">
        <v>2</v>
      </c>
      <c r="E329" s="448" t="s">
        <v>113</v>
      </c>
      <c r="F329" s="449">
        <v>52500</v>
      </c>
      <c r="G329" s="450">
        <f t="shared" si="19"/>
        <v>105000</v>
      </c>
      <c r="H329" s="418"/>
      <c r="J329" s="451"/>
      <c r="K329" s="452"/>
    </row>
    <row r="330" spans="2:11" s="444" customFormat="1" ht="25.5" x14ac:dyDescent="0.35">
      <c r="B330" s="445" t="s">
        <v>15</v>
      </c>
      <c r="C330" s="446" t="s">
        <v>571</v>
      </c>
      <c r="D330" s="447">
        <v>46</v>
      </c>
      <c r="E330" s="448" t="s">
        <v>113</v>
      </c>
      <c r="F330" s="449">
        <v>302700</v>
      </c>
      <c r="G330" s="450">
        <f t="shared" si="19"/>
        <v>13924200</v>
      </c>
      <c r="H330" s="418"/>
      <c r="J330" s="451"/>
      <c r="K330" s="452"/>
    </row>
    <row r="331" spans="2:11" s="444" customFormat="1" ht="38.25" x14ac:dyDescent="0.35">
      <c r="B331" s="445" t="s">
        <v>16</v>
      </c>
      <c r="C331" s="446" t="s">
        <v>572</v>
      </c>
      <c r="D331" s="447">
        <v>12</v>
      </c>
      <c r="E331" s="448" t="s">
        <v>113</v>
      </c>
      <c r="F331" s="449">
        <v>397200</v>
      </c>
      <c r="G331" s="450">
        <f t="shared" si="19"/>
        <v>4766400</v>
      </c>
      <c r="H331" s="418"/>
      <c r="J331" s="451"/>
      <c r="K331" s="452"/>
    </row>
    <row r="332" spans="2:11" s="444" customFormat="1" ht="32.65" customHeight="1" x14ac:dyDescent="0.35">
      <c r="B332" s="445" t="s">
        <v>89</v>
      </c>
      <c r="C332" s="446" t="s">
        <v>1073</v>
      </c>
      <c r="D332" s="447">
        <v>13</v>
      </c>
      <c r="E332" s="448" t="s">
        <v>113</v>
      </c>
      <c r="F332" s="449">
        <v>124550</v>
      </c>
      <c r="G332" s="450">
        <f t="shared" si="19"/>
        <v>1619150</v>
      </c>
      <c r="H332" s="418"/>
      <c r="J332" s="451"/>
      <c r="K332" s="452"/>
    </row>
    <row r="333" spans="2:11" s="444" customFormat="1" ht="25.5" x14ac:dyDescent="0.35">
      <c r="B333" s="445" t="s">
        <v>17</v>
      </c>
      <c r="C333" s="446" t="s">
        <v>1074</v>
      </c>
      <c r="D333" s="447">
        <v>3</v>
      </c>
      <c r="E333" s="448" t="s">
        <v>113</v>
      </c>
      <c r="F333" s="449">
        <v>106400</v>
      </c>
      <c r="G333" s="450">
        <f t="shared" si="19"/>
        <v>319200</v>
      </c>
      <c r="H333" s="418"/>
      <c r="J333" s="451"/>
      <c r="K333" s="452"/>
    </row>
    <row r="334" spans="2:11" s="444" customFormat="1" ht="38.25" x14ac:dyDescent="0.35">
      <c r="B334" s="445" t="s">
        <v>90</v>
      </c>
      <c r="C334" s="446" t="s">
        <v>1075</v>
      </c>
      <c r="D334" s="447">
        <v>5</v>
      </c>
      <c r="E334" s="448" t="s">
        <v>113</v>
      </c>
      <c r="F334" s="449">
        <v>147500</v>
      </c>
      <c r="G334" s="450">
        <f t="shared" si="19"/>
        <v>737500</v>
      </c>
      <c r="H334" s="418"/>
      <c r="J334" s="451"/>
      <c r="K334" s="452"/>
    </row>
    <row r="335" spans="2:11" s="444" customFormat="1" ht="38.25" x14ac:dyDescent="0.35">
      <c r="B335" s="445" t="s">
        <v>40</v>
      </c>
      <c r="C335" s="446" t="s">
        <v>1080</v>
      </c>
      <c r="D335" s="447">
        <v>2</v>
      </c>
      <c r="E335" s="448" t="s">
        <v>113</v>
      </c>
      <c r="F335" s="449">
        <v>52500</v>
      </c>
      <c r="G335" s="450">
        <f t="shared" si="19"/>
        <v>105000</v>
      </c>
      <c r="H335" s="418"/>
      <c r="J335" s="451"/>
      <c r="K335" s="452"/>
    </row>
    <row r="336" spans="2:11" s="444" customFormat="1" ht="38.25" x14ac:dyDescent="0.35">
      <c r="B336" s="445" t="s">
        <v>88</v>
      </c>
      <c r="C336" s="446" t="s">
        <v>1076</v>
      </c>
      <c r="D336" s="447">
        <v>0</v>
      </c>
      <c r="E336" s="448" t="s">
        <v>113</v>
      </c>
      <c r="F336" s="449">
        <v>106400</v>
      </c>
      <c r="G336" s="450">
        <f t="shared" si="19"/>
        <v>0</v>
      </c>
      <c r="H336" s="418"/>
      <c r="J336" s="451"/>
      <c r="K336" s="452"/>
    </row>
    <row r="337" spans="2:11" s="444" customFormat="1" ht="38.25" x14ac:dyDescent="0.35">
      <c r="B337" s="445" t="s">
        <v>251</v>
      </c>
      <c r="C337" s="446" t="s">
        <v>1077</v>
      </c>
      <c r="D337" s="447">
        <v>0</v>
      </c>
      <c r="E337" s="448" t="s">
        <v>113</v>
      </c>
      <c r="F337" s="449">
        <v>147500</v>
      </c>
      <c r="G337" s="450">
        <f t="shared" si="19"/>
        <v>0</v>
      </c>
      <c r="H337" s="418"/>
      <c r="J337" s="451"/>
      <c r="K337" s="452"/>
    </row>
    <row r="338" spans="2:11" x14ac:dyDescent="0.35">
      <c r="B338" s="431"/>
      <c r="C338" s="437" t="s">
        <v>559</v>
      </c>
      <c r="D338" s="433"/>
      <c r="E338" s="434"/>
      <c r="F338" s="435"/>
      <c r="G338" s="450"/>
      <c r="J338" s="451"/>
      <c r="K338" s="452"/>
    </row>
    <row r="339" spans="2:11" s="444" customFormat="1" ht="25.5" x14ac:dyDescent="0.35">
      <c r="B339" s="445" t="s">
        <v>33</v>
      </c>
      <c r="C339" s="446" t="s">
        <v>560</v>
      </c>
      <c r="D339" s="447">
        <v>20</v>
      </c>
      <c r="E339" s="448" t="s">
        <v>113</v>
      </c>
      <c r="F339" s="449">
        <v>13200</v>
      </c>
      <c r="G339" s="450">
        <f t="shared" ref="G339:G343" si="20">F339*D339</f>
        <v>264000</v>
      </c>
      <c r="H339" s="418"/>
      <c r="J339" s="451"/>
      <c r="K339" s="452"/>
    </row>
    <row r="340" spans="2:11" s="444" customFormat="1" ht="25.5" x14ac:dyDescent="0.35">
      <c r="B340" s="445" t="s">
        <v>34</v>
      </c>
      <c r="C340" s="446" t="s">
        <v>573</v>
      </c>
      <c r="D340" s="447">
        <v>10</v>
      </c>
      <c r="E340" s="448" t="s">
        <v>113</v>
      </c>
      <c r="F340" s="449">
        <v>16550</v>
      </c>
      <c r="G340" s="450">
        <f t="shared" si="20"/>
        <v>165500</v>
      </c>
      <c r="H340" s="418"/>
      <c r="J340" s="451"/>
      <c r="K340" s="452"/>
    </row>
    <row r="341" spans="2:11" s="444" customFormat="1" ht="25.5" x14ac:dyDescent="0.35">
      <c r="B341" s="445" t="s">
        <v>35</v>
      </c>
      <c r="C341" s="446" t="s">
        <v>574</v>
      </c>
      <c r="D341" s="447">
        <v>12</v>
      </c>
      <c r="E341" s="448" t="s">
        <v>113</v>
      </c>
      <c r="F341" s="449">
        <v>26400</v>
      </c>
      <c r="G341" s="450">
        <f t="shared" si="20"/>
        <v>316800</v>
      </c>
      <c r="H341" s="418"/>
      <c r="J341" s="451"/>
      <c r="K341" s="452"/>
    </row>
    <row r="342" spans="2:11" s="444" customFormat="1" ht="25.5" x14ac:dyDescent="0.35">
      <c r="B342" s="445" t="s">
        <v>36</v>
      </c>
      <c r="C342" s="446" t="s">
        <v>575</v>
      </c>
      <c r="D342" s="447">
        <v>2</v>
      </c>
      <c r="E342" s="448" t="s">
        <v>113</v>
      </c>
      <c r="F342" s="449">
        <v>29700</v>
      </c>
      <c r="G342" s="450">
        <f t="shared" si="20"/>
        <v>59400</v>
      </c>
      <c r="H342" s="418"/>
      <c r="J342" s="451"/>
      <c r="K342" s="452"/>
    </row>
    <row r="343" spans="2:11" s="444" customFormat="1" ht="25.5" x14ac:dyDescent="0.35">
      <c r="B343" s="445" t="s">
        <v>114</v>
      </c>
      <c r="C343" s="446" t="s">
        <v>576</v>
      </c>
      <c r="D343" s="447">
        <v>3</v>
      </c>
      <c r="E343" s="448" t="s">
        <v>113</v>
      </c>
      <c r="F343" s="449">
        <v>49650</v>
      </c>
      <c r="G343" s="450">
        <f t="shared" si="20"/>
        <v>148950</v>
      </c>
      <c r="H343" s="418"/>
      <c r="J343" s="451"/>
      <c r="K343" s="452"/>
    </row>
    <row r="344" spans="2:11" ht="22.05" customHeight="1" x14ac:dyDescent="0.35">
      <c r="B344" s="431"/>
      <c r="C344" s="437" t="s">
        <v>563</v>
      </c>
      <c r="D344" s="433"/>
      <c r="E344" s="434"/>
      <c r="F344" s="435"/>
      <c r="G344" s="450"/>
      <c r="J344" s="451"/>
      <c r="K344" s="452"/>
    </row>
    <row r="345" spans="2:11" s="444" customFormat="1" ht="25.5" x14ac:dyDescent="0.35">
      <c r="B345" s="445" t="s">
        <v>39</v>
      </c>
      <c r="C345" s="446" t="s">
        <v>583</v>
      </c>
      <c r="D345" s="447">
        <v>43</v>
      </c>
      <c r="E345" s="448" t="s">
        <v>113</v>
      </c>
      <c r="F345" s="449">
        <v>33100</v>
      </c>
      <c r="G345" s="450">
        <f t="shared" ref="G345:G348" si="21">F345*D345</f>
        <v>1423300</v>
      </c>
      <c r="H345" s="418"/>
      <c r="J345" s="451"/>
      <c r="K345" s="452"/>
    </row>
    <row r="346" spans="2:11" s="444" customFormat="1" ht="25.5" x14ac:dyDescent="0.35">
      <c r="B346" s="445" t="s">
        <v>40</v>
      </c>
      <c r="C346" s="446" t="s">
        <v>584</v>
      </c>
      <c r="D346" s="447">
        <v>8</v>
      </c>
      <c r="E346" s="448" t="s">
        <v>113</v>
      </c>
      <c r="F346" s="449">
        <v>49650</v>
      </c>
      <c r="G346" s="450">
        <f t="shared" si="21"/>
        <v>397200</v>
      </c>
      <c r="H346" s="418"/>
      <c r="J346" s="451"/>
      <c r="K346" s="452"/>
    </row>
    <row r="347" spans="2:11" s="444" customFormat="1" ht="25.5" x14ac:dyDescent="0.35">
      <c r="B347" s="445" t="s">
        <v>15</v>
      </c>
      <c r="C347" s="446" t="s">
        <v>578</v>
      </c>
      <c r="D347" s="447">
        <v>5</v>
      </c>
      <c r="E347" s="448" t="s">
        <v>113</v>
      </c>
      <c r="F347" s="449">
        <v>794500</v>
      </c>
      <c r="G347" s="450">
        <f t="shared" si="21"/>
        <v>3972500</v>
      </c>
      <c r="H347" s="418"/>
      <c r="J347" s="451"/>
      <c r="K347" s="452"/>
    </row>
    <row r="348" spans="2:11" s="444" customFormat="1" ht="25.5" x14ac:dyDescent="0.35">
      <c r="B348" s="445" t="s">
        <v>16</v>
      </c>
      <c r="C348" s="446" t="s">
        <v>936</v>
      </c>
      <c r="D348" s="447">
        <v>12</v>
      </c>
      <c r="E348" s="448" t="s">
        <v>113</v>
      </c>
      <c r="F348" s="449">
        <v>132400</v>
      </c>
      <c r="G348" s="450">
        <f t="shared" si="21"/>
        <v>1588800</v>
      </c>
      <c r="H348" s="418"/>
      <c r="J348" s="451"/>
      <c r="K348" s="452"/>
    </row>
    <row r="349" spans="2:11" ht="22.05" customHeight="1" x14ac:dyDescent="0.35">
      <c r="B349" s="431"/>
      <c r="C349" s="437" t="s">
        <v>579</v>
      </c>
      <c r="D349" s="433"/>
      <c r="E349" s="434"/>
      <c r="F349" s="435"/>
      <c r="G349" s="450"/>
      <c r="J349" s="451"/>
      <c r="K349" s="452"/>
    </row>
    <row r="350" spans="2:11" s="444" customFormat="1" ht="25.5" x14ac:dyDescent="0.35">
      <c r="B350" s="445" t="s">
        <v>89</v>
      </c>
      <c r="C350" s="446" t="s">
        <v>580</v>
      </c>
      <c r="D350" s="447">
        <v>150</v>
      </c>
      <c r="E350" s="448" t="s">
        <v>112</v>
      </c>
      <c r="F350" s="449">
        <v>112400</v>
      </c>
      <c r="G350" s="450">
        <f t="shared" ref="G350" si="22">F350*D350</f>
        <v>16860000</v>
      </c>
      <c r="H350" s="418"/>
      <c r="J350" s="451"/>
      <c r="K350" s="452"/>
    </row>
    <row r="351" spans="2:11" ht="22.05" customHeight="1" x14ac:dyDescent="0.35">
      <c r="B351" s="431"/>
      <c r="C351" s="437" t="s">
        <v>581</v>
      </c>
      <c r="D351" s="433"/>
      <c r="E351" s="434"/>
      <c r="F351" s="435"/>
      <c r="G351" s="450"/>
      <c r="J351" s="451"/>
      <c r="K351" s="452"/>
    </row>
    <row r="352" spans="2:11" s="444" customFormat="1" ht="25.5" x14ac:dyDescent="0.35">
      <c r="B352" s="445" t="s">
        <v>17</v>
      </c>
      <c r="C352" s="446" t="s">
        <v>582</v>
      </c>
      <c r="D352" s="447">
        <v>1</v>
      </c>
      <c r="E352" s="448" t="s">
        <v>113</v>
      </c>
      <c r="F352" s="449">
        <v>662100</v>
      </c>
      <c r="G352" s="450">
        <f t="shared" ref="G352" si="23">F352*D352</f>
        <v>662100</v>
      </c>
      <c r="H352" s="418"/>
      <c r="J352" s="451"/>
      <c r="K352" s="452"/>
    </row>
    <row r="353" spans="2:11" x14ac:dyDescent="0.35">
      <c r="B353" s="431"/>
      <c r="C353" s="437" t="s">
        <v>565</v>
      </c>
      <c r="D353" s="433"/>
      <c r="E353" s="434"/>
      <c r="F353" s="435"/>
      <c r="G353" s="450"/>
      <c r="J353" s="451"/>
      <c r="K353" s="452"/>
    </row>
    <row r="354" spans="2:11" s="444" customFormat="1" ht="26.35" customHeight="1" x14ac:dyDescent="0.35">
      <c r="B354" s="445" t="s">
        <v>90</v>
      </c>
      <c r="C354" s="446" t="s">
        <v>566</v>
      </c>
      <c r="D354" s="447">
        <v>1</v>
      </c>
      <c r="E354" s="448" t="s">
        <v>113</v>
      </c>
      <c r="F354" s="449">
        <v>2675600</v>
      </c>
      <c r="G354" s="450">
        <f t="shared" ref="G354" si="24">F354*D354</f>
        <v>2675600</v>
      </c>
      <c r="H354" s="418"/>
      <c r="J354" s="451"/>
      <c r="K354" s="452"/>
    </row>
    <row r="355" spans="2:11" s="444" customFormat="1" ht="26.35" customHeight="1" x14ac:dyDescent="0.35">
      <c r="B355" s="445"/>
      <c r="C355" s="446"/>
      <c r="D355" s="447"/>
      <c r="E355" s="448"/>
      <c r="F355" s="454"/>
      <c r="G355" s="450"/>
      <c r="H355" s="418"/>
      <c r="J355" s="451"/>
      <c r="K355" s="452"/>
    </row>
    <row r="356" spans="2:11" s="444" customFormat="1" ht="26.35" customHeight="1" x14ac:dyDescent="0.35">
      <c r="B356" s="445"/>
      <c r="C356" s="446"/>
      <c r="D356" s="447"/>
      <c r="E356" s="448"/>
      <c r="F356" s="454"/>
      <c r="G356" s="450"/>
      <c r="H356" s="418"/>
      <c r="J356" s="451"/>
      <c r="K356" s="452"/>
    </row>
    <row r="357" spans="2:11" s="444" customFormat="1" ht="26.35" customHeight="1" x14ac:dyDescent="0.35">
      <c r="B357" s="445"/>
      <c r="C357" s="446"/>
      <c r="D357" s="447"/>
      <c r="E357" s="448"/>
      <c r="F357" s="454"/>
      <c r="G357" s="450"/>
      <c r="H357" s="418"/>
      <c r="J357" s="451"/>
      <c r="K357" s="452"/>
    </row>
    <row r="358" spans="2:11" s="444" customFormat="1" ht="26.35" customHeight="1" x14ac:dyDescent="0.35">
      <c r="B358" s="445"/>
      <c r="C358" s="446"/>
      <c r="D358" s="447"/>
      <c r="E358" s="448"/>
      <c r="F358" s="454"/>
      <c r="G358" s="450"/>
      <c r="H358" s="418"/>
      <c r="J358" s="451"/>
      <c r="K358" s="452"/>
    </row>
    <row r="359" spans="2:11" s="444" customFormat="1" ht="26.35" customHeight="1" x14ac:dyDescent="0.35">
      <c r="B359" s="445"/>
      <c r="C359" s="446"/>
      <c r="D359" s="447"/>
      <c r="E359" s="448"/>
      <c r="F359" s="454"/>
      <c r="G359" s="450"/>
      <c r="H359" s="418"/>
      <c r="J359" s="451"/>
      <c r="K359" s="452"/>
    </row>
    <row r="360" spans="2:11" s="444" customFormat="1" ht="26.35" customHeight="1" thickBot="1" x14ac:dyDescent="0.4">
      <c r="B360" s="445"/>
      <c r="C360" s="453" t="s">
        <v>55</v>
      </c>
      <c r="D360" s="447"/>
      <c r="E360" s="448"/>
      <c r="F360" s="454"/>
      <c r="G360" s="455">
        <f>SUM(G302:G355)</f>
        <v>88541250</v>
      </c>
      <c r="H360" s="418"/>
      <c r="J360" s="451"/>
      <c r="K360" s="452"/>
    </row>
    <row r="361" spans="2:11" s="456" customFormat="1" ht="26.35" customHeight="1" thickTop="1" x14ac:dyDescent="0.35">
      <c r="B361" s="457"/>
      <c r="C361" s="458" t="s">
        <v>1090</v>
      </c>
      <c r="D361" s="459"/>
      <c r="E361" s="459"/>
      <c r="F361" s="460"/>
      <c r="G361" s="461"/>
      <c r="H361" s="418"/>
      <c r="J361" s="451"/>
      <c r="K361" s="452"/>
    </row>
    <row r="362" spans="2:11" ht="22.25" customHeight="1" x14ac:dyDescent="0.35">
      <c r="B362" s="431"/>
      <c r="C362" s="432" t="str">
        <f>C233</f>
        <v>4/4/3</v>
      </c>
      <c r="D362" s="433"/>
      <c r="E362" s="434"/>
      <c r="F362" s="435"/>
      <c r="G362" s="436"/>
    </row>
    <row r="363" spans="2:11" ht="22.25" customHeight="1" x14ac:dyDescent="0.35">
      <c r="B363" s="431"/>
      <c r="C363" s="432" t="str">
        <f>C234</f>
        <v>BILL NO.4</v>
      </c>
      <c r="D363" s="433"/>
      <c r="E363" s="434"/>
      <c r="F363" s="435"/>
      <c r="G363" s="436"/>
    </row>
    <row r="364" spans="2:11" ht="22.25" customHeight="1" x14ac:dyDescent="0.35">
      <c r="B364" s="431"/>
      <c r="C364" s="432" t="s">
        <v>1082</v>
      </c>
      <c r="D364" s="433"/>
      <c r="E364" s="434"/>
      <c r="F364" s="435"/>
      <c r="G364" s="436"/>
    </row>
    <row r="365" spans="2:11" ht="15.4" customHeight="1" x14ac:dyDescent="0.35">
      <c r="B365" s="431"/>
      <c r="C365" s="432" t="s">
        <v>1235</v>
      </c>
      <c r="D365" s="433"/>
      <c r="E365" s="434"/>
      <c r="F365" s="435"/>
      <c r="G365" s="436"/>
    </row>
    <row r="366" spans="2:11" s="444" customFormat="1" ht="63" customHeight="1" x14ac:dyDescent="0.35">
      <c r="B366" s="445" t="s">
        <v>31</v>
      </c>
      <c r="C366" s="446" t="s">
        <v>1014</v>
      </c>
      <c r="D366" s="447">
        <v>87</v>
      </c>
      <c r="E366" s="448" t="s">
        <v>113</v>
      </c>
      <c r="F366" s="449">
        <v>139050</v>
      </c>
      <c r="G366" s="450">
        <f>F366*D366</f>
        <v>12097350</v>
      </c>
      <c r="H366" s="418"/>
      <c r="J366" s="451"/>
      <c r="K366" s="452"/>
    </row>
    <row r="367" spans="2:11" s="444" customFormat="1" ht="38.25" x14ac:dyDescent="0.35">
      <c r="B367" s="445" t="s">
        <v>32</v>
      </c>
      <c r="C367" s="446" t="s">
        <v>929</v>
      </c>
      <c r="D367" s="447">
        <v>43</v>
      </c>
      <c r="E367" s="448" t="s">
        <v>113</v>
      </c>
      <c r="F367" s="449">
        <v>115800</v>
      </c>
      <c r="G367" s="450">
        <f t="shared" ref="G367:G378" si="25">F367*D367</f>
        <v>4979400</v>
      </c>
      <c r="H367" s="418"/>
      <c r="J367" s="451"/>
      <c r="K367" s="452"/>
    </row>
    <row r="368" spans="2:11" s="444" customFormat="1" ht="25.5" x14ac:dyDescent="0.35">
      <c r="B368" s="445" t="s">
        <v>33</v>
      </c>
      <c r="C368" s="446" t="s">
        <v>932</v>
      </c>
      <c r="D368" s="447">
        <v>12</v>
      </c>
      <c r="E368" s="448" t="s">
        <v>113</v>
      </c>
      <c r="F368" s="449">
        <v>115800</v>
      </c>
      <c r="G368" s="450">
        <f t="shared" si="25"/>
        <v>1389600</v>
      </c>
      <c r="H368" s="418"/>
      <c r="J368" s="451"/>
      <c r="K368" s="452"/>
    </row>
    <row r="369" spans="2:11" s="444" customFormat="1" ht="25.5" x14ac:dyDescent="0.35">
      <c r="B369" s="445" t="s">
        <v>34</v>
      </c>
      <c r="C369" s="446" t="s">
        <v>1020</v>
      </c>
      <c r="D369" s="447">
        <v>2</v>
      </c>
      <c r="E369" s="448" t="s">
        <v>113</v>
      </c>
      <c r="F369" s="449">
        <v>26400</v>
      </c>
      <c r="G369" s="450">
        <f t="shared" si="25"/>
        <v>52800</v>
      </c>
      <c r="H369" s="418"/>
      <c r="J369" s="451"/>
      <c r="K369" s="452"/>
    </row>
    <row r="370" spans="2:11" s="444" customFormat="1" ht="25.5" x14ac:dyDescent="0.35">
      <c r="B370" s="445" t="s">
        <v>35</v>
      </c>
      <c r="C370" s="446" t="s">
        <v>1019</v>
      </c>
      <c r="D370" s="447">
        <v>18</v>
      </c>
      <c r="E370" s="448" t="s">
        <v>113</v>
      </c>
      <c r="F370" s="449">
        <v>26400</v>
      </c>
      <c r="G370" s="450">
        <f t="shared" si="25"/>
        <v>475200</v>
      </c>
      <c r="H370" s="418"/>
      <c r="J370" s="451"/>
      <c r="K370" s="452"/>
    </row>
    <row r="371" spans="2:11" s="444" customFormat="1" ht="25.5" x14ac:dyDescent="0.35">
      <c r="B371" s="445" t="s">
        <v>36</v>
      </c>
      <c r="C371" s="446" t="s">
        <v>545</v>
      </c>
      <c r="D371" s="447">
        <v>12</v>
      </c>
      <c r="E371" s="448" t="s">
        <v>113</v>
      </c>
      <c r="F371" s="449">
        <v>26400</v>
      </c>
      <c r="G371" s="450">
        <f t="shared" si="25"/>
        <v>316800</v>
      </c>
      <c r="H371" s="418"/>
      <c r="J371" s="451"/>
      <c r="K371" s="452"/>
    </row>
    <row r="372" spans="2:11" s="444" customFormat="1" ht="25.5" x14ac:dyDescent="0.35">
      <c r="B372" s="445" t="s">
        <v>114</v>
      </c>
      <c r="C372" s="446" t="s">
        <v>546</v>
      </c>
      <c r="D372" s="447">
        <v>5</v>
      </c>
      <c r="E372" s="448" t="s">
        <v>113</v>
      </c>
      <c r="F372" s="449">
        <v>26400</v>
      </c>
      <c r="G372" s="450">
        <f t="shared" si="25"/>
        <v>132000</v>
      </c>
      <c r="H372" s="418"/>
      <c r="J372" s="451"/>
      <c r="K372" s="452"/>
    </row>
    <row r="373" spans="2:11" s="444" customFormat="1" ht="25.5" x14ac:dyDescent="0.35">
      <c r="B373" s="445" t="s">
        <v>39</v>
      </c>
      <c r="C373" s="446" t="s">
        <v>547</v>
      </c>
      <c r="D373" s="447">
        <v>6</v>
      </c>
      <c r="E373" s="448" t="s">
        <v>113</v>
      </c>
      <c r="F373" s="449">
        <v>26400</v>
      </c>
      <c r="G373" s="450">
        <f t="shared" si="25"/>
        <v>158400</v>
      </c>
      <c r="H373" s="418"/>
      <c r="J373" s="451"/>
      <c r="K373" s="452"/>
    </row>
    <row r="374" spans="2:11" s="444" customFormat="1" ht="25.5" x14ac:dyDescent="0.35">
      <c r="B374" s="445" t="s">
        <v>40</v>
      </c>
      <c r="C374" s="446" t="s">
        <v>930</v>
      </c>
      <c r="D374" s="447">
        <v>4</v>
      </c>
      <c r="E374" s="448" t="s">
        <v>113</v>
      </c>
      <c r="F374" s="449">
        <v>115800</v>
      </c>
      <c r="G374" s="450">
        <f t="shared" si="25"/>
        <v>463200</v>
      </c>
      <c r="H374" s="418"/>
      <c r="J374" s="451"/>
      <c r="K374" s="452"/>
    </row>
    <row r="375" spans="2:11" s="444" customFormat="1" ht="38.25" x14ac:dyDescent="0.35">
      <c r="B375" s="445" t="s">
        <v>15</v>
      </c>
      <c r="C375" s="446" t="s">
        <v>940</v>
      </c>
      <c r="D375" s="447">
        <v>15</v>
      </c>
      <c r="E375" s="448" t="s">
        <v>112</v>
      </c>
      <c r="F375" s="449">
        <v>82700</v>
      </c>
      <c r="G375" s="450">
        <f t="shared" si="25"/>
        <v>1240500</v>
      </c>
      <c r="H375" s="418"/>
      <c r="J375" s="451"/>
      <c r="K375" s="452"/>
    </row>
    <row r="376" spans="2:11" s="444" customFormat="1" ht="38.25" x14ac:dyDescent="0.35">
      <c r="B376" s="445" t="s">
        <v>16</v>
      </c>
      <c r="C376" s="446" t="s">
        <v>941</v>
      </c>
      <c r="D376" s="447">
        <v>25</v>
      </c>
      <c r="E376" s="448" t="s">
        <v>112</v>
      </c>
      <c r="F376" s="449">
        <v>82700</v>
      </c>
      <c r="G376" s="450">
        <f t="shared" si="25"/>
        <v>2067500</v>
      </c>
      <c r="H376" s="418"/>
      <c r="J376" s="451"/>
      <c r="K376" s="452"/>
    </row>
    <row r="377" spans="2:11" s="444" customFormat="1" ht="38.25" x14ac:dyDescent="0.35">
      <c r="B377" s="445" t="s">
        <v>89</v>
      </c>
      <c r="C377" s="446" t="s">
        <v>942</v>
      </c>
      <c r="D377" s="447">
        <v>15</v>
      </c>
      <c r="E377" s="448" t="s">
        <v>112</v>
      </c>
      <c r="F377" s="449">
        <v>82700</v>
      </c>
      <c r="G377" s="450">
        <f t="shared" si="25"/>
        <v>1240500</v>
      </c>
      <c r="H377" s="418"/>
      <c r="J377" s="451"/>
      <c r="K377" s="452"/>
    </row>
    <row r="378" spans="2:11" s="444" customFormat="1" ht="51" x14ac:dyDescent="0.35">
      <c r="B378" s="445" t="s">
        <v>17</v>
      </c>
      <c r="C378" s="446" t="s">
        <v>567</v>
      </c>
      <c r="D378" s="447">
        <v>3</v>
      </c>
      <c r="E378" s="448" t="s">
        <v>113</v>
      </c>
      <c r="F378" s="449">
        <v>1979700</v>
      </c>
      <c r="G378" s="450">
        <f t="shared" si="25"/>
        <v>5939100</v>
      </c>
      <c r="H378" s="418"/>
      <c r="J378" s="451"/>
      <c r="K378" s="452"/>
    </row>
    <row r="379" spans="2:11" s="444" customFormat="1" x14ac:dyDescent="0.35">
      <c r="B379" s="445"/>
      <c r="C379" s="446"/>
      <c r="D379" s="447"/>
      <c r="E379" s="448"/>
      <c r="F379" s="449"/>
      <c r="G379" s="450"/>
      <c r="H379" s="418"/>
      <c r="J379" s="451"/>
      <c r="K379" s="452"/>
    </row>
    <row r="380" spans="2:11" s="444" customFormat="1" x14ac:dyDescent="0.35">
      <c r="B380" s="445"/>
      <c r="C380" s="446"/>
      <c r="D380" s="447"/>
      <c r="E380" s="448"/>
      <c r="F380" s="449"/>
      <c r="G380" s="450"/>
      <c r="H380" s="418"/>
      <c r="J380" s="451"/>
      <c r="K380" s="452"/>
    </row>
    <row r="381" spans="2:11" s="444" customFormat="1" ht="51" x14ac:dyDescent="0.35">
      <c r="B381" s="445" t="s">
        <v>31</v>
      </c>
      <c r="C381" s="446" t="s">
        <v>568</v>
      </c>
      <c r="D381" s="447">
        <v>2</v>
      </c>
      <c r="E381" s="448" t="s">
        <v>113</v>
      </c>
      <c r="F381" s="449">
        <v>1033700</v>
      </c>
      <c r="G381" s="450">
        <f t="shared" ref="G381:G385" si="26">F381*D381</f>
        <v>2067400</v>
      </c>
      <c r="H381" s="418"/>
      <c r="J381" s="451"/>
      <c r="K381" s="452"/>
    </row>
    <row r="382" spans="2:11" s="444" customFormat="1" ht="25.5" x14ac:dyDescent="0.35">
      <c r="B382" s="445" t="s">
        <v>32</v>
      </c>
      <c r="C382" s="446" t="s">
        <v>549</v>
      </c>
      <c r="D382" s="447">
        <v>12</v>
      </c>
      <c r="E382" s="448" t="s">
        <v>113</v>
      </c>
      <c r="F382" s="449">
        <v>2600</v>
      </c>
      <c r="G382" s="450">
        <f t="shared" si="26"/>
        <v>31200</v>
      </c>
      <c r="H382" s="418"/>
      <c r="J382" s="451"/>
      <c r="K382" s="452"/>
    </row>
    <row r="383" spans="2:11" s="444" customFormat="1" ht="25.5" x14ac:dyDescent="0.35">
      <c r="B383" s="445" t="s">
        <v>33</v>
      </c>
      <c r="C383" s="446" t="s">
        <v>550</v>
      </c>
      <c r="D383" s="447">
        <v>16</v>
      </c>
      <c r="E383" s="448" t="s">
        <v>113</v>
      </c>
      <c r="F383" s="449">
        <v>3900</v>
      </c>
      <c r="G383" s="450">
        <f t="shared" si="26"/>
        <v>62400</v>
      </c>
      <c r="H383" s="418"/>
      <c r="J383" s="451"/>
      <c r="K383" s="452"/>
    </row>
    <row r="384" spans="2:11" s="444" customFormat="1" ht="25.5" x14ac:dyDescent="0.35">
      <c r="B384" s="445" t="s">
        <v>34</v>
      </c>
      <c r="C384" s="446" t="s">
        <v>569</v>
      </c>
      <c r="D384" s="447">
        <v>25</v>
      </c>
      <c r="E384" s="448" t="s">
        <v>112</v>
      </c>
      <c r="F384" s="449">
        <v>11600</v>
      </c>
      <c r="G384" s="450">
        <f t="shared" si="26"/>
        <v>290000</v>
      </c>
      <c r="H384" s="418"/>
      <c r="J384" s="451"/>
      <c r="K384" s="452"/>
    </row>
    <row r="385" spans="2:11" s="444" customFormat="1" x14ac:dyDescent="0.35">
      <c r="B385" s="445" t="s">
        <v>35</v>
      </c>
      <c r="C385" s="446" t="s">
        <v>552</v>
      </c>
      <c r="D385" s="447">
        <v>24</v>
      </c>
      <c r="E385" s="448" t="s">
        <v>112</v>
      </c>
      <c r="F385" s="449">
        <v>82750</v>
      </c>
      <c r="G385" s="450">
        <f t="shared" si="26"/>
        <v>1986000</v>
      </c>
      <c r="H385" s="418"/>
      <c r="J385" s="451"/>
      <c r="K385" s="452"/>
    </row>
    <row r="386" spans="2:11" x14ac:dyDescent="0.35">
      <c r="B386" s="431"/>
      <c r="C386" s="437" t="s">
        <v>553</v>
      </c>
      <c r="D386" s="433"/>
      <c r="E386" s="434"/>
      <c r="F386" s="435"/>
      <c r="G386" s="450"/>
      <c r="J386" s="451"/>
      <c r="K386" s="452"/>
    </row>
    <row r="387" spans="2:11" s="444" customFormat="1" ht="25.5" x14ac:dyDescent="0.35">
      <c r="B387" s="445" t="s">
        <v>34</v>
      </c>
      <c r="C387" s="446" t="s">
        <v>554</v>
      </c>
      <c r="D387" s="447">
        <v>17</v>
      </c>
      <c r="E387" s="448" t="s">
        <v>113</v>
      </c>
      <c r="F387" s="449">
        <v>87500</v>
      </c>
      <c r="G387" s="450">
        <f t="shared" ref="G387:G401" si="27">F387*D387</f>
        <v>1487500</v>
      </c>
      <c r="H387" s="418"/>
      <c r="J387" s="451"/>
      <c r="K387" s="452"/>
    </row>
    <row r="388" spans="2:11" s="444" customFormat="1" ht="38.25" x14ac:dyDescent="0.35">
      <c r="B388" s="445" t="s">
        <v>35</v>
      </c>
      <c r="C388" s="446" t="s">
        <v>555</v>
      </c>
      <c r="D388" s="447">
        <v>7</v>
      </c>
      <c r="E388" s="448" t="s">
        <v>113</v>
      </c>
      <c r="F388" s="449">
        <v>134800</v>
      </c>
      <c r="G388" s="450">
        <f t="shared" si="27"/>
        <v>943600</v>
      </c>
      <c r="H388" s="418"/>
      <c r="J388" s="451"/>
      <c r="K388" s="452"/>
    </row>
    <row r="389" spans="2:11" s="444" customFormat="1" ht="51" x14ac:dyDescent="0.35">
      <c r="B389" s="445" t="s">
        <v>36</v>
      </c>
      <c r="C389" s="446" t="s">
        <v>556</v>
      </c>
      <c r="D389" s="447">
        <v>2</v>
      </c>
      <c r="E389" s="448" t="s">
        <v>113</v>
      </c>
      <c r="F389" s="449">
        <v>85100</v>
      </c>
      <c r="G389" s="450">
        <f t="shared" si="27"/>
        <v>170200</v>
      </c>
      <c r="H389" s="418"/>
      <c r="J389" s="451"/>
      <c r="K389" s="452"/>
    </row>
    <row r="390" spans="2:11" s="444" customFormat="1" ht="25.5" x14ac:dyDescent="0.35">
      <c r="B390" s="445" t="s">
        <v>114</v>
      </c>
      <c r="C390" s="446" t="s">
        <v>557</v>
      </c>
      <c r="D390" s="447">
        <v>0</v>
      </c>
      <c r="E390" s="448" t="s">
        <v>113</v>
      </c>
      <c r="F390" s="449">
        <v>80400</v>
      </c>
      <c r="G390" s="450">
        <f t="shared" si="27"/>
        <v>0</v>
      </c>
      <c r="H390" s="418"/>
      <c r="J390" s="451"/>
      <c r="K390" s="452"/>
    </row>
    <row r="391" spans="2:11" s="444" customFormat="1" ht="38.25" x14ac:dyDescent="0.35">
      <c r="B391" s="445" t="s">
        <v>39</v>
      </c>
      <c r="C391" s="446" t="s">
        <v>558</v>
      </c>
      <c r="D391" s="447">
        <v>0</v>
      </c>
      <c r="E391" s="448" t="s">
        <v>113</v>
      </c>
      <c r="F391" s="449">
        <v>106400</v>
      </c>
      <c r="G391" s="450">
        <f t="shared" si="27"/>
        <v>0</v>
      </c>
      <c r="H391" s="418"/>
      <c r="J391" s="451"/>
      <c r="K391" s="452"/>
    </row>
    <row r="392" spans="2:11" s="444" customFormat="1" ht="38.25" x14ac:dyDescent="0.35">
      <c r="B392" s="445" t="s">
        <v>40</v>
      </c>
      <c r="C392" s="446" t="s">
        <v>1078</v>
      </c>
      <c r="D392" s="447">
        <v>16</v>
      </c>
      <c r="E392" s="448" t="s">
        <v>113</v>
      </c>
      <c r="F392" s="449">
        <v>52500</v>
      </c>
      <c r="G392" s="450">
        <f t="shared" si="27"/>
        <v>840000</v>
      </c>
      <c r="H392" s="418"/>
      <c r="J392" s="451"/>
      <c r="K392" s="452"/>
    </row>
    <row r="393" spans="2:11" s="444" customFormat="1" ht="38.25" x14ac:dyDescent="0.35">
      <c r="B393" s="445" t="s">
        <v>40</v>
      </c>
      <c r="C393" s="446" t="s">
        <v>1079</v>
      </c>
      <c r="D393" s="447">
        <v>2</v>
      </c>
      <c r="E393" s="448" t="s">
        <v>113</v>
      </c>
      <c r="F393" s="449">
        <v>52500</v>
      </c>
      <c r="G393" s="450">
        <f t="shared" si="27"/>
        <v>105000</v>
      </c>
      <c r="H393" s="418"/>
      <c r="J393" s="451"/>
      <c r="K393" s="452"/>
    </row>
    <row r="394" spans="2:11" s="444" customFormat="1" ht="25.5" x14ac:dyDescent="0.35">
      <c r="B394" s="445" t="s">
        <v>15</v>
      </c>
      <c r="C394" s="446" t="s">
        <v>571</v>
      </c>
      <c r="D394" s="447">
        <v>46</v>
      </c>
      <c r="E394" s="448" t="s">
        <v>113</v>
      </c>
      <c r="F394" s="449">
        <v>302700</v>
      </c>
      <c r="G394" s="450">
        <f t="shared" si="27"/>
        <v>13924200</v>
      </c>
      <c r="H394" s="418"/>
      <c r="J394" s="451"/>
      <c r="K394" s="452"/>
    </row>
    <row r="395" spans="2:11" s="444" customFormat="1" ht="38.25" x14ac:dyDescent="0.35">
      <c r="B395" s="445" t="s">
        <v>16</v>
      </c>
      <c r="C395" s="446" t="s">
        <v>572</v>
      </c>
      <c r="D395" s="447">
        <v>12</v>
      </c>
      <c r="E395" s="448" t="s">
        <v>113</v>
      </c>
      <c r="F395" s="449">
        <v>397200</v>
      </c>
      <c r="G395" s="450">
        <f t="shared" si="27"/>
        <v>4766400</v>
      </c>
      <c r="H395" s="418"/>
      <c r="J395" s="451"/>
      <c r="K395" s="452"/>
    </row>
    <row r="396" spans="2:11" s="444" customFormat="1" ht="32.65" customHeight="1" x14ac:dyDescent="0.35">
      <c r="B396" s="445" t="s">
        <v>89</v>
      </c>
      <c r="C396" s="446" t="s">
        <v>1073</v>
      </c>
      <c r="D396" s="447">
        <v>13</v>
      </c>
      <c r="E396" s="448" t="s">
        <v>113</v>
      </c>
      <c r="F396" s="449">
        <v>124550</v>
      </c>
      <c r="G396" s="450">
        <f t="shared" si="27"/>
        <v>1619150</v>
      </c>
      <c r="H396" s="418"/>
      <c r="J396" s="451"/>
      <c r="K396" s="452"/>
    </row>
    <row r="397" spans="2:11" s="444" customFormat="1" ht="25.5" x14ac:dyDescent="0.35">
      <c r="B397" s="445" t="s">
        <v>17</v>
      </c>
      <c r="C397" s="446" t="s">
        <v>1074</v>
      </c>
      <c r="D397" s="447">
        <v>3</v>
      </c>
      <c r="E397" s="448" t="s">
        <v>113</v>
      </c>
      <c r="F397" s="449">
        <v>106400</v>
      </c>
      <c r="G397" s="450">
        <f t="shared" si="27"/>
        <v>319200</v>
      </c>
      <c r="H397" s="418"/>
      <c r="J397" s="451"/>
      <c r="K397" s="452"/>
    </row>
    <row r="398" spans="2:11" s="444" customFormat="1" ht="38.25" x14ac:dyDescent="0.35">
      <c r="B398" s="445" t="s">
        <v>90</v>
      </c>
      <c r="C398" s="446" t="s">
        <v>1075</v>
      </c>
      <c r="D398" s="447">
        <v>5</v>
      </c>
      <c r="E398" s="448" t="s">
        <v>113</v>
      </c>
      <c r="F398" s="449">
        <v>147500</v>
      </c>
      <c r="G398" s="450">
        <f t="shared" si="27"/>
        <v>737500</v>
      </c>
      <c r="H398" s="418"/>
      <c r="J398" s="451"/>
      <c r="K398" s="452"/>
    </row>
    <row r="399" spans="2:11" s="444" customFormat="1" ht="38.25" x14ac:dyDescent="0.35">
      <c r="B399" s="445" t="s">
        <v>40</v>
      </c>
      <c r="C399" s="446" t="s">
        <v>1080</v>
      </c>
      <c r="D399" s="447">
        <v>2</v>
      </c>
      <c r="E399" s="448" t="s">
        <v>113</v>
      </c>
      <c r="F399" s="449">
        <v>52500</v>
      </c>
      <c r="G399" s="450">
        <f t="shared" si="27"/>
        <v>105000</v>
      </c>
      <c r="H399" s="418"/>
      <c r="J399" s="451"/>
      <c r="K399" s="452"/>
    </row>
    <row r="400" spans="2:11" s="444" customFormat="1" ht="38.25" x14ac:dyDescent="0.35">
      <c r="B400" s="445" t="s">
        <v>88</v>
      </c>
      <c r="C400" s="446" t="s">
        <v>1076</v>
      </c>
      <c r="D400" s="447">
        <v>0</v>
      </c>
      <c r="E400" s="448" t="s">
        <v>113</v>
      </c>
      <c r="F400" s="449">
        <v>106400</v>
      </c>
      <c r="G400" s="450">
        <f t="shared" si="27"/>
        <v>0</v>
      </c>
      <c r="H400" s="418"/>
      <c r="J400" s="451"/>
      <c r="K400" s="452"/>
    </row>
    <row r="401" spans="2:11" s="444" customFormat="1" ht="38.25" x14ac:dyDescent="0.35">
      <c r="B401" s="445" t="s">
        <v>251</v>
      </c>
      <c r="C401" s="446" t="s">
        <v>1077</v>
      </c>
      <c r="D401" s="447">
        <v>0</v>
      </c>
      <c r="E401" s="448" t="s">
        <v>113</v>
      </c>
      <c r="F401" s="449">
        <v>147500</v>
      </c>
      <c r="G401" s="450">
        <f t="shared" si="27"/>
        <v>0</v>
      </c>
      <c r="H401" s="418"/>
      <c r="J401" s="451"/>
      <c r="K401" s="452"/>
    </row>
    <row r="402" spans="2:11" x14ac:dyDescent="0.35">
      <c r="B402" s="431"/>
      <c r="C402" s="437" t="s">
        <v>559</v>
      </c>
      <c r="D402" s="433"/>
      <c r="E402" s="434"/>
      <c r="F402" s="435"/>
      <c r="G402" s="450"/>
      <c r="J402" s="451"/>
      <c r="K402" s="452"/>
    </row>
    <row r="403" spans="2:11" s="444" customFormat="1" ht="25.5" x14ac:dyDescent="0.35">
      <c r="B403" s="445" t="s">
        <v>33</v>
      </c>
      <c r="C403" s="446" t="s">
        <v>560</v>
      </c>
      <c r="D403" s="447">
        <v>20</v>
      </c>
      <c r="E403" s="448" t="s">
        <v>113</v>
      </c>
      <c r="F403" s="449">
        <v>13200</v>
      </c>
      <c r="G403" s="450">
        <f t="shared" ref="G403:G407" si="28">F403*D403</f>
        <v>264000</v>
      </c>
      <c r="H403" s="418"/>
      <c r="J403" s="451"/>
      <c r="K403" s="452"/>
    </row>
    <row r="404" spans="2:11" s="444" customFormat="1" ht="25.5" x14ac:dyDescent="0.35">
      <c r="B404" s="445" t="s">
        <v>34</v>
      </c>
      <c r="C404" s="446" t="s">
        <v>573</v>
      </c>
      <c r="D404" s="447">
        <v>10</v>
      </c>
      <c r="E404" s="448" t="s">
        <v>113</v>
      </c>
      <c r="F404" s="449">
        <v>16550</v>
      </c>
      <c r="G404" s="450">
        <f t="shared" si="28"/>
        <v>165500</v>
      </c>
      <c r="H404" s="418"/>
      <c r="J404" s="451"/>
      <c r="K404" s="452"/>
    </row>
    <row r="405" spans="2:11" s="444" customFormat="1" ht="25.5" x14ac:dyDescent="0.35">
      <c r="B405" s="445" t="s">
        <v>35</v>
      </c>
      <c r="C405" s="446" t="s">
        <v>574</v>
      </c>
      <c r="D405" s="447">
        <v>12</v>
      </c>
      <c r="E405" s="448" t="s">
        <v>113</v>
      </c>
      <c r="F405" s="449">
        <v>26400</v>
      </c>
      <c r="G405" s="450">
        <f t="shared" si="28"/>
        <v>316800</v>
      </c>
      <c r="H405" s="418"/>
      <c r="J405" s="451"/>
      <c r="K405" s="452"/>
    </row>
    <row r="406" spans="2:11" s="444" customFormat="1" ht="25.5" x14ac:dyDescent="0.35">
      <c r="B406" s="445" t="s">
        <v>36</v>
      </c>
      <c r="C406" s="446" t="s">
        <v>575</v>
      </c>
      <c r="D406" s="447">
        <v>2</v>
      </c>
      <c r="E406" s="448" t="s">
        <v>113</v>
      </c>
      <c r="F406" s="449">
        <v>29700</v>
      </c>
      <c r="G406" s="450">
        <f t="shared" si="28"/>
        <v>59400</v>
      </c>
      <c r="H406" s="418"/>
      <c r="J406" s="451"/>
      <c r="K406" s="452"/>
    </row>
    <row r="407" spans="2:11" s="444" customFormat="1" ht="25.5" x14ac:dyDescent="0.35">
      <c r="B407" s="445" t="s">
        <v>114</v>
      </c>
      <c r="C407" s="446" t="s">
        <v>576</v>
      </c>
      <c r="D407" s="447">
        <v>3</v>
      </c>
      <c r="E407" s="448" t="s">
        <v>113</v>
      </c>
      <c r="F407" s="449">
        <v>49650</v>
      </c>
      <c r="G407" s="450">
        <f t="shared" si="28"/>
        <v>148950</v>
      </c>
      <c r="H407" s="418"/>
      <c r="J407" s="451"/>
      <c r="K407" s="452"/>
    </row>
    <row r="408" spans="2:11" ht="22.05" customHeight="1" x14ac:dyDescent="0.35">
      <c r="B408" s="431"/>
      <c r="C408" s="437" t="s">
        <v>563</v>
      </c>
      <c r="D408" s="433"/>
      <c r="E408" s="434"/>
      <c r="F408" s="435"/>
      <c r="G408" s="450"/>
      <c r="J408" s="451"/>
      <c r="K408" s="452"/>
    </row>
    <row r="409" spans="2:11" s="444" customFormat="1" ht="25.5" x14ac:dyDescent="0.35">
      <c r="B409" s="445" t="s">
        <v>39</v>
      </c>
      <c r="C409" s="446" t="s">
        <v>583</v>
      </c>
      <c r="D409" s="447">
        <v>43</v>
      </c>
      <c r="E409" s="448" t="s">
        <v>113</v>
      </c>
      <c r="F409" s="449">
        <v>33100</v>
      </c>
      <c r="G409" s="450">
        <f t="shared" ref="G409:G412" si="29">F409*D409</f>
        <v>1423300</v>
      </c>
      <c r="H409" s="418"/>
      <c r="J409" s="451"/>
      <c r="K409" s="452"/>
    </row>
    <row r="410" spans="2:11" s="444" customFormat="1" ht="25.5" x14ac:dyDescent="0.35">
      <c r="B410" s="445" t="s">
        <v>40</v>
      </c>
      <c r="C410" s="446" t="s">
        <v>584</v>
      </c>
      <c r="D410" s="447">
        <v>8</v>
      </c>
      <c r="E410" s="448" t="s">
        <v>113</v>
      </c>
      <c r="F410" s="449">
        <v>49650</v>
      </c>
      <c r="G410" s="450">
        <f t="shared" si="29"/>
        <v>397200</v>
      </c>
      <c r="H410" s="418"/>
      <c r="J410" s="451"/>
      <c r="K410" s="452"/>
    </row>
    <row r="411" spans="2:11" s="444" customFormat="1" ht="25.5" x14ac:dyDescent="0.35">
      <c r="B411" s="445" t="s">
        <v>15</v>
      </c>
      <c r="C411" s="446" t="s">
        <v>578</v>
      </c>
      <c r="D411" s="447">
        <v>5</v>
      </c>
      <c r="E411" s="448" t="s">
        <v>113</v>
      </c>
      <c r="F411" s="449">
        <v>794500</v>
      </c>
      <c r="G411" s="450">
        <f t="shared" si="29"/>
        <v>3972500</v>
      </c>
      <c r="H411" s="418"/>
      <c r="J411" s="451"/>
      <c r="K411" s="452"/>
    </row>
    <row r="412" spans="2:11" s="444" customFormat="1" ht="25.5" x14ac:dyDescent="0.35">
      <c r="B412" s="445" t="s">
        <v>16</v>
      </c>
      <c r="C412" s="446" t="s">
        <v>936</v>
      </c>
      <c r="D412" s="447">
        <v>12</v>
      </c>
      <c r="E412" s="448" t="s">
        <v>113</v>
      </c>
      <c r="F412" s="449">
        <v>132400</v>
      </c>
      <c r="G412" s="450">
        <f t="shared" si="29"/>
        <v>1588800</v>
      </c>
      <c r="H412" s="418"/>
      <c r="J412" s="451"/>
      <c r="K412" s="452"/>
    </row>
    <row r="413" spans="2:11" ht="22.05" customHeight="1" x14ac:dyDescent="0.35">
      <c r="B413" s="431"/>
      <c r="C413" s="437" t="s">
        <v>579</v>
      </c>
      <c r="D413" s="433"/>
      <c r="E413" s="434"/>
      <c r="F413" s="435"/>
      <c r="G413" s="450"/>
      <c r="J413" s="451"/>
      <c r="K413" s="452"/>
    </row>
    <row r="414" spans="2:11" s="444" customFormat="1" ht="25.5" x14ac:dyDescent="0.35">
      <c r="B414" s="445" t="s">
        <v>89</v>
      </c>
      <c r="C414" s="446" t="s">
        <v>580</v>
      </c>
      <c r="D414" s="447">
        <v>150</v>
      </c>
      <c r="E414" s="448" t="s">
        <v>112</v>
      </c>
      <c r="F414" s="449">
        <v>112400</v>
      </c>
      <c r="G414" s="450">
        <f t="shared" ref="G414" si="30">F414*D414</f>
        <v>16860000</v>
      </c>
      <c r="H414" s="418"/>
      <c r="J414" s="451"/>
      <c r="K414" s="452"/>
    </row>
    <row r="415" spans="2:11" ht="22.05" customHeight="1" x14ac:dyDescent="0.35">
      <c r="B415" s="431"/>
      <c r="C415" s="437" t="s">
        <v>581</v>
      </c>
      <c r="D415" s="433"/>
      <c r="E415" s="434"/>
      <c r="F415" s="435"/>
      <c r="G415" s="450"/>
      <c r="J415" s="451"/>
      <c r="K415" s="452"/>
    </row>
    <row r="416" spans="2:11" s="444" customFormat="1" ht="25.5" x14ac:dyDescent="0.35">
      <c r="B416" s="445" t="s">
        <v>17</v>
      </c>
      <c r="C416" s="446" t="s">
        <v>582</v>
      </c>
      <c r="D416" s="447">
        <v>1</v>
      </c>
      <c r="E416" s="448" t="s">
        <v>113</v>
      </c>
      <c r="F416" s="449">
        <v>662100</v>
      </c>
      <c r="G416" s="450">
        <f t="shared" ref="G416" si="31">F416*D416</f>
        <v>662100</v>
      </c>
      <c r="H416" s="418"/>
      <c r="J416" s="451"/>
      <c r="K416" s="452"/>
    </row>
    <row r="417" spans="2:11" x14ac:dyDescent="0.35">
      <c r="B417" s="431"/>
      <c r="C417" s="437" t="s">
        <v>565</v>
      </c>
      <c r="D417" s="433"/>
      <c r="E417" s="434"/>
      <c r="F417" s="435"/>
      <c r="G417" s="450"/>
      <c r="J417" s="451"/>
      <c r="K417" s="452"/>
    </row>
    <row r="418" spans="2:11" s="444" customFormat="1" ht="26.35" customHeight="1" x14ac:dyDescent="0.35">
      <c r="B418" s="445" t="s">
        <v>90</v>
      </c>
      <c r="C418" s="446" t="s">
        <v>566</v>
      </c>
      <c r="D418" s="447">
        <v>1</v>
      </c>
      <c r="E418" s="448" t="s">
        <v>113</v>
      </c>
      <c r="F418" s="449">
        <v>2675600</v>
      </c>
      <c r="G418" s="450">
        <f t="shared" ref="G418" si="32">F418*D418</f>
        <v>2675600</v>
      </c>
      <c r="H418" s="418"/>
      <c r="J418" s="451"/>
      <c r="K418" s="452"/>
    </row>
    <row r="419" spans="2:11" s="444" customFormat="1" ht="26.35" customHeight="1" x14ac:dyDescent="0.35">
      <c r="B419" s="445"/>
      <c r="C419" s="446"/>
      <c r="D419" s="447"/>
      <c r="E419" s="448"/>
      <c r="F419" s="454"/>
      <c r="G419" s="450"/>
      <c r="H419" s="418"/>
      <c r="J419" s="451"/>
      <c r="K419" s="452"/>
    </row>
    <row r="420" spans="2:11" s="444" customFormat="1" ht="26.35" customHeight="1" x14ac:dyDescent="0.35">
      <c r="B420" s="445"/>
      <c r="C420" s="446"/>
      <c r="D420" s="447"/>
      <c r="E420" s="448"/>
      <c r="F420" s="454"/>
      <c r="G420" s="450"/>
      <c r="H420" s="418"/>
      <c r="J420" s="451"/>
      <c r="K420" s="452"/>
    </row>
    <row r="421" spans="2:11" s="444" customFormat="1" ht="26.35" customHeight="1" x14ac:dyDescent="0.35">
      <c r="B421" s="445"/>
      <c r="C421" s="446"/>
      <c r="D421" s="447"/>
      <c r="E421" s="448"/>
      <c r="F421" s="454"/>
      <c r="G421" s="450"/>
      <c r="H421" s="418"/>
      <c r="J421" s="451"/>
      <c r="K421" s="452"/>
    </row>
    <row r="422" spans="2:11" s="444" customFormat="1" ht="26.35" customHeight="1" x14ac:dyDescent="0.35">
      <c r="B422" s="445"/>
      <c r="C422" s="446"/>
      <c r="D422" s="447"/>
      <c r="E422" s="448"/>
      <c r="F422" s="454"/>
      <c r="G422" s="450"/>
      <c r="H422" s="418"/>
      <c r="J422" s="451"/>
      <c r="K422" s="452"/>
    </row>
    <row r="423" spans="2:11" s="444" customFormat="1" ht="26.35" customHeight="1" x14ac:dyDescent="0.35">
      <c r="B423" s="445"/>
      <c r="C423" s="446"/>
      <c r="D423" s="447"/>
      <c r="E423" s="448"/>
      <c r="F423" s="454"/>
      <c r="G423" s="450"/>
      <c r="H423" s="418"/>
      <c r="J423" s="451"/>
      <c r="K423" s="452"/>
    </row>
    <row r="424" spans="2:11" s="444" customFormat="1" ht="26.35" customHeight="1" thickBot="1" x14ac:dyDescent="0.4">
      <c r="B424" s="445"/>
      <c r="C424" s="453" t="s">
        <v>55</v>
      </c>
      <c r="D424" s="447"/>
      <c r="E424" s="448"/>
      <c r="F424" s="454"/>
      <c r="G424" s="455">
        <f>SUM(G366:G419)</f>
        <v>88541250</v>
      </c>
      <c r="H424" s="418"/>
      <c r="J424" s="451"/>
      <c r="K424" s="452"/>
    </row>
    <row r="425" spans="2:11" s="456" customFormat="1" ht="26.35" customHeight="1" thickTop="1" x14ac:dyDescent="0.35">
      <c r="B425" s="457"/>
      <c r="C425" s="458" t="s">
        <v>1090</v>
      </c>
      <c r="D425" s="459"/>
      <c r="E425" s="459"/>
      <c r="F425" s="460"/>
      <c r="G425" s="461"/>
      <c r="H425" s="418"/>
      <c r="J425" s="451"/>
      <c r="K425" s="452"/>
    </row>
    <row r="426" spans="2:11" ht="22.25" customHeight="1" x14ac:dyDescent="0.35">
      <c r="B426" s="431"/>
      <c r="C426" s="432" t="str">
        <f>C234</f>
        <v>BILL NO.4</v>
      </c>
      <c r="D426" s="433"/>
      <c r="E426" s="434"/>
      <c r="F426" s="435"/>
      <c r="G426" s="436"/>
    </row>
    <row r="427" spans="2:11" ht="22.25" customHeight="1" x14ac:dyDescent="0.35">
      <c r="B427" s="431"/>
      <c r="C427" s="432" t="str">
        <f>C235</f>
        <v>ELECTRICAL INSTALLATIONS</v>
      </c>
      <c r="D427" s="433"/>
      <c r="E427" s="434"/>
      <c r="F427" s="435"/>
      <c r="G427" s="436"/>
    </row>
    <row r="428" spans="2:11" ht="22.25" customHeight="1" x14ac:dyDescent="0.35">
      <c r="B428" s="431"/>
      <c r="C428" s="432" t="s">
        <v>1083</v>
      </c>
      <c r="D428" s="433"/>
      <c r="E428" s="434"/>
      <c r="F428" s="435"/>
      <c r="G428" s="436"/>
    </row>
    <row r="429" spans="2:11" ht="22.25" customHeight="1" x14ac:dyDescent="0.35">
      <c r="B429" s="431"/>
      <c r="C429" s="432" t="s">
        <v>954</v>
      </c>
      <c r="D429" s="433"/>
      <c r="E429" s="434"/>
      <c r="F429" s="435"/>
      <c r="G429" s="436"/>
    </row>
    <row r="430" spans="2:11" s="444" customFormat="1" ht="38.25" x14ac:dyDescent="0.35">
      <c r="B430" s="445" t="s">
        <v>31</v>
      </c>
      <c r="C430" s="446" t="s">
        <v>1014</v>
      </c>
      <c r="D430" s="447">
        <f>SUM(D438:D443)</f>
        <v>18</v>
      </c>
      <c r="E430" s="448" t="s">
        <v>113</v>
      </c>
      <c r="F430" s="449">
        <v>139000</v>
      </c>
      <c r="G430" s="450">
        <f>F430*D430</f>
        <v>2502000</v>
      </c>
      <c r="H430" s="418"/>
      <c r="J430" s="451"/>
      <c r="K430" s="452"/>
    </row>
    <row r="431" spans="2:11" s="444" customFormat="1" ht="38.25" x14ac:dyDescent="0.35">
      <c r="B431" s="445" t="s">
        <v>32</v>
      </c>
      <c r="C431" s="446" t="s">
        <v>929</v>
      </c>
      <c r="D431" s="447">
        <v>2</v>
      </c>
      <c r="E431" s="448" t="s">
        <v>113</v>
      </c>
      <c r="F431" s="449">
        <v>115800</v>
      </c>
      <c r="G431" s="450">
        <f t="shared" ref="G431:G447" si="33">F431*D431</f>
        <v>231600</v>
      </c>
      <c r="H431" s="418"/>
      <c r="J431" s="451"/>
      <c r="K431" s="452"/>
    </row>
    <row r="432" spans="2:11" s="444" customFormat="1" ht="25.5" x14ac:dyDescent="0.35">
      <c r="B432" s="445" t="s">
        <v>33</v>
      </c>
      <c r="C432" s="446" t="s">
        <v>546</v>
      </c>
      <c r="D432" s="447">
        <v>2</v>
      </c>
      <c r="E432" s="448" t="s">
        <v>113</v>
      </c>
      <c r="F432" s="449">
        <v>26400</v>
      </c>
      <c r="G432" s="450">
        <f t="shared" si="33"/>
        <v>52800</v>
      </c>
      <c r="H432" s="418"/>
      <c r="J432" s="451"/>
      <c r="K432" s="452"/>
    </row>
    <row r="433" spans="2:11" s="444" customFormat="1" ht="25.5" x14ac:dyDescent="0.35">
      <c r="B433" s="445" t="s">
        <v>34</v>
      </c>
      <c r="C433" s="446" t="s">
        <v>547</v>
      </c>
      <c r="D433" s="447">
        <v>2</v>
      </c>
      <c r="E433" s="448" t="s">
        <v>113</v>
      </c>
      <c r="F433" s="449">
        <v>26400</v>
      </c>
      <c r="G433" s="450">
        <f t="shared" si="33"/>
        <v>52800</v>
      </c>
      <c r="H433" s="418"/>
      <c r="J433" s="451"/>
      <c r="K433" s="452"/>
    </row>
    <row r="434" spans="2:11" s="444" customFormat="1" ht="38.25" x14ac:dyDescent="0.35">
      <c r="B434" s="445" t="s">
        <v>35</v>
      </c>
      <c r="C434" s="446" t="s">
        <v>943</v>
      </c>
      <c r="D434" s="447">
        <v>12</v>
      </c>
      <c r="E434" s="448" t="s">
        <v>112</v>
      </c>
      <c r="F434" s="449">
        <v>82700</v>
      </c>
      <c r="G434" s="450">
        <f t="shared" si="33"/>
        <v>992400</v>
      </c>
      <c r="H434" s="418"/>
      <c r="J434" s="451"/>
      <c r="K434" s="452"/>
    </row>
    <row r="435" spans="2:11" s="444" customFormat="1" ht="38.25" x14ac:dyDescent="0.35">
      <c r="B435" s="445" t="s">
        <v>36</v>
      </c>
      <c r="C435" s="446" t="s">
        <v>585</v>
      </c>
      <c r="D435" s="447">
        <v>1</v>
      </c>
      <c r="E435" s="448" t="s">
        <v>113</v>
      </c>
      <c r="F435" s="449">
        <v>1986400</v>
      </c>
      <c r="G435" s="450">
        <f t="shared" si="33"/>
        <v>1986400</v>
      </c>
      <c r="H435" s="418"/>
      <c r="J435" s="451"/>
      <c r="K435" s="452"/>
    </row>
    <row r="436" spans="2:11" s="444" customFormat="1" x14ac:dyDescent="0.35">
      <c r="B436" s="445" t="s">
        <v>114</v>
      </c>
      <c r="C436" s="446" t="s">
        <v>552</v>
      </c>
      <c r="D436" s="447">
        <v>6</v>
      </c>
      <c r="E436" s="448" t="s">
        <v>112</v>
      </c>
      <c r="F436" s="449">
        <v>115800</v>
      </c>
      <c r="G436" s="450">
        <f t="shared" si="33"/>
        <v>694800</v>
      </c>
      <c r="H436" s="418"/>
      <c r="J436" s="451"/>
      <c r="K436" s="452"/>
    </row>
    <row r="437" spans="2:11" x14ac:dyDescent="0.35">
      <c r="B437" s="431"/>
      <c r="C437" s="437" t="s">
        <v>553</v>
      </c>
      <c r="D437" s="433"/>
      <c r="E437" s="434"/>
      <c r="F437" s="435"/>
      <c r="G437" s="450"/>
      <c r="J437" s="451"/>
      <c r="K437" s="452"/>
    </row>
    <row r="438" spans="2:11" s="444" customFormat="1" ht="25.5" x14ac:dyDescent="0.35">
      <c r="B438" s="445" t="s">
        <v>34</v>
      </c>
      <c r="C438" s="446" t="s">
        <v>554</v>
      </c>
      <c r="D438" s="447">
        <v>2</v>
      </c>
      <c r="E438" s="448" t="s">
        <v>113</v>
      </c>
      <c r="F438" s="449">
        <v>87500</v>
      </c>
      <c r="G438" s="450">
        <f t="shared" ref="G438:G443" si="34">F438*D438</f>
        <v>175000</v>
      </c>
      <c r="H438" s="418"/>
      <c r="J438" s="451"/>
      <c r="K438" s="452"/>
    </row>
    <row r="439" spans="2:11" s="444" customFormat="1" ht="38.25" x14ac:dyDescent="0.35">
      <c r="B439" s="445" t="s">
        <v>35</v>
      </c>
      <c r="C439" s="446" t="s">
        <v>555</v>
      </c>
      <c r="D439" s="447">
        <v>1</v>
      </c>
      <c r="E439" s="448" t="s">
        <v>113</v>
      </c>
      <c r="F439" s="449">
        <v>134800</v>
      </c>
      <c r="G439" s="450">
        <f t="shared" si="34"/>
        <v>134800</v>
      </c>
      <c r="H439" s="418"/>
      <c r="J439" s="451"/>
      <c r="K439" s="452"/>
    </row>
    <row r="440" spans="2:11" s="444" customFormat="1" ht="51" x14ac:dyDescent="0.35">
      <c r="B440" s="445" t="s">
        <v>36</v>
      </c>
      <c r="C440" s="446" t="s">
        <v>556</v>
      </c>
      <c r="D440" s="447">
        <v>1</v>
      </c>
      <c r="E440" s="448" t="s">
        <v>113</v>
      </c>
      <c r="F440" s="449">
        <v>85100</v>
      </c>
      <c r="G440" s="450">
        <f t="shared" si="34"/>
        <v>85100</v>
      </c>
      <c r="H440" s="418"/>
      <c r="J440" s="451"/>
      <c r="K440" s="452"/>
    </row>
    <row r="441" spans="2:11" s="444" customFormat="1" ht="25.5" x14ac:dyDescent="0.35">
      <c r="B441" s="445" t="s">
        <v>114</v>
      </c>
      <c r="C441" s="446" t="s">
        <v>557</v>
      </c>
      <c r="D441" s="447">
        <v>10</v>
      </c>
      <c r="E441" s="448" t="s">
        <v>113</v>
      </c>
      <c r="F441" s="449">
        <v>80400</v>
      </c>
      <c r="G441" s="450">
        <f t="shared" si="34"/>
        <v>804000</v>
      </c>
      <c r="H441" s="418"/>
      <c r="J441" s="451"/>
      <c r="K441" s="452"/>
    </row>
    <row r="442" spans="2:11" s="444" customFormat="1" ht="38.25" x14ac:dyDescent="0.35">
      <c r="B442" s="445" t="s">
        <v>39</v>
      </c>
      <c r="C442" s="446" t="s">
        <v>558</v>
      </c>
      <c r="D442" s="447">
        <v>2</v>
      </c>
      <c r="E442" s="448" t="s">
        <v>113</v>
      </c>
      <c r="F442" s="449">
        <v>106400</v>
      </c>
      <c r="G442" s="450">
        <f t="shared" si="34"/>
        <v>212800</v>
      </c>
      <c r="H442" s="418"/>
      <c r="J442" s="451"/>
      <c r="K442" s="452"/>
    </row>
    <row r="443" spans="2:11" s="444" customFormat="1" ht="38.25" x14ac:dyDescent="0.35">
      <c r="B443" s="445" t="s">
        <v>40</v>
      </c>
      <c r="C443" s="446" t="s">
        <v>1080</v>
      </c>
      <c r="D443" s="447">
        <v>2</v>
      </c>
      <c r="E443" s="448" t="s">
        <v>113</v>
      </c>
      <c r="F443" s="449">
        <v>52500</v>
      </c>
      <c r="G443" s="450">
        <f t="shared" si="34"/>
        <v>105000</v>
      </c>
      <c r="H443" s="418"/>
      <c r="J443" s="451"/>
      <c r="K443" s="452"/>
    </row>
    <row r="444" spans="2:11" x14ac:dyDescent="0.35">
      <c r="B444" s="431"/>
      <c r="C444" s="437" t="s">
        <v>559</v>
      </c>
      <c r="D444" s="433"/>
      <c r="E444" s="434"/>
      <c r="F444" s="435"/>
      <c r="G444" s="450"/>
      <c r="J444" s="451"/>
      <c r="K444" s="452"/>
    </row>
    <row r="445" spans="2:11" s="444" customFormat="1" ht="25.5" x14ac:dyDescent="0.35">
      <c r="B445" s="445" t="s">
        <v>34</v>
      </c>
      <c r="C445" s="446" t="s">
        <v>575</v>
      </c>
      <c r="D445" s="447">
        <v>1</v>
      </c>
      <c r="E445" s="448" t="s">
        <v>113</v>
      </c>
      <c r="F445" s="449">
        <v>29700</v>
      </c>
      <c r="G445" s="450">
        <f t="shared" si="33"/>
        <v>29700</v>
      </c>
      <c r="H445" s="418"/>
      <c r="J445" s="451"/>
      <c r="K445" s="452"/>
    </row>
    <row r="446" spans="2:11" x14ac:dyDescent="0.35">
      <c r="B446" s="431"/>
      <c r="C446" s="437" t="s">
        <v>563</v>
      </c>
      <c r="D446" s="433"/>
      <c r="E446" s="434"/>
      <c r="F446" s="435"/>
      <c r="G446" s="450"/>
      <c r="J446" s="451"/>
      <c r="K446" s="452"/>
    </row>
    <row r="447" spans="2:11" s="444" customFormat="1" ht="25.5" x14ac:dyDescent="0.35">
      <c r="B447" s="445" t="s">
        <v>36</v>
      </c>
      <c r="C447" s="446" t="s">
        <v>564</v>
      </c>
      <c r="D447" s="447">
        <v>4</v>
      </c>
      <c r="E447" s="448" t="s">
        <v>113</v>
      </c>
      <c r="F447" s="449">
        <v>33100</v>
      </c>
      <c r="G447" s="450">
        <f t="shared" si="33"/>
        <v>132400</v>
      </c>
      <c r="H447" s="418"/>
      <c r="J447" s="451"/>
      <c r="K447" s="452"/>
    </row>
    <row r="448" spans="2:11" s="444" customFormat="1" ht="19.899999999999999" customHeight="1" x14ac:dyDescent="0.35">
      <c r="B448" s="445"/>
      <c r="C448" s="446"/>
      <c r="D448" s="447"/>
      <c r="E448" s="448"/>
      <c r="F448" s="449"/>
      <c r="G448" s="450"/>
      <c r="H448" s="418"/>
      <c r="J448" s="451"/>
      <c r="K448" s="452"/>
    </row>
    <row r="449" spans="2:11" s="444" customFormat="1" ht="19.899999999999999" customHeight="1" x14ac:dyDescent="0.35">
      <c r="B449" s="445"/>
      <c r="C449" s="446"/>
      <c r="D449" s="447"/>
      <c r="E449" s="448"/>
      <c r="F449" s="454"/>
      <c r="G449" s="450"/>
      <c r="H449" s="418"/>
      <c r="J449" s="451"/>
      <c r="K449" s="452"/>
    </row>
    <row r="450" spans="2:11" s="444" customFormat="1" ht="19.899999999999999" customHeight="1" x14ac:dyDescent="0.35">
      <c r="B450" s="445"/>
      <c r="C450" s="446"/>
      <c r="D450" s="447"/>
      <c r="E450" s="448"/>
      <c r="F450" s="454"/>
      <c r="G450" s="450"/>
      <c r="H450" s="418"/>
      <c r="J450" s="451"/>
      <c r="K450" s="452"/>
    </row>
    <row r="451" spans="2:11" s="444" customFormat="1" ht="19.899999999999999" customHeight="1" x14ac:dyDescent="0.35">
      <c r="B451" s="445"/>
      <c r="C451" s="446"/>
      <c r="D451" s="447"/>
      <c r="E451" s="448"/>
      <c r="F451" s="454"/>
      <c r="G451" s="450"/>
      <c r="H451" s="418"/>
      <c r="J451" s="451"/>
      <c r="K451" s="452"/>
    </row>
    <row r="452" spans="2:11" s="444" customFormat="1" ht="19.899999999999999" customHeight="1" x14ac:dyDescent="0.35">
      <c r="B452" s="445"/>
      <c r="C452" s="446"/>
      <c r="D452" s="447"/>
      <c r="E452" s="448"/>
      <c r="F452" s="454"/>
      <c r="G452" s="450"/>
      <c r="H452" s="418"/>
      <c r="J452" s="451"/>
      <c r="K452" s="452"/>
    </row>
    <row r="453" spans="2:11" s="444" customFormat="1" ht="19.899999999999999" customHeight="1" x14ac:dyDescent="0.35">
      <c r="B453" s="445"/>
      <c r="C453" s="446"/>
      <c r="D453" s="447"/>
      <c r="E453" s="448"/>
      <c r="F453" s="454"/>
      <c r="G453" s="450"/>
      <c r="H453" s="418"/>
      <c r="J453" s="451"/>
      <c r="K453" s="452"/>
    </row>
    <row r="454" spans="2:11" s="444" customFormat="1" ht="19.899999999999999" customHeight="1" x14ac:dyDescent="0.35">
      <c r="B454" s="445"/>
      <c r="C454" s="446"/>
      <c r="D454" s="447"/>
      <c r="E454" s="448"/>
      <c r="F454" s="454"/>
      <c r="G454" s="450"/>
      <c r="H454" s="418"/>
      <c r="J454" s="451"/>
      <c r="K454" s="452"/>
    </row>
    <row r="455" spans="2:11" s="444" customFormat="1" ht="19.899999999999999" customHeight="1" x14ac:dyDescent="0.35">
      <c r="B455" s="445"/>
      <c r="C455" s="446"/>
      <c r="D455" s="447"/>
      <c r="E455" s="448"/>
      <c r="F455" s="454"/>
      <c r="G455" s="450"/>
      <c r="H455" s="418"/>
      <c r="J455" s="451"/>
      <c r="K455" s="452"/>
    </row>
    <row r="456" spans="2:11" s="444" customFormat="1" ht="19.899999999999999" customHeight="1" x14ac:dyDescent="0.35">
      <c r="B456" s="445"/>
      <c r="C456" s="446"/>
      <c r="D456" s="447"/>
      <c r="E456" s="448"/>
      <c r="F456" s="454"/>
      <c r="G456" s="450"/>
      <c r="H456" s="418"/>
      <c r="J456" s="451"/>
      <c r="K456" s="452"/>
    </row>
    <row r="457" spans="2:11" s="444" customFormat="1" ht="19.899999999999999" customHeight="1" x14ac:dyDescent="0.35">
      <c r="B457" s="445"/>
      <c r="C457" s="446"/>
      <c r="D457" s="447"/>
      <c r="E457" s="448"/>
      <c r="F457" s="454"/>
      <c r="G457" s="450"/>
      <c r="H457" s="418"/>
      <c r="J457" s="451"/>
      <c r="K457" s="452"/>
    </row>
    <row r="458" spans="2:11" s="444" customFormat="1" ht="19.899999999999999" customHeight="1" x14ac:dyDescent="0.35">
      <c r="B458" s="445"/>
      <c r="C458" s="446"/>
      <c r="D458" s="447"/>
      <c r="E458" s="448"/>
      <c r="F458" s="454"/>
      <c r="G458" s="450"/>
      <c r="H458" s="418"/>
      <c r="J458" s="451"/>
      <c r="K458" s="452"/>
    </row>
    <row r="459" spans="2:11" s="444" customFormat="1" ht="19.899999999999999" customHeight="1" x14ac:dyDescent="0.35">
      <c r="B459" s="445"/>
      <c r="C459" s="446"/>
      <c r="D459" s="447"/>
      <c r="E459" s="448"/>
      <c r="F459" s="454"/>
      <c r="G459" s="450"/>
      <c r="H459" s="418"/>
      <c r="J459" s="451"/>
      <c r="K459" s="452"/>
    </row>
    <row r="460" spans="2:11" s="444" customFormat="1" ht="19.899999999999999" customHeight="1" x14ac:dyDescent="0.35">
      <c r="B460" s="445"/>
      <c r="C460" s="446"/>
      <c r="D460" s="447"/>
      <c r="E460" s="448"/>
      <c r="F460" s="454"/>
      <c r="G460" s="450"/>
      <c r="H460" s="418"/>
      <c r="J460" s="451"/>
      <c r="K460" s="452"/>
    </row>
    <row r="461" spans="2:11" s="444" customFormat="1" ht="19.899999999999999" customHeight="1" x14ac:dyDescent="0.35">
      <c r="B461" s="445"/>
      <c r="C461" s="446"/>
      <c r="D461" s="447"/>
      <c r="E461" s="448"/>
      <c r="F461" s="454"/>
      <c r="G461" s="450"/>
      <c r="H461" s="418"/>
      <c r="J461" s="451"/>
      <c r="K461" s="452"/>
    </row>
    <row r="462" spans="2:11" s="444" customFormat="1" ht="19.899999999999999" customHeight="1" thickBot="1" x14ac:dyDescent="0.4">
      <c r="B462" s="445"/>
      <c r="C462" s="453" t="s">
        <v>55</v>
      </c>
      <c r="D462" s="447"/>
      <c r="E462" s="448"/>
      <c r="F462" s="454"/>
      <c r="G462" s="455">
        <f>SUM(G430:G448)</f>
        <v>8191600</v>
      </c>
      <c r="H462" s="418"/>
      <c r="J462" s="451"/>
      <c r="K462" s="452"/>
    </row>
    <row r="463" spans="2:11" s="456" customFormat="1" ht="19.899999999999999" customHeight="1" thickTop="1" x14ac:dyDescent="0.35">
      <c r="B463" s="457"/>
      <c r="C463" s="458" t="s">
        <v>1033</v>
      </c>
      <c r="D463" s="459"/>
      <c r="E463" s="459"/>
      <c r="F463" s="460"/>
      <c r="G463" s="461"/>
      <c r="H463" s="418"/>
      <c r="J463" s="451"/>
      <c r="K463" s="452"/>
    </row>
    <row r="464" spans="2:11" ht="22.25" customHeight="1" x14ac:dyDescent="0.35">
      <c r="B464" s="431"/>
      <c r="C464" s="432" t="str">
        <f>C426</f>
        <v>BILL NO.4</v>
      </c>
      <c r="D464" s="433"/>
      <c r="E464" s="434"/>
      <c r="F464" s="435"/>
      <c r="G464" s="436"/>
    </row>
    <row r="465" spans="2:11" ht="22.25" customHeight="1" x14ac:dyDescent="0.35">
      <c r="B465" s="431"/>
      <c r="C465" s="432" t="str">
        <f>C427</f>
        <v>ELECTRICAL INSTALLATIONS</v>
      </c>
      <c r="D465" s="433"/>
      <c r="E465" s="434"/>
      <c r="F465" s="435"/>
      <c r="G465" s="436"/>
    </row>
    <row r="466" spans="2:11" ht="22.25" customHeight="1" x14ac:dyDescent="0.35">
      <c r="B466" s="431"/>
      <c r="C466" s="432" t="s">
        <v>1084</v>
      </c>
      <c r="D466" s="433"/>
      <c r="E466" s="434"/>
      <c r="F466" s="435"/>
      <c r="G466" s="436"/>
    </row>
    <row r="467" spans="2:11" ht="22.25" customHeight="1" x14ac:dyDescent="0.35">
      <c r="B467" s="431"/>
      <c r="C467" s="432" t="s">
        <v>955</v>
      </c>
      <c r="D467" s="433"/>
      <c r="E467" s="434"/>
      <c r="F467" s="435"/>
      <c r="G467" s="436"/>
    </row>
    <row r="468" spans="2:11" x14ac:dyDescent="0.35">
      <c r="B468" s="431"/>
      <c r="C468" s="437" t="s">
        <v>586</v>
      </c>
      <c r="D468" s="433"/>
      <c r="E468" s="434"/>
      <c r="F468" s="435"/>
      <c r="G468" s="450"/>
      <c r="J468" s="451"/>
      <c r="K468" s="452"/>
    </row>
    <row r="469" spans="2:11" s="444" customFormat="1" ht="38.25" x14ac:dyDescent="0.35">
      <c r="B469" s="445" t="s">
        <v>31</v>
      </c>
      <c r="C469" s="446" t="s">
        <v>587</v>
      </c>
      <c r="D469" s="447">
        <v>180</v>
      </c>
      <c r="E469" s="448" t="s">
        <v>112</v>
      </c>
      <c r="F469" s="449">
        <v>55000</v>
      </c>
      <c r="G469" s="450">
        <f>F469*D469</f>
        <v>9900000</v>
      </c>
      <c r="H469" s="418"/>
      <c r="J469" s="451"/>
      <c r="K469" s="452"/>
    </row>
    <row r="470" spans="2:11" s="444" customFormat="1" ht="25.5" x14ac:dyDescent="0.35">
      <c r="B470" s="445" t="s">
        <v>32</v>
      </c>
      <c r="C470" s="446" t="s">
        <v>588</v>
      </c>
      <c r="D470" s="447">
        <v>4</v>
      </c>
      <c r="E470" s="448" t="s">
        <v>113</v>
      </c>
      <c r="F470" s="449">
        <v>198600</v>
      </c>
      <c r="G470" s="450">
        <f t="shared" ref="G470:G489" si="35">F470*D470</f>
        <v>794400</v>
      </c>
      <c r="H470" s="418"/>
      <c r="J470" s="451"/>
      <c r="K470" s="452"/>
    </row>
    <row r="471" spans="2:11" s="444" customFormat="1" ht="22.05" customHeight="1" x14ac:dyDescent="0.35">
      <c r="B471" s="445" t="s">
        <v>33</v>
      </c>
      <c r="C471" s="446" t="s">
        <v>589</v>
      </c>
      <c r="D471" s="447">
        <v>4</v>
      </c>
      <c r="E471" s="448" t="s">
        <v>113</v>
      </c>
      <c r="F471" s="449">
        <v>115800</v>
      </c>
      <c r="G471" s="450">
        <f t="shared" si="35"/>
        <v>463200</v>
      </c>
      <c r="H471" s="418"/>
      <c r="J471" s="451"/>
      <c r="K471" s="452"/>
    </row>
    <row r="472" spans="2:11" s="444" customFormat="1" ht="38.25" x14ac:dyDescent="0.35">
      <c r="B472" s="445" t="s">
        <v>34</v>
      </c>
      <c r="C472" s="446" t="s">
        <v>944</v>
      </c>
      <c r="D472" s="447">
        <v>200</v>
      </c>
      <c r="E472" s="448" t="s">
        <v>112</v>
      </c>
      <c r="F472" s="449">
        <v>57000</v>
      </c>
      <c r="G472" s="450">
        <f t="shared" si="35"/>
        <v>11400000</v>
      </c>
      <c r="H472" s="418"/>
      <c r="J472" s="451"/>
      <c r="K472" s="452"/>
    </row>
    <row r="473" spans="2:11" s="444" customFormat="1" ht="25.5" x14ac:dyDescent="0.35">
      <c r="B473" s="445" t="s">
        <v>35</v>
      </c>
      <c r="C473" s="446" t="s">
        <v>590</v>
      </c>
      <c r="D473" s="447">
        <v>8</v>
      </c>
      <c r="E473" s="448" t="s">
        <v>113</v>
      </c>
      <c r="F473" s="449">
        <v>165500</v>
      </c>
      <c r="G473" s="450">
        <f t="shared" si="35"/>
        <v>1324000</v>
      </c>
      <c r="H473" s="418"/>
      <c r="J473" s="451"/>
      <c r="K473" s="452"/>
    </row>
    <row r="474" spans="2:11" s="444" customFormat="1" ht="25.5" x14ac:dyDescent="0.35">
      <c r="B474" s="445" t="s">
        <v>36</v>
      </c>
      <c r="C474" s="446" t="s">
        <v>591</v>
      </c>
      <c r="D474" s="447">
        <v>4</v>
      </c>
      <c r="E474" s="448" t="s">
        <v>113</v>
      </c>
      <c r="F474" s="449">
        <v>331000</v>
      </c>
      <c r="G474" s="450">
        <f t="shared" si="35"/>
        <v>1324000</v>
      </c>
      <c r="H474" s="418"/>
      <c r="J474" s="451"/>
      <c r="K474" s="452"/>
    </row>
    <row r="475" spans="2:11" x14ac:dyDescent="0.35">
      <c r="B475" s="431"/>
      <c r="C475" s="437" t="s">
        <v>592</v>
      </c>
      <c r="D475" s="433"/>
      <c r="E475" s="448"/>
      <c r="F475" s="435"/>
      <c r="G475" s="450"/>
      <c r="J475" s="451"/>
      <c r="K475" s="452"/>
    </row>
    <row r="476" spans="2:11" s="444" customFormat="1" ht="25.5" x14ac:dyDescent="0.35">
      <c r="B476" s="445" t="s">
        <v>114</v>
      </c>
      <c r="C476" s="446" t="s">
        <v>593</v>
      </c>
      <c r="D476" s="447">
        <v>1</v>
      </c>
      <c r="E476" s="448" t="s">
        <v>37</v>
      </c>
      <c r="F476" s="449">
        <v>1310800</v>
      </c>
      <c r="G476" s="450">
        <f t="shared" si="35"/>
        <v>1310800</v>
      </c>
      <c r="H476" s="418"/>
      <c r="J476" s="451"/>
      <c r="K476" s="452"/>
    </row>
    <row r="477" spans="2:11" x14ac:dyDescent="0.35">
      <c r="B477" s="431"/>
      <c r="C477" s="437" t="s">
        <v>594</v>
      </c>
      <c r="D477" s="433"/>
      <c r="E477" s="434"/>
      <c r="F477" s="435"/>
      <c r="G477" s="450"/>
      <c r="J477" s="451"/>
      <c r="K477" s="452"/>
    </row>
    <row r="478" spans="2:11" s="444" customFormat="1" x14ac:dyDescent="0.35">
      <c r="B478" s="445" t="s">
        <v>39</v>
      </c>
      <c r="C478" s="446" t="s">
        <v>595</v>
      </c>
      <c r="D478" s="447">
        <v>1</v>
      </c>
      <c r="E478" s="448" t="s">
        <v>37</v>
      </c>
      <c r="F478" s="449">
        <v>1655400</v>
      </c>
      <c r="G478" s="450">
        <f t="shared" si="35"/>
        <v>1655400</v>
      </c>
      <c r="H478" s="418"/>
      <c r="J478" s="451"/>
      <c r="K478" s="452"/>
    </row>
    <row r="479" spans="2:11" s="444" customFormat="1" ht="22.05" customHeight="1" x14ac:dyDescent="0.35">
      <c r="B479" s="445" t="s">
        <v>40</v>
      </c>
      <c r="C479" s="446" t="s">
        <v>596</v>
      </c>
      <c r="D479" s="447">
        <v>2</v>
      </c>
      <c r="E479" s="448" t="s">
        <v>956</v>
      </c>
      <c r="F479" s="449">
        <v>331000</v>
      </c>
      <c r="G479" s="450">
        <f t="shared" si="35"/>
        <v>662000</v>
      </c>
      <c r="H479" s="418"/>
      <c r="J479" s="451"/>
      <c r="K479" s="452"/>
    </row>
    <row r="480" spans="2:11" s="444" customFormat="1" x14ac:dyDescent="0.35">
      <c r="B480" s="445" t="s">
        <v>15</v>
      </c>
      <c r="C480" s="446" t="s">
        <v>597</v>
      </c>
      <c r="D480" s="447">
        <v>2</v>
      </c>
      <c r="E480" s="448" t="s">
        <v>956</v>
      </c>
      <c r="F480" s="449">
        <v>331000</v>
      </c>
      <c r="G480" s="450">
        <f t="shared" si="35"/>
        <v>662000</v>
      </c>
      <c r="H480" s="418"/>
      <c r="J480" s="451"/>
      <c r="K480" s="452"/>
    </row>
    <row r="481" spans="2:11" x14ac:dyDescent="0.35">
      <c r="B481" s="431"/>
      <c r="C481" s="437" t="s">
        <v>598</v>
      </c>
      <c r="D481" s="433"/>
      <c r="E481" s="434"/>
      <c r="F481" s="435"/>
      <c r="G481" s="450"/>
      <c r="J481" s="451"/>
      <c r="K481" s="452"/>
    </row>
    <row r="482" spans="2:11" s="444" customFormat="1" ht="25.5" x14ac:dyDescent="0.35">
      <c r="B482" s="445" t="s">
        <v>16</v>
      </c>
      <c r="C482" s="446" t="s">
        <v>599</v>
      </c>
      <c r="D482" s="447">
        <v>12</v>
      </c>
      <c r="E482" s="448" t="s">
        <v>113</v>
      </c>
      <c r="F482" s="449">
        <v>181400</v>
      </c>
      <c r="G482" s="450">
        <f t="shared" si="35"/>
        <v>2176800</v>
      </c>
      <c r="H482" s="418"/>
      <c r="J482" s="451"/>
      <c r="K482" s="452"/>
    </row>
    <row r="483" spans="2:11" s="444" customFormat="1" ht="38.25" x14ac:dyDescent="0.35">
      <c r="B483" s="445" t="s">
        <v>89</v>
      </c>
      <c r="C483" s="446" t="s">
        <v>600</v>
      </c>
      <c r="D483" s="447">
        <v>8</v>
      </c>
      <c r="E483" s="448" t="s">
        <v>113</v>
      </c>
      <c r="F483" s="449">
        <v>658700</v>
      </c>
      <c r="G483" s="450">
        <f t="shared" si="35"/>
        <v>5269600</v>
      </c>
      <c r="H483" s="418"/>
      <c r="J483" s="451"/>
      <c r="K483" s="452"/>
    </row>
    <row r="484" spans="2:11" s="444" customFormat="1" ht="25.5" x14ac:dyDescent="0.35">
      <c r="B484" s="445" t="s">
        <v>17</v>
      </c>
      <c r="C484" s="446" t="s">
        <v>601</v>
      </c>
      <c r="D484" s="447">
        <v>8</v>
      </c>
      <c r="E484" s="448" t="s">
        <v>113</v>
      </c>
      <c r="F484" s="449">
        <v>359450</v>
      </c>
      <c r="G484" s="450">
        <f t="shared" si="35"/>
        <v>2875600</v>
      </c>
      <c r="H484" s="418"/>
      <c r="J484" s="451"/>
      <c r="K484" s="452"/>
    </row>
    <row r="485" spans="2:11" s="444" customFormat="1" ht="38.25" x14ac:dyDescent="0.35">
      <c r="B485" s="445" t="s">
        <v>90</v>
      </c>
      <c r="C485" s="446" t="s">
        <v>945</v>
      </c>
      <c r="D485" s="447">
        <v>245</v>
      </c>
      <c r="E485" s="448" t="s">
        <v>112</v>
      </c>
      <c r="F485" s="449">
        <v>26400</v>
      </c>
      <c r="G485" s="450">
        <f t="shared" si="35"/>
        <v>6468000</v>
      </c>
      <c r="H485" s="418"/>
      <c r="J485" s="451"/>
      <c r="K485" s="452"/>
    </row>
    <row r="486" spans="2:11" s="444" customFormat="1" x14ac:dyDescent="0.35">
      <c r="B486" s="445"/>
      <c r="C486" s="446"/>
      <c r="D486" s="447"/>
      <c r="E486" s="448"/>
      <c r="F486" s="449"/>
      <c r="G486" s="450"/>
      <c r="H486" s="418"/>
      <c r="J486" s="451"/>
      <c r="K486" s="452"/>
    </row>
    <row r="487" spans="2:11" s="444" customFormat="1" x14ac:dyDescent="0.35">
      <c r="B487" s="445"/>
      <c r="C487" s="446"/>
      <c r="D487" s="447"/>
      <c r="E487" s="448"/>
      <c r="F487" s="449"/>
      <c r="G487" s="450"/>
      <c r="H487" s="418"/>
      <c r="J487" s="451"/>
      <c r="K487" s="452"/>
    </row>
    <row r="488" spans="2:11" s="444" customFormat="1" ht="51" x14ac:dyDescent="0.35">
      <c r="B488" s="445" t="s">
        <v>31</v>
      </c>
      <c r="C488" s="446" t="s">
        <v>602</v>
      </c>
      <c r="D488" s="447">
        <v>1</v>
      </c>
      <c r="E488" s="448" t="s">
        <v>113</v>
      </c>
      <c r="F488" s="449">
        <v>1750000</v>
      </c>
      <c r="G488" s="450">
        <f t="shared" si="35"/>
        <v>1750000</v>
      </c>
      <c r="H488" s="418"/>
      <c r="J488" s="451"/>
      <c r="K488" s="452"/>
    </row>
    <row r="489" spans="2:11" s="444" customFormat="1" ht="25.5" x14ac:dyDescent="0.35">
      <c r="B489" s="445" t="s">
        <v>32</v>
      </c>
      <c r="C489" s="446" t="s">
        <v>603</v>
      </c>
      <c r="D489" s="447">
        <v>4</v>
      </c>
      <c r="E489" s="448" t="s">
        <v>113</v>
      </c>
      <c r="F489" s="449">
        <v>453200</v>
      </c>
      <c r="G489" s="450">
        <f t="shared" si="35"/>
        <v>1812800</v>
      </c>
      <c r="H489" s="418"/>
      <c r="J489" s="451"/>
      <c r="K489" s="452"/>
    </row>
    <row r="490" spans="2:11" s="444" customFormat="1" x14ac:dyDescent="0.35">
      <c r="B490" s="445"/>
      <c r="C490" s="446"/>
      <c r="D490" s="447"/>
      <c r="E490" s="448"/>
      <c r="F490" s="449"/>
      <c r="G490" s="450"/>
      <c r="H490" s="418"/>
      <c r="J490" s="451"/>
      <c r="K490" s="452"/>
    </row>
    <row r="491" spans="2:11" s="444" customFormat="1" ht="19.899999999999999" customHeight="1" x14ac:dyDescent="0.35">
      <c r="B491" s="445"/>
      <c r="C491" s="446"/>
      <c r="D491" s="447"/>
      <c r="E491" s="448"/>
      <c r="F491" s="449"/>
      <c r="G491" s="450"/>
      <c r="H491" s="418"/>
      <c r="J491" s="451"/>
      <c r="K491" s="452"/>
    </row>
    <row r="492" spans="2:11" s="444" customFormat="1" ht="19.899999999999999" customHeight="1" x14ac:dyDescent="0.35">
      <c r="B492" s="445"/>
      <c r="C492" s="446"/>
      <c r="D492" s="447"/>
      <c r="E492" s="448"/>
      <c r="F492" s="454"/>
      <c r="G492" s="450"/>
      <c r="H492" s="418"/>
      <c r="J492" s="451"/>
      <c r="K492" s="452"/>
    </row>
    <row r="493" spans="2:11" s="444" customFormat="1" ht="19.899999999999999" customHeight="1" x14ac:dyDescent="0.35">
      <c r="B493" s="445"/>
      <c r="C493" s="446"/>
      <c r="D493" s="447"/>
      <c r="E493" s="448"/>
      <c r="F493" s="454"/>
      <c r="G493" s="450"/>
      <c r="H493" s="418"/>
      <c r="J493" s="451"/>
      <c r="K493" s="452"/>
    </row>
    <row r="494" spans="2:11" s="444" customFormat="1" ht="19.899999999999999" customHeight="1" x14ac:dyDescent="0.35">
      <c r="B494" s="445"/>
      <c r="C494" s="446"/>
      <c r="D494" s="447"/>
      <c r="E494" s="448"/>
      <c r="F494" s="454"/>
      <c r="G494" s="450"/>
      <c r="H494" s="418"/>
      <c r="J494" s="451"/>
      <c r="K494" s="452"/>
    </row>
    <row r="495" spans="2:11" s="444" customFormat="1" ht="19.899999999999999" customHeight="1" x14ac:dyDescent="0.35">
      <c r="B495" s="445"/>
      <c r="C495" s="446"/>
      <c r="D495" s="447"/>
      <c r="E495" s="448"/>
      <c r="F495" s="454"/>
      <c r="G495" s="450"/>
      <c r="H495" s="418"/>
      <c r="J495" s="451"/>
      <c r="K495" s="452"/>
    </row>
    <row r="496" spans="2:11" s="444" customFormat="1" ht="19.899999999999999" customHeight="1" x14ac:dyDescent="0.35">
      <c r="B496" s="445"/>
      <c r="C496" s="446"/>
      <c r="D496" s="447"/>
      <c r="E496" s="448"/>
      <c r="F496" s="454"/>
      <c r="G496" s="450"/>
      <c r="H496" s="418"/>
      <c r="J496" s="451"/>
      <c r="K496" s="452"/>
    </row>
    <row r="497" spans="2:11" s="444" customFormat="1" ht="19.899999999999999" customHeight="1" x14ac:dyDescent="0.35">
      <c r="B497" s="445"/>
      <c r="C497" s="446"/>
      <c r="D497" s="447"/>
      <c r="E497" s="448"/>
      <c r="F497" s="454"/>
      <c r="G497" s="450"/>
      <c r="H497" s="418"/>
      <c r="J497" s="451"/>
      <c r="K497" s="452"/>
    </row>
    <row r="498" spans="2:11" s="444" customFormat="1" ht="19.899999999999999" customHeight="1" x14ac:dyDescent="0.35">
      <c r="B498" s="445"/>
      <c r="C498" s="446"/>
      <c r="D498" s="447"/>
      <c r="E498" s="448"/>
      <c r="F498" s="454"/>
      <c r="G498" s="450"/>
      <c r="H498" s="418"/>
      <c r="J498" s="451"/>
      <c r="K498" s="452"/>
    </row>
    <row r="499" spans="2:11" s="444" customFormat="1" ht="19.899999999999999" customHeight="1" x14ac:dyDescent="0.35">
      <c r="B499" s="445"/>
      <c r="C499" s="446"/>
      <c r="D499" s="447"/>
      <c r="E499" s="448"/>
      <c r="F499" s="454"/>
      <c r="G499" s="450"/>
      <c r="H499" s="418"/>
      <c r="J499" s="451"/>
      <c r="K499" s="452"/>
    </row>
    <row r="500" spans="2:11" s="444" customFormat="1" ht="19.899999999999999" customHeight="1" x14ac:dyDescent="0.35">
      <c r="B500" s="445"/>
      <c r="C500" s="446"/>
      <c r="D500" s="447"/>
      <c r="E500" s="448"/>
      <c r="F500" s="454"/>
      <c r="G500" s="450"/>
      <c r="H500" s="418"/>
      <c r="J500" s="451"/>
      <c r="K500" s="452"/>
    </row>
    <row r="501" spans="2:11" s="444" customFormat="1" ht="19.899999999999999" customHeight="1" x14ac:dyDescent="0.35">
      <c r="B501" s="445"/>
      <c r="C501" s="446"/>
      <c r="D501" s="447"/>
      <c r="E501" s="448"/>
      <c r="F501" s="454"/>
      <c r="G501" s="450"/>
      <c r="H501" s="418"/>
      <c r="J501" s="451"/>
      <c r="K501" s="452"/>
    </row>
    <row r="502" spans="2:11" s="444" customFormat="1" ht="19.899999999999999" customHeight="1" x14ac:dyDescent="0.35">
      <c r="B502" s="445"/>
      <c r="C502" s="446"/>
      <c r="D502" s="447"/>
      <c r="E502" s="448"/>
      <c r="F502" s="454"/>
      <c r="G502" s="450"/>
      <c r="H502" s="418"/>
      <c r="J502" s="451"/>
      <c r="K502" s="452"/>
    </row>
    <row r="503" spans="2:11" s="444" customFormat="1" ht="19.899999999999999" customHeight="1" thickBot="1" x14ac:dyDescent="0.4">
      <c r="B503" s="445"/>
      <c r="C503" s="453" t="s">
        <v>55</v>
      </c>
      <c r="D503" s="447"/>
      <c r="E503" s="448"/>
      <c r="F503" s="454"/>
      <c r="G503" s="455">
        <f>SUM(G469:G489)</f>
        <v>49848600</v>
      </c>
      <c r="H503" s="418"/>
      <c r="J503" s="451"/>
      <c r="K503" s="452"/>
    </row>
    <row r="504" spans="2:11" s="456" customFormat="1" ht="19.899999999999999" customHeight="1" thickTop="1" x14ac:dyDescent="0.35">
      <c r="B504" s="457"/>
      <c r="C504" s="458" t="s">
        <v>1033</v>
      </c>
      <c r="D504" s="459"/>
      <c r="E504" s="459"/>
      <c r="F504" s="460"/>
      <c r="G504" s="461"/>
      <c r="H504" s="418"/>
      <c r="J504" s="451"/>
      <c r="K504" s="452"/>
    </row>
    <row r="505" spans="2:11" ht="15" customHeight="1" x14ac:dyDescent="0.35">
      <c r="B505" s="431"/>
      <c r="C505" s="432" t="str">
        <f>C464</f>
        <v>BILL NO.4</v>
      </c>
      <c r="D505" s="433"/>
      <c r="E505" s="434"/>
      <c r="F505" s="435"/>
      <c r="G505" s="436"/>
    </row>
    <row r="506" spans="2:11" ht="15" customHeight="1" x14ac:dyDescent="0.35">
      <c r="B506" s="431"/>
      <c r="C506" s="432" t="str">
        <f>C465</f>
        <v>ELECTRICAL INSTALLATIONS</v>
      </c>
      <c r="D506" s="433"/>
      <c r="E506" s="434"/>
      <c r="F506" s="435"/>
      <c r="G506" s="436"/>
    </row>
    <row r="507" spans="2:11" ht="15" customHeight="1" x14ac:dyDescent="0.35">
      <c r="B507" s="431"/>
      <c r="C507" s="432" t="s">
        <v>1085</v>
      </c>
      <c r="D507" s="433"/>
      <c r="E507" s="434"/>
      <c r="F507" s="435"/>
      <c r="G507" s="436"/>
    </row>
    <row r="508" spans="2:11" ht="15" customHeight="1" x14ac:dyDescent="0.35">
      <c r="B508" s="431"/>
      <c r="C508" s="432" t="s">
        <v>604</v>
      </c>
      <c r="D508" s="433"/>
      <c r="E508" s="434"/>
      <c r="F508" s="435"/>
      <c r="G508" s="436"/>
    </row>
    <row r="509" spans="2:11" ht="15" customHeight="1" x14ac:dyDescent="0.35">
      <c r="B509" s="431"/>
      <c r="C509" s="437" t="s">
        <v>605</v>
      </c>
      <c r="D509" s="433"/>
      <c r="E509" s="434"/>
      <c r="F509" s="435"/>
      <c r="G509" s="450"/>
      <c r="J509" s="451"/>
      <c r="K509" s="452"/>
    </row>
    <row r="510" spans="2:11" s="444" customFormat="1" ht="41.25" customHeight="1" x14ac:dyDescent="0.35">
      <c r="B510" s="445" t="s">
        <v>31</v>
      </c>
      <c r="C510" s="446" t="s">
        <v>1037</v>
      </c>
      <c r="D510" s="447">
        <v>1</v>
      </c>
      <c r="E510" s="448" t="s">
        <v>113</v>
      </c>
      <c r="F510" s="449">
        <v>36500000</v>
      </c>
      <c r="G510" s="450">
        <f>F510*D510</f>
        <v>36500000</v>
      </c>
      <c r="H510" s="418"/>
      <c r="J510" s="451"/>
      <c r="K510" s="452"/>
    </row>
    <row r="511" spans="2:11" s="444" customFormat="1" ht="25.5" x14ac:dyDescent="0.35">
      <c r="B511" s="445" t="s">
        <v>33</v>
      </c>
      <c r="C511" s="446" t="s">
        <v>1045</v>
      </c>
      <c r="D511" s="447">
        <v>25</v>
      </c>
      <c r="E511" s="448" t="s">
        <v>112</v>
      </c>
      <c r="F511" s="449">
        <v>210000</v>
      </c>
      <c r="G511" s="450">
        <f t="shared" ref="G511:G519" si="36">F511*D511</f>
        <v>5250000</v>
      </c>
      <c r="H511" s="418"/>
      <c r="J511" s="451"/>
      <c r="K511" s="452"/>
    </row>
    <row r="512" spans="2:11" s="444" customFormat="1" ht="25.5" x14ac:dyDescent="0.35">
      <c r="B512" s="445" t="s">
        <v>34</v>
      </c>
      <c r="C512" s="446" t="s">
        <v>606</v>
      </c>
      <c r="D512" s="447">
        <v>1</v>
      </c>
      <c r="E512" s="448" t="s">
        <v>37</v>
      </c>
      <c r="F512" s="449">
        <v>375000</v>
      </c>
      <c r="G512" s="450">
        <f t="shared" si="36"/>
        <v>375000</v>
      </c>
      <c r="H512" s="418"/>
      <c r="J512" s="451"/>
      <c r="K512" s="452"/>
    </row>
    <row r="513" spans="2:11" s="444" customFormat="1" x14ac:dyDescent="0.35">
      <c r="B513" s="445" t="s">
        <v>35</v>
      </c>
      <c r="C513" s="446" t="s">
        <v>1091</v>
      </c>
      <c r="D513" s="447">
        <v>1</v>
      </c>
      <c r="E513" s="448" t="s">
        <v>37</v>
      </c>
      <c r="F513" s="449">
        <v>10500000</v>
      </c>
      <c r="G513" s="450">
        <f t="shared" si="36"/>
        <v>10500000</v>
      </c>
      <c r="H513" s="418"/>
      <c r="J513" s="451"/>
      <c r="K513" s="452"/>
    </row>
    <row r="514" spans="2:11" s="444" customFormat="1" ht="22.05" customHeight="1" x14ac:dyDescent="0.35">
      <c r="B514" s="445" t="s">
        <v>36</v>
      </c>
      <c r="C514" s="446" t="s">
        <v>607</v>
      </c>
      <c r="D514" s="447">
        <v>1</v>
      </c>
      <c r="E514" s="448" t="s">
        <v>37</v>
      </c>
      <c r="F514" s="462" t="s">
        <v>541</v>
      </c>
      <c r="G514" s="450">
        <f>G513*F514</f>
        <v>1050000</v>
      </c>
      <c r="H514" s="418"/>
      <c r="J514" s="451"/>
      <c r="K514" s="452"/>
    </row>
    <row r="515" spans="2:11" s="444" customFormat="1" ht="95.65" customHeight="1" x14ac:dyDescent="0.35">
      <c r="B515" s="445" t="s">
        <v>114</v>
      </c>
      <c r="C515" s="446" t="s">
        <v>1056</v>
      </c>
      <c r="D515" s="447">
        <v>1</v>
      </c>
      <c r="E515" s="448" t="s">
        <v>113</v>
      </c>
      <c r="F515" s="449">
        <v>39000000</v>
      </c>
      <c r="G515" s="450">
        <f t="shared" si="36"/>
        <v>39000000</v>
      </c>
      <c r="H515" s="418"/>
      <c r="J515" s="451"/>
      <c r="K515" s="452"/>
    </row>
    <row r="516" spans="2:11" s="444" customFormat="1" ht="76.5" x14ac:dyDescent="0.35">
      <c r="B516" s="445" t="s">
        <v>39</v>
      </c>
      <c r="C516" s="446" t="s">
        <v>1057</v>
      </c>
      <c r="D516" s="447">
        <v>1</v>
      </c>
      <c r="E516" s="448" t="s">
        <v>113</v>
      </c>
      <c r="F516" s="449">
        <v>75500000</v>
      </c>
      <c r="G516" s="450">
        <f t="shared" si="36"/>
        <v>75500000</v>
      </c>
      <c r="H516" s="418"/>
      <c r="J516" s="451"/>
      <c r="K516" s="452"/>
    </row>
    <row r="517" spans="2:11" s="444" customFormat="1" x14ac:dyDescent="0.35">
      <c r="B517" s="445"/>
      <c r="C517" s="463" t="s">
        <v>1021</v>
      </c>
      <c r="D517" s="447"/>
      <c r="E517" s="448"/>
      <c r="F517" s="449"/>
      <c r="G517" s="450"/>
      <c r="H517" s="418"/>
      <c r="J517" s="451"/>
      <c r="K517" s="452"/>
    </row>
    <row r="518" spans="2:11" s="444" customFormat="1" ht="51" x14ac:dyDescent="0.35">
      <c r="B518" s="445" t="s">
        <v>40</v>
      </c>
      <c r="C518" s="374" t="s">
        <v>1038</v>
      </c>
      <c r="D518" s="447">
        <v>1</v>
      </c>
      <c r="E518" s="448" t="s">
        <v>113</v>
      </c>
      <c r="F518" s="449">
        <v>49589000</v>
      </c>
      <c r="G518" s="450">
        <f t="shared" si="36"/>
        <v>49589000</v>
      </c>
      <c r="H518" s="418"/>
      <c r="J518" s="451"/>
      <c r="K518" s="452"/>
    </row>
    <row r="519" spans="2:11" s="444" customFormat="1" ht="51" x14ac:dyDescent="0.35">
      <c r="B519" s="445" t="s">
        <v>15</v>
      </c>
      <c r="C519" s="374" t="s">
        <v>1039</v>
      </c>
      <c r="D519" s="417">
        <v>1</v>
      </c>
      <c r="E519" s="448" t="s">
        <v>113</v>
      </c>
      <c r="F519" s="449">
        <v>63060000</v>
      </c>
      <c r="G519" s="450">
        <f t="shared" si="36"/>
        <v>63060000</v>
      </c>
      <c r="H519" s="418"/>
      <c r="J519" s="451"/>
      <c r="K519" s="452"/>
    </row>
    <row r="520" spans="2:11" s="444" customFormat="1" ht="18.850000000000001" customHeight="1" x14ac:dyDescent="0.35">
      <c r="B520" s="445"/>
      <c r="C520" s="446"/>
      <c r="D520" s="447"/>
      <c r="E520" s="448"/>
      <c r="F520" s="449"/>
      <c r="G520" s="450"/>
      <c r="H520" s="418"/>
      <c r="J520" s="451"/>
      <c r="K520" s="452"/>
    </row>
    <row r="521" spans="2:11" s="444" customFormat="1" ht="18.850000000000001" customHeight="1" x14ac:dyDescent="0.35">
      <c r="B521" s="445"/>
      <c r="C521" s="446"/>
      <c r="D521" s="447"/>
      <c r="E521" s="448"/>
      <c r="F521" s="449"/>
      <c r="G521" s="450"/>
      <c r="H521" s="418"/>
      <c r="J521" s="451"/>
      <c r="K521" s="452"/>
    </row>
    <row r="522" spans="2:11" s="444" customFormat="1" ht="18.850000000000001" customHeight="1" x14ac:dyDescent="0.35">
      <c r="B522" s="445"/>
      <c r="C522" s="446"/>
      <c r="D522" s="447"/>
      <c r="E522" s="448"/>
      <c r="F522" s="449"/>
      <c r="G522" s="450"/>
      <c r="H522" s="418"/>
      <c r="J522" s="451"/>
      <c r="K522" s="452"/>
    </row>
    <row r="523" spans="2:11" s="444" customFormat="1" ht="18.850000000000001" customHeight="1" x14ac:dyDescent="0.35">
      <c r="B523" s="445"/>
      <c r="C523" s="446"/>
      <c r="D523" s="447"/>
      <c r="E523" s="448"/>
      <c r="F523" s="449"/>
      <c r="G523" s="450"/>
      <c r="H523" s="418"/>
      <c r="J523" s="451"/>
      <c r="K523" s="452"/>
    </row>
    <row r="524" spans="2:11" s="444" customFormat="1" ht="18.850000000000001" customHeight="1" x14ac:dyDescent="0.35">
      <c r="B524" s="445"/>
      <c r="C524" s="446"/>
      <c r="D524" s="447"/>
      <c r="E524" s="448"/>
      <c r="F524" s="449"/>
      <c r="G524" s="450"/>
      <c r="H524" s="418"/>
      <c r="J524" s="451"/>
      <c r="K524" s="452"/>
    </row>
    <row r="525" spans="2:11" s="444" customFormat="1" ht="18.850000000000001" customHeight="1" x14ac:dyDescent="0.35">
      <c r="B525" s="445"/>
      <c r="C525" s="446"/>
      <c r="D525" s="447"/>
      <c r="E525" s="448"/>
      <c r="F525" s="449"/>
      <c r="G525" s="450"/>
      <c r="H525" s="418"/>
      <c r="J525" s="451"/>
      <c r="K525" s="452"/>
    </row>
    <row r="526" spans="2:11" s="444" customFormat="1" ht="18.850000000000001" customHeight="1" x14ac:dyDescent="0.35">
      <c r="B526" s="445"/>
      <c r="C526" s="446"/>
      <c r="D526" s="447"/>
      <c r="E526" s="448"/>
      <c r="F526" s="449"/>
      <c r="G526" s="450"/>
      <c r="H526" s="418"/>
      <c r="J526" s="451"/>
      <c r="K526" s="452"/>
    </row>
    <row r="527" spans="2:11" s="444" customFormat="1" ht="18.850000000000001" customHeight="1" x14ac:dyDescent="0.35">
      <c r="B527" s="445"/>
      <c r="C527" s="446"/>
      <c r="D527" s="447"/>
      <c r="E527" s="448"/>
      <c r="F527" s="449"/>
      <c r="G527" s="450"/>
      <c r="H527" s="418"/>
      <c r="J527" s="451"/>
      <c r="K527" s="452"/>
    </row>
    <row r="528" spans="2:11" s="444" customFormat="1" ht="18.850000000000001" customHeight="1" x14ac:dyDescent="0.35">
      <c r="B528" s="445"/>
      <c r="C528" s="446"/>
      <c r="D528" s="447"/>
      <c r="E528" s="448"/>
      <c r="F528" s="449"/>
      <c r="G528" s="450"/>
      <c r="H528" s="418"/>
      <c r="J528" s="451"/>
      <c r="K528" s="452"/>
    </row>
    <row r="529" spans="2:11" s="444" customFormat="1" ht="18.850000000000001" customHeight="1" x14ac:dyDescent="0.35">
      <c r="B529" s="445"/>
      <c r="C529" s="446"/>
      <c r="D529" s="447"/>
      <c r="E529" s="448"/>
      <c r="F529" s="449"/>
      <c r="G529" s="450"/>
      <c r="H529" s="418"/>
      <c r="J529" s="451"/>
      <c r="K529" s="452"/>
    </row>
    <row r="530" spans="2:11" s="444" customFormat="1" ht="18.850000000000001" customHeight="1" x14ac:dyDescent="0.35">
      <c r="B530" s="445"/>
      <c r="C530" s="446"/>
      <c r="D530" s="447"/>
      <c r="E530" s="448"/>
      <c r="F530" s="449"/>
      <c r="G530" s="450"/>
      <c r="H530" s="418"/>
      <c r="J530" s="451"/>
      <c r="K530" s="452"/>
    </row>
    <row r="531" spans="2:11" s="444" customFormat="1" ht="18.850000000000001" customHeight="1" x14ac:dyDescent="0.35">
      <c r="B531" s="445"/>
      <c r="C531" s="446"/>
      <c r="D531" s="447"/>
      <c r="E531" s="448"/>
      <c r="F531" s="449"/>
      <c r="G531" s="450"/>
      <c r="H531" s="418"/>
      <c r="J531" s="451"/>
      <c r="K531" s="452"/>
    </row>
    <row r="532" spans="2:11" s="444" customFormat="1" ht="18.850000000000001" customHeight="1" x14ac:dyDescent="0.35">
      <c r="B532" s="445"/>
      <c r="C532" s="446"/>
      <c r="D532" s="447"/>
      <c r="E532" s="448"/>
      <c r="F532" s="449"/>
      <c r="G532" s="450"/>
      <c r="H532" s="418"/>
      <c r="J532" s="451"/>
      <c r="K532" s="452"/>
    </row>
    <row r="533" spans="2:11" s="444" customFormat="1" ht="18.850000000000001" customHeight="1" x14ac:dyDescent="0.35">
      <c r="B533" s="445"/>
      <c r="C533" s="446"/>
      <c r="D533" s="447"/>
      <c r="E533" s="448"/>
      <c r="F533" s="449"/>
      <c r="G533" s="450"/>
      <c r="H533" s="418"/>
      <c r="J533" s="451"/>
      <c r="K533" s="452"/>
    </row>
    <row r="534" spans="2:11" s="444" customFormat="1" ht="18.850000000000001" customHeight="1" x14ac:dyDescent="0.35">
      <c r="B534" s="445"/>
      <c r="C534" s="446"/>
      <c r="D534" s="447"/>
      <c r="E534" s="448"/>
      <c r="F534" s="449"/>
      <c r="G534" s="450"/>
      <c r="H534" s="418"/>
      <c r="J534" s="451"/>
      <c r="K534" s="452"/>
    </row>
    <row r="535" spans="2:11" s="444" customFormat="1" ht="18.850000000000001" customHeight="1" x14ac:dyDescent="0.35">
      <c r="B535" s="445"/>
      <c r="C535" s="446"/>
      <c r="D535" s="447"/>
      <c r="E535" s="448"/>
      <c r="F535" s="449"/>
      <c r="G535" s="450"/>
      <c r="H535" s="418"/>
      <c r="J535" s="451"/>
      <c r="K535" s="452"/>
    </row>
    <row r="536" spans="2:11" s="444" customFormat="1" ht="18.850000000000001" customHeight="1" x14ac:dyDescent="0.35">
      <c r="B536" s="445"/>
      <c r="C536" s="446"/>
      <c r="D536" s="447"/>
      <c r="E536" s="448"/>
      <c r="F536" s="449"/>
      <c r="G536" s="450"/>
      <c r="H536" s="418"/>
      <c r="J536" s="451"/>
      <c r="K536" s="452"/>
    </row>
    <row r="537" spans="2:11" s="444" customFormat="1" ht="18.850000000000001" customHeight="1" x14ac:dyDescent="0.35">
      <c r="B537" s="445"/>
      <c r="C537" s="446"/>
      <c r="D537" s="447"/>
      <c r="E537" s="448"/>
      <c r="F537" s="449"/>
      <c r="G537" s="450"/>
      <c r="H537" s="418"/>
      <c r="J537" s="451"/>
      <c r="K537" s="452"/>
    </row>
    <row r="538" spans="2:11" s="444" customFormat="1" ht="18.850000000000001" customHeight="1" x14ac:dyDescent="0.35">
      <c r="B538" s="445"/>
      <c r="C538" s="446"/>
      <c r="D538" s="447"/>
      <c r="E538" s="448"/>
      <c r="F538" s="449"/>
      <c r="G538" s="450"/>
      <c r="H538" s="418"/>
      <c r="J538" s="451"/>
      <c r="K538" s="452"/>
    </row>
    <row r="539" spans="2:11" s="444" customFormat="1" ht="18.850000000000001" customHeight="1" x14ac:dyDescent="0.35">
      <c r="B539" s="445"/>
      <c r="C539" s="446"/>
      <c r="D539" s="447"/>
      <c r="E539" s="448"/>
      <c r="F539" s="449"/>
      <c r="G539" s="450"/>
      <c r="H539" s="418"/>
      <c r="J539" s="451"/>
      <c r="K539" s="452"/>
    </row>
    <row r="540" spans="2:11" s="444" customFormat="1" ht="18.850000000000001" customHeight="1" x14ac:dyDescent="0.35">
      <c r="B540" s="445"/>
      <c r="C540" s="446"/>
      <c r="D540" s="447"/>
      <c r="E540" s="448"/>
      <c r="F540" s="449"/>
      <c r="G540" s="450"/>
      <c r="H540" s="418"/>
      <c r="J540" s="451"/>
      <c r="K540" s="452"/>
    </row>
    <row r="541" spans="2:11" s="444" customFormat="1" ht="18.850000000000001" customHeight="1" thickBot="1" x14ac:dyDescent="0.4">
      <c r="B541" s="445"/>
      <c r="C541" s="453" t="s">
        <v>55</v>
      </c>
      <c r="D541" s="447"/>
      <c r="E541" s="448"/>
      <c r="F541" s="454"/>
      <c r="G541" s="455">
        <f>SUM(G510:G519)</f>
        <v>280824000</v>
      </c>
      <c r="H541" s="418"/>
      <c r="J541" s="451"/>
      <c r="K541" s="452"/>
    </row>
    <row r="542" spans="2:11" s="456" customFormat="1" ht="18.850000000000001" customHeight="1" thickTop="1" x14ac:dyDescent="0.35">
      <c r="B542" s="457"/>
      <c r="C542" s="458" t="s">
        <v>1034</v>
      </c>
      <c r="D542" s="459"/>
      <c r="E542" s="459"/>
      <c r="F542" s="460"/>
      <c r="G542" s="461"/>
      <c r="H542" s="418"/>
      <c r="J542" s="451"/>
      <c r="K542" s="452"/>
    </row>
    <row r="543" spans="2:11" ht="18" customHeight="1" x14ac:dyDescent="0.35">
      <c r="B543" s="431"/>
      <c r="C543" s="432" t="str">
        <f>C505</f>
        <v>BILL NO.4</v>
      </c>
      <c r="D543" s="433"/>
      <c r="E543" s="434"/>
      <c r="F543" s="435"/>
      <c r="G543" s="436"/>
    </row>
    <row r="544" spans="2:11" ht="18" customHeight="1" x14ac:dyDescent="0.35">
      <c r="B544" s="431"/>
      <c r="C544" s="432" t="str">
        <f>C506</f>
        <v>ELECTRICAL INSTALLATIONS</v>
      </c>
      <c r="D544" s="433"/>
      <c r="E544" s="434"/>
      <c r="F544" s="435"/>
      <c r="G544" s="436"/>
    </row>
    <row r="545" spans="2:11" ht="18" customHeight="1" x14ac:dyDescent="0.35">
      <c r="B545" s="431"/>
      <c r="C545" s="432" t="s">
        <v>223</v>
      </c>
      <c r="D545" s="433"/>
      <c r="E545" s="434"/>
      <c r="F545" s="435"/>
      <c r="G545" s="436"/>
    </row>
    <row r="546" spans="2:11" ht="18" customHeight="1" x14ac:dyDescent="0.35">
      <c r="B546" s="431"/>
      <c r="C546" s="432" t="s">
        <v>608</v>
      </c>
      <c r="D546" s="433"/>
      <c r="E546" s="434"/>
      <c r="F546" s="435"/>
      <c r="G546" s="436"/>
    </row>
    <row r="547" spans="2:11" ht="18" customHeight="1" x14ac:dyDescent="0.35">
      <c r="B547" s="431"/>
      <c r="C547" s="437" t="s">
        <v>609</v>
      </c>
      <c r="D547" s="433"/>
      <c r="E547" s="434"/>
      <c r="F547" s="435"/>
      <c r="G547" s="450"/>
      <c r="J547" s="451"/>
      <c r="K547" s="452"/>
    </row>
    <row r="548" spans="2:11" s="444" customFormat="1" ht="40.15" customHeight="1" x14ac:dyDescent="0.35">
      <c r="B548" s="445" t="s">
        <v>31</v>
      </c>
      <c r="C548" s="446" t="s">
        <v>610</v>
      </c>
      <c r="D548" s="447">
        <v>20</v>
      </c>
      <c r="E548" s="448" t="s">
        <v>112</v>
      </c>
      <c r="F548" s="454">
        <v>260000</v>
      </c>
      <c r="G548" s="450">
        <f>F548*D548</f>
        <v>5200000</v>
      </c>
      <c r="H548" s="418"/>
      <c r="J548" s="451"/>
      <c r="K548" s="452"/>
    </row>
    <row r="549" spans="2:11" ht="18" customHeight="1" x14ac:dyDescent="0.35">
      <c r="B549" s="431"/>
      <c r="C549" s="437" t="s">
        <v>1049</v>
      </c>
      <c r="D549" s="433"/>
      <c r="E549" s="434"/>
      <c r="F549" s="435"/>
      <c r="G549" s="450"/>
      <c r="J549" s="451"/>
      <c r="K549" s="452"/>
    </row>
    <row r="550" spans="2:11" s="444" customFormat="1" ht="37.9" customHeight="1" x14ac:dyDescent="0.35">
      <c r="B550" s="445" t="s">
        <v>31</v>
      </c>
      <c r="C550" s="446" t="s">
        <v>1050</v>
      </c>
      <c r="D550" s="447">
        <v>20</v>
      </c>
      <c r="E550" s="448" t="s">
        <v>112</v>
      </c>
      <c r="F550" s="454">
        <v>260000</v>
      </c>
      <c r="G550" s="450">
        <f>F550*D550</f>
        <v>5200000</v>
      </c>
      <c r="H550" s="418"/>
      <c r="J550" s="451"/>
      <c r="K550" s="452"/>
    </row>
    <row r="551" spans="2:11" ht="16.5" customHeight="1" x14ac:dyDescent="0.35">
      <c r="B551" s="431"/>
      <c r="C551" s="437" t="s">
        <v>1051</v>
      </c>
      <c r="D551" s="433"/>
      <c r="E551" s="434"/>
      <c r="F551" s="454">
        <v>260000</v>
      </c>
      <c r="G551" s="450"/>
      <c r="J551" s="451"/>
      <c r="K551" s="452"/>
    </row>
    <row r="552" spans="2:11" s="444" customFormat="1" ht="43.9" customHeight="1" x14ac:dyDescent="0.35">
      <c r="B552" s="445" t="s">
        <v>31</v>
      </c>
      <c r="C552" s="446" t="s">
        <v>1052</v>
      </c>
      <c r="D552" s="447">
        <v>20</v>
      </c>
      <c r="E552" s="448" t="s">
        <v>112</v>
      </c>
      <c r="F552" s="454">
        <v>260000</v>
      </c>
      <c r="G552" s="450">
        <f>F552*D552</f>
        <v>5200000</v>
      </c>
      <c r="H552" s="418"/>
      <c r="J552" s="451"/>
      <c r="K552" s="452"/>
    </row>
    <row r="553" spans="2:11" ht="17.25" customHeight="1" x14ac:dyDescent="0.35">
      <c r="B553" s="431"/>
      <c r="C553" s="437" t="s">
        <v>1053</v>
      </c>
      <c r="D553" s="433"/>
      <c r="E553" s="434"/>
      <c r="F553" s="435"/>
      <c r="G553" s="450"/>
      <c r="J553" s="451"/>
      <c r="K553" s="452"/>
    </row>
    <row r="554" spans="2:11" s="444" customFormat="1" ht="49.15" customHeight="1" x14ac:dyDescent="0.35">
      <c r="B554" s="445" t="s">
        <v>31</v>
      </c>
      <c r="C554" s="446" t="s">
        <v>1058</v>
      </c>
      <c r="D554" s="447">
        <v>20</v>
      </c>
      <c r="E554" s="448" t="s">
        <v>112</v>
      </c>
      <c r="F554" s="454">
        <v>50000</v>
      </c>
      <c r="G554" s="450">
        <f>F554*D554</f>
        <v>1000000</v>
      </c>
      <c r="H554" s="418"/>
      <c r="J554" s="451"/>
      <c r="K554" s="452"/>
    </row>
    <row r="555" spans="2:11" ht="15.75" customHeight="1" x14ac:dyDescent="0.35">
      <c r="B555" s="431"/>
      <c r="C555" s="437" t="s">
        <v>1054</v>
      </c>
      <c r="D555" s="433"/>
      <c r="E555" s="434"/>
      <c r="F555" s="435"/>
      <c r="G555" s="450"/>
      <c r="J555" s="451"/>
      <c r="K555" s="452"/>
    </row>
    <row r="556" spans="2:11" s="444" customFormat="1" ht="41.65" customHeight="1" x14ac:dyDescent="0.35">
      <c r="B556" s="445" t="s">
        <v>31</v>
      </c>
      <c r="C556" s="446" t="s">
        <v>1059</v>
      </c>
      <c r="D556" s="447">
        <v>20</v>
      </c>
      <c r="E556" s="448" t="s">
        <v>112</v>
      </c>
      <c r="F556" s="454">
        <v>65000</v>
      </c>
      <c r="G556" s="450">
        <f>F556*D556</f>
        <v>1300000</v>
      </c>
      <c r="H556" s="418"/>
      <c r="J556" s="451"/>
      <c r="K556" s="452"/>
    </row>
    <row r="557" spans="2:11" ht="21.95" customHeight="1" x14ac:dyDescent="0.35">
      <c r="B557" s="431"/>
      <c r="C557" s="437" t="s">
        <v>1055</v>
      </c>
      <c r="D557" s="433"/>
      <c r="E557" s="434"/>
      <c r="F557" s="435"/>
      <c r="G557" s="450"/>
      <c r="J557" s="451"/>
      <c r="K557" s="452"/>
    </row>
    <row r="558" spans="2:11" s="444" customFormat="1" ht="48.75" customHeight="1" x14ac:dyDescent="0.35">
      <c r="B558" s="445" t="s">
        <v>31</v>
      </c>
      <c r="C558" s="446" t="s">
        <v>1060</v>
      </c>
      <c r="D558" s="447">
        <v>20</v>
      </c>
      <c r="E558" s="448" t="s">
        <v>112</v>
      </c>
      <c r="F558" s="454">
        <v>65000</v>
      </c>
      <c r="G558" s="450">
        <f>F558*D558</f>
        <v>1300000</v>
      </c>
      <c r="H558" s="418"/>
      <c r="J558" s="451"/>
      <c r="K558" s="452"/>
    </row>
    <row r="559" spans="2:11" ht="21.95" customHeight="1" x14ac:dyDescent="0.35">
      <c r="B559" s="431"/>
      <c r="C559" s="437" t="s">
        <v>611</v>
      </c>
      <c r="D559" s="433"/>
      <c r="E559" s="434"/>
      <c r="F559" s="435"/>
      <c r="G559" s="450"/>
      <c r="J559" s="451"/>
      <c r="K559" s="452"/>
    </row>
    <row r="560" spans="2:11" s="444" customFormat="1" ht="41.65" customHeight="1" x14ac:dyDescent="0.35">
      <c r="B560" s="445" t="s">
        <v>35</v>
      </c>
      <c r="C560" s="446" t="s">
        <v>946</v>
      </c>
      <c r="D560" s="447">
        <v>30</v>
      </c>
      <c r="E560" s="448" t="s">
        <v>112</v>
      </c>
      <c r="F560" s="454">
        <v>50000</v>
      </c>
      <c r="G560" s="450">
        <f t="shared" ref="G560:G595" si="37">F560*D560</f>
        <v>1500000</v>
      </c>
      <c r="H560" s="418"/>
      <c r="J560" s="451"/>
      <c r="K560" s="452"/>
    </row>
    <row r="561" spans="2:11" ht="15.75" customHeight="1" x14ac:dyDescent="0.35">
      <c r="B561" s="431"/>
      <c r="C561" s="437" t="s">
        <v>612</v>
      </c>
      <c r="D561" s="433"/>
      <c r="E561" s="434"/>
      <c r="F561" s="435"/>
      <c r="G561" s="450"/>
      <c r="J561" s="451"/>
      <c r="K561" s="452"/>
    </row>
    <row r="562" spans="2:11" s="444" customFormat="1" ht="38.25" customHeight="1" x14ac:dyDescent="0.35">
      <c r="B562" s="445" t="s">
        <v>36</v>
      </c>
      <c r="C562" s="446" t="s">
        <v>947</v>
      </c>
      <c r="D562" s="447">
        <v>35</v>
      </c>
      <c r="E562" s="448" t="s">
        <v>112</v>
      </c>
      <c r="F562" s="454">
        <v>65000</v>
      </c>
      <c r="G562" s="450">
        <f t="shared" si="37"/>
        <v>2275000</v>
      </c>
      <c r="H562" s="418"/>
      <c r="J562" s="451"/>
      <c r="K562" s="452"/>
    </row>
    <row r="563" spans="2:11" ht="15" customHeight="1" x14ac:dyDescent="0.35">
      <c r="B563" s="431"/>
      <c r="C563" s="437" t="s">
        <v>598</v>
      </c>
      <c r="D563" s="433"/>
      <c r="E563" s="434"/>
      <c r="F563" s="435"/>
      <c r="G563" s="450"/>
      <c r="J563" s="451"/>
      <c r="K563" s="452"/>
    </row>
    <row r="564" spans="2:11" s="444" customFormat="1" ht="37.9" customHeight="1" x14ac:dyDescent="0.35">
      <c r="B564" s="445" t="s">
        <v>114</v>
      </c>
      <c r="C564" s="446" t="s">
        <v>613</v>
      </c>
      <c r="D564" s="447">
        <v>25</v>
      </c>
      <c r="E564" s="448" t="s">
        <v>112</v>
      </c>
      <c r="F564" s="454">
        <v>43000</v>
      </c>
      <c r="G564" s="450">
        <f t="shared" si="37"/>
        <v>1075000</v>
      </c>
      <c r="H564" s="418"/>
      <c r="J564" s="451"/>
      <c r="K564" s="452"/>
    </row>
    <row r="565" spans="2:11" ht="13.5" customHeight="1" x14ac:dyDescent="0.35">
      <c r="B565" s="431"/>
      <c r="C565" s="437" t="s">
        <v>614</v>
      </c>
      <c r="D565" s="433"/>
      <c r="E565" s="434"/>
      <c r="F565" s="435"/>
      <c r="G565" s="450"/>
      <c r="J565" s="451"/>
      <c r="K565" s="452"/>
    </row>
    <row r="566" spans="2:11" s="444" customFormat="1" ht="28.9" customHeight="1" x14ac:dyDescent="0.35">
      <c r="B566" s="445" t="s">
        <v>39</v>
      </c>
      <c r="C566" s="446" t="s">
        <v>1061</v>
      </c>
      <c r="D566" s="447">
        <v>20</v>
      </c>
      <c r="E566" s="448" t="s">
        <v>112</v>
      </c>
      <c r="F566" s="454">
        <v>238000</v>
      </c>
      <c r="G566" s="450">
        <f t="shared" si="37"/>
        <v>4760000</v>
      </c>
      <c r="H566" s="418"/>
      <c r="J566" s="451"/>
      <c r="K566" s="452"/>
    </row>
    <row r="567" spans="2:11" s="444" customFormat="1" ht="28.9" customHeight="1" x14ac:dyDescent="0.35">
      <c r="B567" s="445" t="s">
        <v>40</v>
      </c>
      <c r="C567" s="446" t="s">
        <v>1237</v>
      </c>
      <c r="D567" s="447">
        <v>20</v>
      </c>
      <c r="E567" s="448" t="s">
        <v>112</v>
      </c>
      <c r="F567" s="454">
        <v>238000</v>
      </c>
      <c r="G567" s="450">
        <f t="shared" si="37"/>
        <v>4760000</v>
      </c>
      <c r="H567" s="418"/>
      <c r="J567" s="451"/>
      <c r="K567" s="452"/>
    </row>
    <row r="568" spans="2:11" s="444" customFormat="1" ht="33" customHeight="1" x14ac:dyDescent="0.35">
      <c r="B568" s="445" t="s">
        <v>15</v>
      </c>
      <c r="C568" s="446" t="s">
        <v>1062</v>
      </c>
      <c r="D568" s="447">
        <v>5</v>
      </c>
      <c r="E568" s="448" t="s">
        <v>113</v>
      </c>
      <c r="F568" s="454">
        <v>980000</v>
      </c>
      <c r="G568" s="450">
        <f t="shared" si="37"/>
        <v>4900000</v>
      </c>
      <c r="H568" s="418"/>
      <c r="J568" s="451"/>
      <c r="K568" s="452"/>
    </row>
    <row r="569" spans="2:11" s="444" customFormat="1" ht="33" customHeight="1" x14ac:dyDescent="0.35">
      <c r="B569" s="445" t="s">
        <v>31</v>
      </c>
      <c r="C569" s="446" t="s">
        <v>1063</v>
      </c>
      <c r="D569" s="447">
        <v>1</v>
      </c>
      <c r="E569" s="448" t="s">
        <v>113</v>
      </c>
      <c r="F569" s="454">
        <v>1120000</v>
      </c>
      <c r="G569" s="450">
        <f t="shared" si="37"/>
        <v>1120000</v>
      </c>
      <c r="H569" s="418"/>
      <c r="J569" s="451"/>
      <c r="K569" s="452"/>
    </row>
    <row r="570" spans="2:11" s="444" customFormat="1" ht="33" customHeight="1" x14ac:dyDescent="0.35">
      <c r="B570" s="445" t="s">
        <v>32</v>
      </c>
      <c r="C570" s="446" t="s">
        <v>1064</v>
      </c>
      <c r="D570" s="447">
        <v>5</v>
      </c>
      <c r="E570" s="448" t="s">
        <v>113</v>
      </c>
      <c r="F570" s="454">
        <v>680000</v>
      </c>
      <c r="G570" s="450">
        <f t="shared" si="37"/>
        <v>3400000</v>
      </c>
      <c r="H570" s="418"/>
      <c r="J570" s="451"/>
      <c r="K570" s="452"/>
    </row>
    <row r="571" spans="2:11" s="444" customFormat="1" ht="33" customHeight="1" x14ac:dyDescent="0.35">
      <c r="B571" s="445" t="s">
        <v>33</v>
      </c>
      <c r="C571" s="446" t="s">
        <v>615</v>
      </c>
      <c r="D571" s="447">
        <v>1</v>
      </c>
      <c r="E571" s="448" t="s">
        <v>113</v>
      </c>
      <c r="F571" s="454">
        <v>1120000</v>
      </c>
      <c r="G571" s="450">
        <f t="shared" si="37"/>
        <v>1120000</v>
      </c>
      <c r="H571" s="418"/>
      <c r="J571" s="451"/>
      <c r="K571" s="452"/>
    </row>
    <row r="572" spans="2:11" s="444" customFormat="1" ht="43.5" customHeight="1" x14ac:dyDescent="0.35">
      <c r="B572" s="445" t="s">
        <v>34</v>
      </c>
      <c r="C572" s="446" t="s">
        <v>1048</v>
      </c>
      <c r="D572" s="447">
        <v>25</v>
      </c>
      <c r="E572" s="448" t="s">
        <v>112</v>
      </c>
      <c r="F572" s="454">
        <v>272500</v>
      </c>
      <c r="G572" s="450">
        <f t="shared" si="37"/>
        <v>6812500</v>
      </c>
      <c r="H572" s="418"/>
      <c r="J572" s="451"/>
      <c r="K572" s="452"/>
    </row>
    <row r="573" spans="2:11" s="444" customFormat="1" ht="40.9" customHeight="1" x14ac:dyDescent="0.35">
      <c r="B573" s="445" t="s">
        <v>35</v>
      </c>
      <c r="C573" s="446" t="s">
        <v>1047</v>
      </c>
      <c r="D573" s="447">
        <v>25</v>
      </c>
      <c r="E573" s="448" t="s">
        <v>112</v>
      </c>
      <c r="F573" s="454">
        <v>222500</v>
      </c>
      <c r="G573" s="450">
        <f t="shared" si="37"/>
        <v>5562500</v>
      </c>
      <c r="H573" s="418"/>
      <c r="J573" s="451"/>
      <c r="K573" s="452"/>
    </row>
    <row r="574" spans="2:11" ht="16.5" customHeight="1" x14ac:dyDescent="0.35">
      <c r="B574" s="431"/>
      <c r="C574" s="437" t="s">
        <v>616</v>
      </c>
      <c r="D574" s="433"/>
      <c r="E574" s="434"/>
      <c r="F574" s="435"/>
      <c r="G574" s="450"/>
      <c r="J574" s="451"/>
      <c r="K574" s="452"/>
    </row>
    <row r="575" spans="2:11" s="444" customFormat="1" ht="26.65" customHeight="1" x14ac:dyDescent="0.35">
      <c r="B575" s="445" t="s">
        <v>36</v>
      </c>
      <c r="C575" s="446" t="s">
        <v>617</v>
      </c>
      <c r="D575" s="447">
        <v>2</v>
      </c>
      <c r="E575" s="448" t="s">
        <v>113</v>
      </c>
      <c r="F575" s="454">
        <v>220000</v>
      </c>
      <c r="G575" s="450">
        <f t="shared" si="37"/>
        <v>440000</v>
      </c>
      <c r="H575" s="418"/>
      <c r="J575" s="451"/>
      <c r="K575" s="452"/>
    </row>
    <row r="576" spans="2:11" ht="21.95" customHeight="1" x14ac:dyDescent="0.35">
      <c r="B576" s="431"/>
      <c r="C576" s="437" t="s">
        <v>618</v>
      </c>
      <c r="D576" s="433"/>
      <c r="E576" s="434"/>
      <c r="F576" s="435"/>
      <c r="G576" s="450"/>
      <c r="J576" s="451"/>
      <c r="K576" s="452"/>
    </row>
    <row r="577" spans="2:11" s="444" customFormat="1" ht="67.5" customHeight="1" x14ac:dyDescent="0.35">
      <c r="B577" s="445" t="s">
        <v>114</v>
      </c>
      <c r="C577" s="446" t="s">
        <v>1040</v>
      </c>
      <c r="D577" s="447">
        <v>1</v>
      </c>
      <c r="E577" s="448" t="s">
        <v>113</v>
      </c>
      <c r="F577" s="454">
        <v>1100000</v>
      </c>
      <c r="G577" s="450">
        <f t="shared" si="37"/>
        <v>1100000</v>
      </c>
      <c r="H577" s="418"/>
      <c r="J577" s="451"/>
      <c r="K577" s="452"/>
    </row>
    <row r="578" spans="2:11" s="444" customFormat="1" ht="40.5" customHeight="1" x14ac:dyDescent="0.35">
      <c r="B578" s="445" t="s">
        <v>39</v>
      </c>
      <c r="C578" s="446" t="s">
        <v>948</v>
      </c>
      <c r="D578" s="447">
        <v>40</v>
      </c>
      <c r="E578" s="448" t="s">
        <v>112</v>
      </c>
      <c r="F578" s="454">
        <v>75000</v>
      </c>
      <c r="G578" s="450">
        <f t="shared" si="37"/>
        <v>3000000</v>
      </c>
      <c r="H578" s="418"/>
      <c r="J578" s="451"/>
      <c r="K578" s="452"/>
    </row>
    <row r="579" spans="2:11" s="444" customFormat="1" ht="40.5" customHeight="1" x14ac:dyDescent="0.35">
      <c r="B579" s="445" t="s">
        <v>40</v>
      </c>
      <c r="C579" s="446" t="s">
        <v>949</v>
      </c>
      <c r="D579" s="447">
        <v>24</v>
      </c>
      <c r="E579" s="448" t="s">
        <v>112</v>
      </c>
      <c r="F579" s="454">
        <v>53000</v>
      </c>
      <c r="G579" s="450">
        <f t="shared" si="37"/>
        <v>1272000</v>
      </c>
      <c r="H579" s="418"/>
      <c r="J579" s="451"/>
      <c r="K579" s="452"/>
    </row>
    <row r="580" spans="2:11" s="444" customFormat="1" ht="43.25" customHeight="1" x14ac:dyDescent="0.35">
      <c r="B580" s="445" t="s">
        <v>15</v>
      </c>
      <c r="C580" s="446" t="s">
        <v>950</v>
      </c>
      <c r="D580" s="447">
        <v>24</v>
      </c>
      <c r="E580" s="448" t="s">
        <v>112</v>
      </c>
      <c r="F580" s="454">
        <v>53000</v>
      </c>
      <c r="G580" s="450">
        <f t="shared" si="37"/>
        <v>1272000</v>
      </c>
      <c r="H580" s="418"/>
      <c r="J580" s="451"/>
      <c r="K580" s="452"/>
    </row>
    <row r="581" spans="2:11" ht="21.95" customHeight="1" x14ac:dyDescent="0.35">
      <c r="B581" s="431"/>
      <c r="C581" s="437" t="s">
        <v>619</v>
      </c>
      <c r="D581" s="433"/>
      <c r="E581" s="434"/>
      <c r="F581" s="435"/>
      <c r="G581" s="450"/>
      <c r="J581" s="451"/>
      <c r="K581" s="452"/>
    </row>
    <row r="582" spans="2:11" s="444" customFormat="1" ht="43.5" customHeight="1" x14ac:dyDescent="0.35">
      <c r="B582" s="445" t="s">
        <v>31</v>
      </c>
      <c r="C582" s="446" t="s">
        <v>1065</v>
      </c>
      <c r="D582" s="447">
        <v>1</v>
      </c>
      <c r="E582" s="448" t="s">
        <v>113</v>
      </c>
      <c r="F582" s="454">
        <v>2570000</v>
      </c>
      <c r="G582" s="450">
        <f t="shared" si="37"/>
        <v>2570000</v>
      </c>
      <c r="H582" s="418"/>
      <c r="J582" s="451"/>
      <c r="K582" s="452"/>
    </row>
    <row r="583" spans="2:11" s="444" customFormat="1" ht="43.5" customHeight="1" x14ac:dyDescent="0.35">
      <c r="B583" s="445" t="s">
        <v>32</v>
      </c>
      <c r="C583" s="446" t="s">
        <v>1072</v>
      </c>
      <c r="D583" s="447">
        <v>40</v>
      </c>
      <c r="E583" s="448" t="s">
        <v>112</v>
      </c>
      <c r="F583" s="454">
        <v>120600</v>
      </c>
      <c r="G583" s="450">
        <f t="shared" si="37"/>
        <v>4824000</v>
      </c>
      <c r="H583" s="418"/>
      <c r="J583" s="451"/>
      <c r="K583" s="452"/>
    </row>
    <row r="584" spans="2:11" s="444" customFormat="1" ht="43.5" customHeight="1" x14ac:dyDescent="0.35">
      <c r="B584" s="445" t="s">
        <v>33</v>
      </c>
      <c r="C584" s="446" t="s">
        <v>1041</v>
      </c>
      <c r="D584" s="447">
        <v>30</v>
      </c>
      <c r="E584" s="448" t="s">
        <v>112</v>
      </c>
      <c r="F584" s="454">
        <v>53000</v>
      </c>
      <c r="G584" s="450">
        <f t="shared" si="37"/>
        <v>1590000</v>
      </c>
      <c r="H584" s="418"/>
      <c r="J584" s="451"/>
      <c r="K584" s="452"/>
    </row>
    <row r="585" spans="2:11" s="444" customFormat="1" ht="43.5" customHeight="1" x14ac:dyDescent="0.35">
      <c r="B585" s="445" t="s">
        <v>34</v>
      </c>
      <c r="C585" s="446" t="s">
        <v>1042</v>
      </c>
      <c r="D585" s="447">
        <v>30</v>
      </c>
      <c r="E585" s="448" t="s">
        <v>112</v>
      </c>
      <c r="F585" s="454">
        <v>53000</v>
      </c>
      <c r="G585" s="450">
        <f t="shared" si="37"/>
        <v>1590000</v>
      </c>
      <c r="H585" s="418"/>
      <c r="J585" s="451"/>
      <c r="K585" s="452"/>
    </row>
    <row r="586" spans="2:11" s="444" customFormat="1" ht="43.5" customHeight="1" x14ac:dyDescent="0.35">
      <c r="B586" s="445" t="s">
        <v>35</v>
      </c>
      <c r="C586" s="446" t="s">
        <v>1043</v>
      </c>
      <c r="D586" s="447">
        <v>15</v>
      </c>
      <c r="E586" s="448" t="s">
        <v>112</v>
      </c>
      <c r="F586" s="454">
        <v>53000</v>
      </c>
      <c r="G586" s="450">
        <f t="shared" si="37"/>
        <v>795000</v>
      </c>
      <c r="H586" s="418"/>
      <c r="J586" s="451"/>
      <c r="K586" s="452"/>
    </row>
    <row r="587" spans="2:11" s="444" customFormat="1" ht="43.5" customHeight="1" x14ac:dyDescent="0.35">
      <c r="B587" s="445" t="s">
        <v>36</v>
      </c>
      <c r="C587" s="446" t="s">
        <v>1044</v>
      </c>
      <c r="D587" s="447">
        <v>15</v>
      </c>
      <c r="E587" s="448" t="s">
        <v>112</v>
      </c>
      <c r="F587" s="454">
        <v>53000</v>
      </c>
      <c r="G587" s="450">
        <f t="shared" si="37"/>
        <v>795000</v>
      </c>
      <c r="H587" s="418"/>
      <c r="J587" s="451"/>
      <c r="K587" s="452"/>
    </row>
    <row r="588" spans="2:11" ht="13.5" customHeight="1" x14ac:dyDescent="0.35">
      <c r="B588" s="431"/>
      <c r="C588" s="437" t="s">
        <v>620</v>
      </c>
      <c r="D588" s="433"/>
      <c r="E588" s="434"/>
      <c r="F588" s="435"/>
      <c r="G588" s="450"/>
      <c r="J588" s="451"/>
      <c r="K588" s="452"/>
    </row>
    <row r="589" spans="2:11" s="444" customFormat="1" ht="40.9" customHeight="1" x14ac:dyDescent="0.35">
      <c r="B589" s="445" t="s">
        <v>31</v>
      </c>
      <c r="C589" s="446" t="s">
        <v>1066</v>
      </c>
      <c r="D589" s="447">
        <v>1</v>
      </c>
      <c r="E589" s="448" t="s">
        <v>113</v>
      </c>
      <c r="F589" s="454">
        <v>2500000</v>
      </c>
      <c r="G589" s="450">
        <f t="shared" ref="G589" si="38">F589*D589</f>
        <v>2500000</v>
      </c>
      <c r="H589" s="418"/>
      <c r="J589" s="451"/>
      <c r="K589" s="452"/>
    </row>
    <row r="590" spans="2:11" s="444" customFormat="1" ht="40.9" customHeight="1" x14ac:dyDescent="0.35">
      <c r="B590" s="445" t="s">
        <v>15</v>
      </c>
      <c r="C590" s="446" t="s">
        <v>1067</v>
      </c>
      <c r="D590" s="447">
        <v>15</v>
      </c>
      <c r="E590" s="448" t="s">
        <v>112</v>
      </c>
      <c r="F590" s="454">
        <v>53000</v>
      </c>
      <c r="G590" s="450">
        <f t="shared" si="37"/>
        <v>795000</v>
      </c>
      <c r="H590" s="418"/>
      <c r="J590" s="451"/>
      <c r="K590" s="452"/>
    </row>
    <row r="591" spans="2:11" s="444" customFormat="1" ht="40.9" customHeight="1" x14ac:dyDescent="0.35">
      <c r="B591" s="445" t="s">
        <v>31</v>
      </c>
      <c r="C591" s="446" t="s">
        <v>1068</v>
      </c>
      <c r="D591" s="447">
        <v>15</v>
      </c>
      <c r="E591" s="448" t="s">
        <v>112</v>
      </c>
      <c r="F591" s="454">
        <v>53000</v>
      </c>
      <c r="G591" s="450">
        <f t="shared" si="37"/>
        <v>795000</v>
      </c>
      <c r="H591" s="418"/>
      <c r="J591" s="451"/>
      <c r="K591" s="452"/>
    </row>
    <row r="592" spans="2:11" s="444" customFormat="1" ht="40.9" customHeight="1" x14ac:dyDescent="0.35">
      <c r="B592" s="445" t="s">
        <v>32</v>
      </c>
      <c r="C592" s="446" t="s">
        <v>951</v>
      </c>
      <c r="D592" s="447">
        <v>15</v>
      </c>
      <c r="E592" s="448" t="s">
        <v>112</v>
      </c>
      <c r="F592" s="454">
        <v>53000</v>
      </c>
      <c r="G592" s="450">
        <f t="shared" si="37"/>
        <v>795000</v>
      </c>
      <c r="H592" s="418"/>
      <c r="J592" s="451"/>
      <c r="K592" s="452"/>
    </row>
    <row r="593" spans="2:11" s="444" customFormat="1" ht="40.9" customHeight="1" x14ac:dyDescent="0.35">
      <c r="B593" s="445" t="s">
        <v>33</v>
      </c>
      <c r="C593" s="446" t="s">
        <v>952</v>
      </c>
      <c r="D593" s="447">
        <v>15</v>
      </c>
      <c r="E593" s="448" t="s">
        <v>112</v>
      </c>
      <c r="F593" s="454">
        <v>53000</v>
      </c>
      <c r="G593" s="450">
        <f t="shared" si="37"/>
        <v>795000</v>
      </c>
      <c r="H593" s="418"/>
      <c r="J593" s="451"/>
      <c r="K593" s="452"/>
    </row>
    <row r="594" spans="2:11" s="444" customFormat="1" ht="40.9" customHeight="1" x14ac:dyDescent="0.35">
      <c r="B594" s="445" t="s">
        <v>34</v>
      </c>
      <c r="C594" s="446" t="s">
        <v>1069</v>
      </c>
      <c r="D594" s="447">
        <v>22</v>
      </c>
      <c r="E594" s="448" t="s">
        <v>112</v>
      </c>
      <c r="F594" s="454">
        <v>53000</v>
      </c>
      <c r="G594" s="450">
        <f t="shared" si="37"/>
        <v>1166000</v>
      </c>
      <c r="H594" s="418"/>
      <c r="J594" s="451"/>
      <c r="K594" s="452"/>
    </row>
    <row r="595" spans="2:11" s="444" customFormat="1" ht="40.9" customHeight="1" x14ac:dyDescent="0.35">
      <c r="B595" s="445" t="s">
        <v>35</v>
      </c>
      <c r="C595" s="446" t="s">
        <v>1070</v>
      </c>
      <c r="D595" s="447">
        <v>22</v>
      </c>
      <c r="E595" s="448" t="s">
        <v>112</v>
      </c>
      <c r="F595" s="454">
        <v>53000</v>
      </c>
      <c r="G595" s="450">
        <f t="shared" si="37"/>
        <v>1166000</v>
      </c>
      <c r="H595" s="418"/>
      <c r="J595" s="451"/>
      <c r="K595" s="452"/>
    </row>
    <row r="596" spans="2:11" s="444" customFormat="1" ht="19.899999999999999" customHeight="1" x14ac:dyDescent="0.35">
      <c r="B596" s="445"/>
      <c r="C596" s="446"/>
      <c r="D596" s="447"/>
      <c r="E596" s="448"/>
      <c r="F596" s="454"/>
      <c r="G596" s="450"/>
      <c r="H596" s="418"/>
      <c r="J596" s="451"/>
      <c r="K596" s="452"/>
    </row>
    <row r="597" spans="2:11" s="444" customFormat="1" ht="19.899999999999999" customHeight="1" x14ac:dyDescent="0.35">
      <c r="B597" s="445"/>
      <c r="C597" s="446"/>
      <c r="D597" s="447"/>
      <c r="E597" s="448"/>
      <c r="F597" s="454"/>
      <c r="G597" s="450"/>
      <c r="H597" s="418"/>
      <c r="J597" s="451"/>
      <c r="K597" s="452"/>
    </row>
    <row r="598" spans="2:11" s="444" customFormat="1" ht="19.899999999999999" customHeight="1" x14ac:dyDescent="0.35">
      <c r="B598" s="445"/>
      <c r="C598" s="453" t="s">
        <v>55</v>
      </c>
      <c r="D598" s="447"/>
      <c r="E598" s="448"/>
      <c r="F598" s="454"/>
      <c r="G598" s="464">
        <f>SUM(G547:G597)</f>
        <v>83745000</v>
      </c>
      <c r="H598" s="418"/>
      <c r="J598" s="451"/>
      <c r="K598" s="452"/>
    </row>
    <row r="599" spans="2:11" s="456" customFormat="1" ht="19.899999999999999" customHeight="1" x14ac:dyDescent="0.35">
      <c r="B599" s="457"/>
      <c r="C599" s="458" t="s">
        <v>1092</v>
      </c>
      <c r="D599" s="459"/>
      <c r="E599" s="459"/>
      <c r="F599" s="460"/>
      <c r="G599" s="461"/>
      <c r="H599" s="418"/>
      <c r="J599" s="451"/>
      <c r="K599" s="452"/>
    </row>
    <row r="600" spans="2:11" ht="19.899999999999999" customHeight="1" x14ac:dyDescent="0.35">
      <c r="B600" s="431"/>
      <c r="C600" s="432" t="str">
        <f>C543</f>
        <v>BILL NO.4</v>
      </c>
      <c r="D600" s="433"/>
      <c r="E600" s="434"/>
      <c r="F600" s="435"/>
      <c r="G600" s="436"/>
    </row>
    <row r="601" spans="2:11" ht="19.899999999999999" customHeight="1" x14ac:dyDescent="0.35">
      <c r="B601" s="431"/>
      <c r="C601" s="432" t="str">
        <f>C544</f>
        <v>ELECTRICAL INSTALLATIONS</v>
      </c>
      <c r="D601" s="433"/>
      <c r="E601" s="434"/>
      <c r="F601" s="435"/>
      <c r="G601" s="436"/>
    </row>
    <row r="602" spans="2:11" ht="19.899999999999999" customHeight="1" x14ac:dyDescent="0.35">
      <c r="B602" s="431"/>
      <c r="C602" s="432" t="s">
        <v>244</v>
      </c>
      <c r="D602" s="433"/>
      <c r="E602" s="434"/>
      <c r="F602" s="435"/>
      <c r="G602" s="436"/>
    </row>
    <row r="603" spans="2:11" ht="19.899999999999999" customHeight="1" x14ac:dyDescent="0.35">
      <c r="B603" s="431"/>
      <c r="C603" s="432" t="s">
        <v>621</v>
      </c>
      <c r="D603" s="433"/>
      <c r="E603" s="434"/>
      <c r="F603" s="435"/>
      <c r="G603" s="436"/>
    </row>
    <row r="604" spans="2:11" s="444" customFormat="1" ht="67.900000000000006" customHeight="1" x14ac:dyDescent="0.35">
      <c r="B604" s="445" t="s">
        <v>31</v>
      </c>
      <c r="C604" s="446" t="s">
        <v>1238</v>
      </c>
      <c r="D604" s="447">
        <v>1</v>
      </c>
      <c r="E604" s="448" t="s">
        <v>113</v>
      </c>
      <c r="F604" s="454">
        <v>157500000</v>
      </c>
      <c r="G604" s="450">
        <f>F604*D604</f>
        <v>157500000</v>
      </c>
      <c r="H604" s="418"/>
      <c r="J604" s="451"/>
      <c r="K604" s="452"/>
    </row>
    <row r="605" spans="2:11" s="444" customFormat="1" ht="22.05" customHeight="1" x14ac:dyDescent="0.35">
      <c r="B605" s="445" t="s">
        <v>33</v>
      </c>
      <c r="C605" s="446" t="s">
        <v>622</v>
      </c>
      <c r="D605" s="447">
        <v>1</v>
      </c>
      <c r="E605" s="448" t="s">
        <v>37</v>
      </c>
      <c r="F605" s="454">
        <v>2100000</v>
      </c>
      <c r="G605" s="450">
        <f t="shared" ref="G605:G606" si="39">F605*D605</f>
        <v>2100000</v>
      </c>
      <c r="H605" s="418"/>
      <c r="J605" s="451"/>
      <c r="K605" s="452"/>
    </row>
    <row r="606" spans="2:11" s="444" customFormat="1" ht="45.6" customHeight="1" x14ac:dyDescent="0.35">
      <c r="B606" s="445" t="s">
        <v>34</v>
      </c>
      <c r="C606" s="446" t="s">
        <v>623</v>
      </c>
      <c r="D606" s="447">
        <v>1</v>
      </c>
      <c r="E606" s="448" t="s">
        <v>37</v>
      </c>
      <c r="F606" s="454">
        <v>525000</v>
      </c>
      <c r="G606" s="450">
        <f t="shared" si="39"/>
        <v>525000</v>
      </c>
      <c r="H606" s="418"/>
      <c r="J606" s="451"/>
      <c r="K606" s="452"/>
    </row>
    <row r="607" spans="2:11" s="444" customFormat="1" ht="25.05" customHeight="1" x14ac:dyDescent="0.35">
      <c r="B607" s="445"/>
      <c r="C607" s="446"/>
      <c r="D607" s="447"/>
      <c r="E607" s="448"/>
      <c r="F607" s="454"/>
      <c r="G607" s="450"/>
      <c r="H607" s="418"/>
      <c r="J607" s="451"/>
      <c r="K607" s="452"/>
    </row>
    <row r="608" spans="2:11" s="444" customFormat="1" ht="25.05" customHeight="1" x14ac:dyDescent="0.35">
      <c r="B608" s="445"/>
      <c r="C608" s="446"/>
      <c r="D608" s="447"/>
      <c r="E608" s="448"/>
      <c r="F608" s="454"/>
      <c r="G608" s="450"/>
      <c r="H608" s="418"/>
      <c r="J608" s="451"/>
      <c r="K608" s="452"/>
    </row>
    <row r="609" spans="2:11" s="444" customFormat="1" ht="25.05" customHeight="1" x14ac:dyDescent="0.35">
      <c r="B609" s="445"/>
      <c r="C609" s="446"/>
      <c r="D609" s="447"/>
      <c r="E609" s="448"/>
      <c r="F609" s="454"/>
      <c r="G609" s="450"/>
      <c r="H609" s="418"/>
      <c r="J609" s="451"/>
      <c r="K609" s="452"/>
    </row>
    <row r="610" spans="2:11" s="444" customFormat="1" ht="25.05" customHeight="1" x14ac:dyDescent="0.35">
      <c r="B610" s="445"/>
      <c r="C610" s="446"/>
      <c r="D610" s="447"/>
      <c r="E610" s="448"/>
      <c r="F610" s="454"/>
      <c r="G610" s="450"/>
      <c r="H610" s="418"/>
      <c r="J610" s="451"/>
      <c r="K610" s="452"/>
    </row>
    <row r="611" spans="2:11" s="444" customFormat="1" ht="25.05" customHeight="1" x14ac:dyDescent="0.35">
      <c r="B611" s="445"/>
      <c r="C611" s="446"/>
      <c r="D611" s="447"/>
      <c r="E611" s="448"/>
      <c r="F611" s="454"/>
      <c r="G611" s="450"/>
      <c r="H611" s="418"/>
      <c r="J611" s="451"/>
      <c r="K611" s="452"/>
    </row>
    <row r="612" spans="2:11" s="444" customFormat="1" ht="25.05" customHeight="1" x14ac:dyDescent="0.35">
      <c r="B612" s="445"/>
      <c r="C612" s="446"/>
      <c r="D612" s="447"/>
      <c r="E612" s="448"/>
      <c r="F612" s="454"/>
      <c r="G612" s="450"/>
      <c r="H612" s="418"/>
      <c r="J612" s="451"/>
      <c r="K612" s="452"/>
    </row>
    <row r="613" spans="2:11" s="444" customFormat="1" ht="25.05" customHeight="1" x14ac:dyDescent="0.35">
      <c r="B613" s="445"/>
      <c r="C613" s="446"/>
      <c r="D613" s="447"/>
      <c r="E613" s="448"/>
      <c r="F613" s="454"/>
      <c r="G613" s="450"/>
      <c r="H613" s="418"/>
      <c r="J613" s="451"/>
      <c r="K613" s="452"/>
    </row>
    <row r="614" spans="2:11" s="444" customFormat="1" ht="25.05" customHeight="1" x14ac:dyDescent="0.35">
      <c r="B614" s="445"/>
      <c r="C614" s="446"/>
      <c r="D614" s="447"/>
      <c r="E614" s="448"/>
      <c r="F614" s="454"/>
      <c r="G614" s="450"/>
      <c r="H614" s="418"/>
      <c r="J614" s="451"/>
      <c r="K614" s="452"/>
    </row>
    <row r="615" spans="2:11" s="444" customFormat="1" ht="25.05" customHeight="1" x14ac:dyDescent="0.35">
      <c r="B615" s="445"/>
      <c r="C615" s="446"/>
      <c r="D615" s="447"/>
      <c r="E615" s="448"/>
      <c r="F615" s="454"/>
      <c r="G615" s="450"/>
      <c r="H615" s="418"/>
      <c r="J615" s="451"/>
      <c r="K615" s="452"/>
    </row>
    <row r="616" spans="2:11" s="444" customFormat="1" ht="25.05" customHeight="1" x14ac:dyDescent="0.35">
      <c r="B616" s="445"/>
      <c r="C616" s="446"/>
      <c r="D616" s="447"/>
      <c r="E616" s="448"/>
      <c r="F616" s="454"/>
      <c r="G616" s="450"/>
      <c r="H616" s="418"/>
      <c r="J616" s="451"/>
      <c r="K616" s="452"/>
    </row>
    <row r="617" spans="2:11" s="444" customFormat="1" ht="25.05" customHeight="1" x14ac:dyDescent="0.35">
      <c r="B617" s="445"/>
      <c r="C617" s="446"/>
      <c r="D617" s="447"/>
      <c r="E617" s="448"/>
      <c r="F617" s="454"/>
      <c r="G617" s="450"/>
      <c r="H617" s="418"/>
      <c r="J617" s="451"/>
      <c r="K617" s="452"/>
    </row>
    <row r="618" spans="2:11" s="444" customFormat="1" ht="25.05" customHeight="1" x14ac:dyDescent="0.35">
      <c r="B618" s="445"/>
      <c r="C618" s="446"/>
      <c r="D618" s="447"/>
      <c r="E618" s="448"/>
      <c r="F618" s="454"/>
      <c r="G618" s="450"/>
      <c r="H618" s="418"/>
      <c r="J618" s="451"/>
      <c r="K618" s="452"/>
    </row>
    <row r="619" spans="2:11" s="444" customFormat="1" ht="25.05" customHeight="1" x14ac:dyDescent="0.35">
      <c r="B619" s="445"/>
      <c r="C619" s="446"/>
      <c r="D619" s="447"/>
      <c r="E619" s="448"/>
      <c r="F619" s="454"/>
      <c r="G619" s="450"/>
      <c r="H619" s="418"/>
      <c r="J619" s="451"/>
      <c r="K619" s="452"/>
    </row>
    <row r="620" spans="2:11" s="444" customFormat="1" ht="25.05" customHeight="1" x14ac:dyDescent="0.35">
      <c r="B620" s="445"/>
      <c r="C620" s="446"/>
      <c r="D620" s="447"/>
      <c r="E620" s="448"/>
      <c r="F620" s="454"/>
      <c r="G620" s="450"/>
      <c r="H620" s="418"/>
      <c r="J620" s="451"/>
      <c r="K620" s="452"/>
    </row>
    <row r="621" spans="2:11" s="444" customFormat="1" ht="20.45" customHeight="1" x14ac:dyDescent="0.35">
      <c r="B621" s="445"/>
      <c r="C621" s="446"/>
      <c r="D621" s="447"/>
      <c r="E621" s="448"/>
      <c r="F621" s="454"/>
      <c r="G621" s="450"/>
      <c r="H621" s="418"/>
      <c r="J621" s="451"/>
      <c r="K621" s="452"/>
    </row>
    <row r="622" spans="2:11" s="444" customFormat="1" ht="25.05" customHeight="1" x14ac:dyDescent="0.35">
      <c r="B622" s="445"/>
      <c r="C622" s="446"/>
      <c r="D622" s="447"/>
      <c r="E622" s="448"/>
      <c r="F622" s="454"/>
      <c r="G622" s="450"/>
      <c r="H622" s="418"/>
      <c r="J622" s="451"/>
      <c r="K622" s="452"/>
    </row>
    <row r="623" spans="2:11" s="444" customFormat="1" ht="25.05" customHeight="1" x14ac:dyDescent="0.35">
      <c r="B623" s="445"/>
      <c r="C623" s="446"/>
      <c r="D623" s="447"/>
      <c r="E623" s="448"/>
      <c r="F623" s="454"/>
      <c r="G623" s="450"/>
      <c r="H623" s="418"/>
      <c r="J623" s="451"/>
      <c r="K623" s="452"/>
    </row>
    <row r="624" spans="2:11" s="444" customFormat="1" ht="25.05" customHeight="1" x14ac:dyDescent="0.35">
      <c r="B624" s="445"/>
      <c r="C624" s="446"/>
      <c r="D624" s="447"/>
      <c r="E624" s="448"/>
      <c r="F624" s="454"/>
      <c r="G624" s="450"/>
      <c r="H624" s="418"/>
      <c r="J624" s="451"/>
      <c r="K624" s="452"/>
    </row>
    <row r="625" spans="2:11" s="444" customFormat="1" ht="25.05" customHeight="1" x14ac:dyDescent="0.35">
      <c r="B625" s="445"/>
      <c r="C625" s="446"/>
      <c r="D625" s="447"/>
      <c r="E625" s="448"/>
      <c r="F625" s="454"/>
      <c r="G625" s="450"/>
      <c r="H625" s="418"/>
      <c r="J625" s="451"/>
      <c r="K625" s="452"/>
    </row>
    <row r="626" spans="2:11" s="444" customFormat="1" ht="25.05" customHeight="1" x14ac:dyDescent="0.35">
      <c r="B626" s="445"/>
      <c r="C626" s="446"/>
      <c r="D626" s="447"/>
      <c r="E626" s="448"/>
      <c r="F626" s="454"/>
      <c r="G626" s="450"/>
      <c r="H626" s="418"/>
      <c r="J626" s="451"/>
      <c r="K626" s="452"/>
    </row>
    <row r="627" spans="2:11" s="444" customFormat="1" ht="25.05" customHeight="1" x14ac:dyDescent="0.35">
      <c r="B627" s="445"/>
      <c r="C627" s="446"/>
      <c r="D627" s="447"/>
      <c r="E627" s="448"/>
      <c r="F627" s="454"/>
      <c r="G627" s="450"/>
      <c r="H627" s="418"/>
      <c r="J627" s="451"/>
      <c r="K627" s="452"/>
    </row>
    <row r="628" spans="2:11" s="444" customFormat="1" ht="25.05" customHeight="1" x14ac:dyDescent="0.35">
      <c r="B628" s="445"/>
      <c r="C628" s="446"/>
      <c r="D628" s="447"/>
      <c r="E628" s="448"/>
      <c r="F628" s="454"/>
      <c r="G628" s="450"/>
      <c r="H628" s="418"/>
      <c r="J628" s="451"/>
      <c r="K628" s="452"/>
    </row>
    <row r="629" spans="2:11" s="444" customFormat="1" ht="25.05" customHeight="1" x14ac:dyDescent="0.35">
      <c r="B629" s="445"/>
      <c r="C629" s="446"/>
      <c r="D629" s="447"/>
      <c r="E629" s="448"/>
      <c r="F629" s="454"/>
      <c r="G629" s="450"/>
      <c r="H629" s="418"/>
      <c r="J629" s="451"/>
      <c r="K629" s="452"/>
    </row>
    <row r="630" spans="2:11" s="444" customFormat="1" ht="25.05" customHeight="1" x14ac:dyDescent="0.35">
      <c r="B630" s="445"/>
      <c r="C630" s="446"/>
      <c r="D630" s="447"/>
      <c r="E630" s="448"/>
      <c r="F630" s="454"/>
      <c r="G630" s="450"/>
      <c r="H630" s="418"/>
      <c r="J630" s="451"/>
      <c r="K630" s="452"/>
    </row>
    <row r="631" spans="2:11" s="444" customFormat="1" ht="30" customHeight="1" thickBot="1" x14ac:dyDescent="0.4">
      <c r="B631" s="445"/>
      <c r="C631" s="453" t="s">
        <v>55</v>
      </c>
      <c r="D631" s="447"/>
      <c r="E631" s="448"/>
      <c r="F631" s="454"/>
      <c r="G631" s="455">
        <f>SUM(G604:G614)</f>
        <v>160125000</v>
      </c>
      <c r="H631" s="418"/>
      <c r="J631" s="451"/>
      <c r="K631" s="452"/>
    </row>
    <row r="632" spans="2:11" s="456" customFormat="1" ht="30" customHeight="1" thickTop="1" x14ac:dyDescent="0.35">
      <c r="B632" s="457"/>
      <c r="C632" s="458" t="s">
        <v>957</v>
      </c>
      <c r="D632" s="459"/>
      <c r="E632" s="459"/>
      <c r="F632" s="460"/>
      <c r="G632" s="461"/>
      <c r="H632" s="418"/>
      <c r="J632" s="451"/>
      <c r="K632" s="452"/>
    </row>
    <row r="633" spans="2:11" ht="22.05" customHeight="1" x14ac:dyDescent="0.35">
      <c r="B633" s="431"/>
      <c r="C633" s="432" t="str">
        <f>C600</f>
        <v>BILL NO.4</v>
      </c>
      <c r="D633" s="433"/>
      <c r="E633" s="434"/>
      <c r="F633" s="435"/>
      <c r="G633" s="436"/>
    </row>
    <row r="634" spans="2:11" ht="22.05" customHeight="1" x14ac:dyDescent="0.35">
      <c r="B634" s="431"/>
      <c r="C634" s="432" t="str">
        <f>C601</f>
        <v>ELECTRICAL INSTALLATIONS</v>
      </c>
      <c r="D634" s="433"/>
      <c r="E634" s="434"/>
      <c r="F634" s="435"/>
      <c r="G634" s="436"/>
    </row>
    <row r="635" spans="2:11" ht="22.05" customHeight="1" x14ac:dyDescent="0.35">
      <c r="B635" s="431"/>
      <c r="C635" s="432" t="s">
        <v>245</v>
      </c>
      <c r="D635" s="433"/>
      <c r="E635" s="434"/>
      <c r="F635" s="435"/>
      <c r="G635" s="436"/>
    </row>
    <row r="636" spans="2:11" ht="22.05" customHeight="1" x14ac:dyDescent="0.35">
      <c r="B636" s="431"/>
      <c r="C636" s="432" t="s">
        <v>958</v>
      </c>
      <c r="D636" s="433"/>
      <c r="E636" s="434"/>
      <c r="F636" s="435"/>
      <c r="G636" s="436"/>
    </row>
    <row r="637" spans="2:11" s="444" customFormat="1" ht="22.05" customHeight="1" x14ac:dyDescent="0.35">
      <c r="B637" s="445" t="s">
        <v>31</v>
      </c>
      <c r="C637" s="446" t="s">
        <v>624</v>
      </c>
      <c r="D637" s="447">
        <v>30</v>
      </c>
      <c r="E637" s="448" t="s">
        <v>113</v>
      </c>
      <c r="F637" s="454">
        <v>875000</v>
      </c>
      <c r="G637" s="450">
        <f>F637*D637</f>
        <v>26250000</v>
      </c>
      <c r="H637" s="418"/>
      <c r="J637" s="451"/>
      <c r="K637" s="452"/>
    </row>
    <row r="638" spans="2:11" s="444" customFormat="1" ht="18" customHeight="1" x14ac:dyDescent="0.35">
      <c r="B638" s="445" t="s">
        <v>32</v>
      </c>
      <c r="C638" s="446" t="s">
        <v>625</v>
      </c>
      <c r="D638" s="447">
        <v>4</v>
      </c>
      <c r="E638" s="448" t="s">
        <v>113</v>
      </c>
      <c r="F638" s="454">
        <v>1750000</v>
      </c>
      <c r="G638" s="450">
        <f t="shared" ref="G638:G645" si="40">F638*D638</f>
        <v>7000000</v>
      </c>
      <c r="H638" s="418"/>
      <c r="J638" s="451"/>
      <c r="K638" s="452"/>
    </row>
    <row r="639" spans="2:11" s="444" customFormat="1" ht="47.75" customHeight="1" x14ac:dyDescent="0.35">
      <c r="B639" s="445" t="s">
        <v>33</v>
      </c>
      <c r="C639" s="446" t="s">
        <v>626</v>
      </c>
      <c r="D639" s="447">
        <v>1</v>
      </c>
      <c r="E639" s="448" t="s">
        <v>113</v>
      </c>
      <c r="F639" s="454">
        <v>25000000</v>
      </c>
      <c r="G639" s="450">
        <f t="shared" si="40"/>
        <v>25000000</v>
      </c>
      <c r="H639" s="418"/>
      <c r="J639" s="451"/>
      <c r="K639" s="452"/>
    </row>
    <row r="640" spans="2:11" s="444" customFormat="1" ht="22.05" customHeight="1" x14ac:dyDescent="0.35">
      <c r="B640" s="445" t="s">
        <v>34</v>
      </c>
      <c r="C640" s="446" t="s">
        <v>627</v>
      </c>
      <c r="D640" s="447">
        <v>3</v>
      </c>
      <c r="E640" s="448" t="s">
        <v>113</v>
      </c>
      <c r="F640" s="454">
        <v>525000</v>
      </c>
      <c r="G640" s="450">
        <f t="shared" si="40"/>
        <v>1575000</v>
      </c>
      <c r="H640" s="418"/>
      <c r="J640" s="451"/>
      <c r="K640" s="452"/>
    </row>
    <row r="641" spans="2:11" s="444" customFormat="1" ht="22.05" customHeight="1" x14ac:dyDescent="0.35">
      <c r="B641" s="445" t="s">
        <v>35</v>
      </c>
      <c r="C641" s="446" t="s">
        <v>628</v>
      </c>
      <c r="D641" s="447">
        <v>1</v>
      </c>
      <c r="E641" s="448" t="s">
        <v>37</v>
      </c>
      <c r="F641" s="454">
        <v>3150000</v>
      </c>
      <c r="G641" s="450">
        <f t="shared" si="40"/>
        <v>3150000</v>
      </c>
      <c r="H641" s="418"/>
      <c r="J641" s="451"/>
      <c r="K641" s="452"/>
    </row>
    <row r="642" spans="2:11" s="444" customFormat="1" x14ac:dyDescent="0.35">
      <c r="B642" s="445" t="s">
        <v>36</v>
      </c>
      <c r="C642" s="446" t="s">
        <v>629</v>
      </c>
      <c r="D642" s="447">
        <v>30</v>
      </c>
      <c r="E642" s="448" t="s">
        <v>113</v>
      </c>
      <c r="F642" s="454">
        <v>125000</v>
      </c>
      <c r="G642" s="450">
        <f t="shared" si="40"/>
        <v>3750000</v>
      </c>
      <c r="H642" s="418"/>
      <c r="J642" s="451"/>
      <c r="K642" s="452"/>
    </row>
    <row r="643" spans="2:11" s="444" customFormat="1" ht="19.899999999999999" customHeight="1" x14ac:dyDescent="0.35">
      <c r="B643" s="445" t="s">
        <v>114</v>
      </c>
      <c r="C643" s="446" t="s">
        <v>630</v>
      </c>
      <c r="D643" s="447">
        <v>1</v>
      </c>
      <c r="E643" s="448" t="s">
        <v>37</v>
      </c>
      <c r="F643" s="454">
        <v>4000000</v>
      </c>
      <c r="G643" s="450">
        <f t="shared" si="40"/>
        <v>4000000</v>
      </c>
      <c r="H643" s="418"/>
      <c r="J643" s="451"/>
      <c r="K643" s="452"/>
    </row>
    <row r="644" spans="2:11" s="444" customFormat="1" ht="25.5" x14ac:dyDescent="0.35">
      <c r="B644" s="445" t="s">
        <v>39</v>
      </c>
      <c r="C644" s="446" t="s">
        <v>631</v>
      </c>
      <c r="D644" s="447">
        <v>1</v>
      </c>
      <c r="E644" s="448" t="s">
        <v>113</v>
      </c>
      <c r="F644" s="454">
        <v>750000</v>
      </c>
      <c r="G644" s="450">
        <f t="shared" si="40"/>
        <v>750000</v>
      </c>
      <c r="H644" s="418"/>
      <c r="J644" s="451"/>
      <c r="K644" s="452"/>
    </row>
    <row r="645" spans="2:11" s="444" customFormat="1" ht="25.5" x14ac:dyDescent="0.35">
      <c r="B645" s="445" t="s">
        <v>40</v>
      </c>
      <c r="C645" s="446" t="s">
        <v>1046</v>
      </c>
      <c r="D645" s="447">
        <v>100</v>
      </c>
      <c r="E645" s="448" t="s">
        <v>112</v>
      </c>
      <c r="F645" s="454">
        <v>43750</v>
      </c>
      <c r="G645" s="450">
        <f t="shared" si="40"/>
        <v>4375000</v>
      </c>
      <c r="H645" s="418"/>
      <c r="J645" s="451"/>
      <c r="K645" s="452"/>
    </row>
    <row r="646" spans="2:11" s="444" customFormat="1" ht="15.85" customHeight="1" x14ac:dyDescent="0.35">
      <c r="B646" s="445"/>
      <c r="C646" s="446"/>
      <c r="D646" s="447"/>
      <c r="E646" s="448"/>
      <c r="F646" s="454"/>
      <c r="G646" s="450"/>
      <c r="H646" s="418"/>
      <c r="J646" s="451"/>
      <c r="K646" s="452"/>
    </row>
    <row r="647" spans="2:11" s="444" customFormat="1" ht="15.85" customHeight="1" x14ac:dyDescent="0.35">
      <c r="B647" s="445"/>
      <c r="C647" s="446"/>
      <c r="D647" s="447"/>
      <c r="E647" s="448"/>
      <c r="F647" s="454"/>
      <c r="G647" s="450"/>
      <c r="H647" s="418"/>
      <c r="J647" s="451"/>
      <c r="K647" s="452"/>
    </row>
    <row r="648" spans="2:11" s="444" customFormat="1" ht="15.85" customHeight="1" x14ac:dyDescent="0.35">
      <c r="B648" s="445"/>
      <c r="C648" s="446"/>
      <c r="D648" s="447"/>
      <c r="E648" s="448"/>
      <c r="F648" s="454"/>
      <c r="G648" s="450"/>
      <c r="H648" s="418"/>
      <c r="J648" s="451"/>
      <c r="K648" s="452"/>
    </row>
    <row r="649" spans="2:11" s="444" customFormat="1" ht="15.85" customHeight="1" x14ac:dyDescent="0.35">
      <c r="B649" s="445"/>
      <c r="C649" s="446"/>
      <c r="D649" s="447"/>
      <c r="E649" s="448"/>
      <c r="F649" s="454"/>
      <c r="G649" s="450"/>
      <c r="H649" s="418"/>
      <c r="J649" s="451"/>
      <c r="K649" s="452"/>
    </row>
    <row r="650" spans="2:11" s="444" customFormat="1" ht="15.85" customHeight="1" x14ac:dyDescent="0.35">
      <c r="B650" s="445"/>
      <c r="C650" s="446"/>
      <c r="D650" s="447"/>
      <c r="E650" s="448"/>
      <c r="F650" s="454"/>
      <c r="G650" s="450"/>
      <c r="H650" s="418"/>
      <c r="J650" s="451"/>
      <c r="K650" s="452"/>
    </row>
    <row r="651" spans="2:11" s="444" customFormat="1" ht="15.85" customHeight="1" x14ac:dyDescent="0.35">
      <c r="B651" s="445"/>
      <c r="C651" s="446"/>
      <c r="D651" s="447"/>
      <c r="E651" s="448"/>
      <c r="F651" s="454"/>
      <c r="G651" s="450"/>
      <c r="H651" s="418"/>
      <c r="J651" s="451"/>
      <c r="K651" s="452"/>
    </row>
    <row r="652" spans="2:11" s="444" customFormat="1" ht="15.85" customHeight="1" x14ac:dyDescent="0.35">
      <c r="B652" s="445"/>
      <c r="C652" s="446"/>
      <c r="D652" s="447"/>
      <c r="E652" s="448"/>
      <c r="F652" s="454"/>
      <c r="G652" s="450"/>
      <c r="H652" s="418"/>
      <c r="J652" s="451"/>
      <c r="K652" s="452"/>
    </row>
    <row r="653" spans="2:11" s="444" customFormat="1" ht="15.85" customHeight="1" x14ac:dyDescent="0.35">
      <c r="B653" s="445"/>
      <c r="C653" s="446"/>
      <c r="D653" s="447"/>
      <c r="E653" s="448"/>
      <c r="F653" s="454"/>
      <c r="G653" s="450"/>
      <c r="H653" s="418"/>
      <c r="J653" s="451"/>
      <c r="K653" s="452"/>
    </row>
    <row r="654" spans="2:11" s="444" customFormat="1" ht="15.85" customHeight="1" x14ac:dyDescent="0.35">
      <c r="B654" s="445"/>
      <c r="C654" s="446"/>
      <c r="D654" s="447"/>
      <c r="E654" s="448"/>
      <c r="F654" s="454"/>
      <c r="G654" s="450"/>
      <c r="H654" s="418"/>
      <c r="J654" s="451"/>
      <c r="K654" s="452"/>
    </row>
    <row r="655" spans="2:11" s="444" customFormat="1" ht="15.85" customHeight="1" x14ac:dyDescent="0.35">
      <c r="B655" s="445"/>
      <c r="C655" s="446"/>
      <c r="D655" s="447"/>
      <c r="E655" s="448"/>
      <c r="F655" s="454"/>
      <c r="G655" s="450"/>
      <c r="H655" s="418"/>
      <c r="J655" s="451"/>
      <c r="K655" s="452"/>
    </row>
    <row r="656" spans="2:11" s="444" customFormat="1" ht="15.85" customHeight="1" x14ac:dyDescent="0.35">
      <c r="B656" s="445"/>
      <c r="C656" s="446"/>
      <c r="D656" s="447"/>
      <c r="E656" s="448"/>
      <c r="F656" s="454"/>
      <c r="G656" s="450"/>
      <c r="H656" s="418"/>
      <c r="J656" s="451"/>
      <c r="K656" s="452"/>
    </row>
    <row r="657" spans="2:11" s="444" customFormat="1" ht="15.85" customHeight="1" x14ac:dyDescent="0.35">
      <c r="B657" s="445"/>
      <c r="C657" s="446"/>
      <c r="D657" s="447"/>
      <c r="E657" s="448"/>
      <c r="F657" s="454"/>
      <c r="G657" s="450"/>
      <c r="H657" s="418"/>
      <c r="J657" s="451"/>
      <c r="K657" s="452"/>
    </row>
    <row r="658" spans="2:11" s="444" customFormat="1" ht="15.85" customHeight="1" x14ac:dyDescent="0.35">
      <c r="B658" s="445"/>
      <c r="C658" s="446"/>
      <c r="D658" s="447"/>
      <c r="E658" s="448"/>
      <c r="F658" s="454"/>
      <c r="G658" s="450"/>
      <c r="H658" s="418"/>
      <c r="J658" s="451"/>
      <c r="K658" s="452"/>
    </row>
    <row r="659" spans="2:11" s="444" customFormat="1" ht="15.85" customHeight="1" x14ac:dyDescent="0.35">
      <c r="B659" s="445"/>
      <c r="C659" s="446"/>
      <c r="D659" s="447"/>
      <c r="E659" s="448"/>
      <c r="F659" s="454"/>
      <c r="G659" s="450"/>
      <c r="H659" s="418"/>
      <c r="J659" s="451"/>
      <c r="K659" s="452"/>
    </row>
    <row r="660" spans="2:11" s="444" customFormat="1" ht="15.85" customHeight="1" x14ac:dyDescent="0.35">
      <c r="B660" s="445"/>
      <c r="C660" s="446"/>
      <c r="D660" s="447"/>
      <c r="E660" s="448"/>
      <c r="F660" s="454"/>
      <c r="G660" s="450"/>
      <c r="H660" s="418"/>
      <c r="J660" s="451"/>
      <c r="K660" s="452"/>
    </row>
    <row r="661" spans="2:11" s="444" customFormat="1" ht="15.85" customHeight="1" x14ac:dyDescent="0.35">
      <c r="B661" s="445"/>
      <c r="C661" s="446"/>
      <c r="D661" s="447"/>
      <c r="E661" s="448"/>
      <c r="F661" s="454"/>
      <c r="G661" s="450"/>
      <c r="H661" s="418"/>
      <c r="J661" s="451"/>
      <c r="K661" s="452"/>
    </row>
    <row r="662" spans="2:11" s="444" customFormat="1" ht="15.85" customHeight="1" x14ac:dyDescent="0.35">
      <c r="B662" s="445"/>
      <c r="C662" s="446"/>
      <c r="D662" s="447"/>
      <c r="E662" s="448"/>
      <c r="F662" s="454"/>
      <c r="G662" s="450"/>
      <c r="H662" s="418"/>
      <c r="J662" s="451"/>
      <c r="K662" s="452"/>
    </row>
    <row r="663" spans="2:11" s="444" customFormat="1" ht="15.85" customHeight="1" x14ac:dyDescent="0.35">
      <c r="B663" s="445"/>
      <c r="C663" s="446"/>
      <c r="D663" s="447"/>
      <c r="E663" s="448"/>
      <c r="F663" s="454"/>
      <c r="G663" s="450"/>
      <c r="H663" s="418"/>
      <c r="J663" s="451"/>
      <c r="K663" s="452"/>
    </row>
    <row r="664" spans="2:11" s="444" customFormat="1" ht="15.85" customHeight="1" x14ac:dyDescent="0.35">
      <c r="B664" s="445"/>
      <c r="C664" s="446"/>
      <c r="D664" s="447"/>
      <c r="E664" s="448"/>
      <c r="F664" s="454"/>
      <c r="G664" s="450"/>
      <c r="H664" s="418"/>
      <c r="J664" s="451"/>
      <c r="K664" s="452"/>
    </row>
    <row r="665" spans="2:11" s="444" customFormat="1" ht="15.85" customHeight="1" x14ac:dyDescent="0.35">
      <c r="B665" s="445"/>
      <c r="C665" s="446"/>
      <c r="D665" s="447"/>
      <c r="E665" s="448"/>
      <c r="F665" s="454"/>
      <c r="G665" s="450"/>
      <c r="H665" s="418"/>
      <c r="J665" s="451"/>
      <c r="K665" s="452"/>
    </row>
    <row r="666" spans="2:11" s="444" customFormat="1" ht="15.85" customHeight="1" x14ac:dyDescent="0.35">
      <c r="B666" s="445"/>
      <c r="C666" s="446"/>
      <c r="D666" s="447"/>
      <c r="E666" s="448"/>
      <c r="F666" s="454"/>
      <c r="G666" s="450"/>
      <c r="H666" s="418"/>
      <c r="J666" s="451"/>
      <c r="K666" s="452"/>
    </row>
    <row r="667" spans="2:11" s="444" customFormat="1" ht="15.85" customHeight="1" x14ac:dyDescent="0.35">
      <c r="B667" s="445"/>
      <c r="C667" s="446"/>
      <c r="D667" s="447"/>
      <c r="E667" s="448"/>
      <c r="F667" s="454"/>
      <c r="G667" s="450"/>
      <c r="H667" s="418"/>
      <c r="J667" s="451"/>
      <c r="K667" s="452"/>
    </row>
    <row r="668" spans="2:11" s="444" customFormat="1" ht="15.85" customHeight="1" x14ac:dyDescent="0.35">
      <c r="B668" s="445"/>
      <c r="C668" s="446"/>
      <c r="D668" s="447"/>
      <c r="E668" s="448"/>
      <c r="F668" s="454"/>
      <c r="G668" s="450"/>
      <c r="H668" s="418"/>
      <c r="J668" s="451"/>
      <c r="K668" s="452"/>
    </row>
    <row r="669" spans="2:11" s="444" customFormat="1" ht="15.85" customHeight="1" x14ac:dyDescent="0.35">
      <c r="B669" s="445"/>
      <c r="C669" s="446"/>
      <c r="D669" s="447"/>
      <c r="E669" s="448"/>
      <c r="F669" s="454"/>
      <c r="G669" s="450"/>
      <c r="H669" s="418"/>
      <c r="J669" s="451"/>
      <c r="K669" s="452"/>
    </row>
    <row r="670" spans="2:11" s="444" customFormat="1" ht="15.85" customHeight="1" thickBot="1" x14ac:dyDescent="0.4">
      <c r="B670" s="445"/>
      <c r="C670" s="453" t="s">
        <v>55</v>
      </c>
      <c r="D670" s="447"/>
      <c r="E670" s="448"/>
      <c r="F670" s="454"/>
      <c r="G670" s="455">
        <f>SUM(G637:G646)</f>
        <v>75850000</v>
      </c>
      <c r="H670" s="418"/>
      <c r="J670" s="451"/>
      <c r="K670" s="452"/>
    </row>
    <row r="671" spans="2:11" s="456" customFormat="1" ht="15.85" customHeight="1" thickTop="1" x14ac:dyDescent="0.35">
      <c r="B671" s="457"/>
      <c r="C671" s="458" t="s">
        <v>1035</v>
      </c>
      <c r="D671" s="459"/>
      <c r="E671" s="459"/>
      <c r="F671" s="460"/>
      <c r="G671" s="461"/>
      <c r="H671" s="418"/>
      <c r="J671" s="451"/>
      <c r="K671" s="452"/>
    </row>
  </sheetData>
  <printOptions horizontalCentered="1"/>
  <pageMargins left="0.118110236220472" right="0.118110236220472" top="0.23622047244094499" bottom="0.31496062992126" header="7.8740157480315001E-2" footer="0.118110236220472"/>
  <pageSetup paperSize="9" scale="86" fitToHeight="0" orientation="portrait" r:id="rId1"/>
  <headerFooter>
    <oddHeader>&amp;R&amp;"Arial,Italic"&amp;8&amp;F</oddHeader>
    <oddFooter>&amp;L&amp;"Arial,Italic"&amp;8&amp;A</oddFooter>
  </headerFooter>
  <rowBreaks count="20" manualBreakCount="20">
    <brk id="39" max="16383" man="1"/>
    <brk id="76" min="1" max="7" man="1"/>
    <brk id="105" min="1" max="7" man="1"/>
    <brk id="123" max="16383" man="1"/>
    <brk id="150" min="1" max="7" man="1"/>
    <brk id="168" max="16383" man="1"/>
    <brk id="199" max="16383" man="1"/>
    <brk id="233" min="1" max="7" man="1"/>
    <brk id="264" max="16383" man="1"/>
    <brk id="297" min="1" max="7" man="1"/>
    <brk id="328" max="16383" man="1"/>
    <brk id="361" min="1" max="7" man="1"/>
    <brk id="392" max="16383" man="1"/>
    <brk id="425" min="1" max="7" man="1"/>
    <brk id="463" max="16383" man="1"/>
    <brk id="504" min="1" max="7" man="1"/>
    <brk id="542" min="1" max="7" man="1"/>
    <brk id="573" min="1" max="7" man="1"/>
    <brk id="599" max="16383" man="1"/>
    <brk id="632" min="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4"/>
  <sheetViews>
    <sheetView view="pageBreakPreview" zoomScaleNormal="100" workbookViewId="0">
      <selection activeCell="F7" sqref="F7"/>
    </sheetView>
  </sheetViews>
  <sheetFormatPr defaultColWidth="9.1328125" defaultRowHeight="20.65" x14ac:dyDescent="0.35"/>
  <cols>
    <col min="1" max="1" width="6.33203125" style="287" customWidth="1"/>
    <col min="2" max="2" width="69.86328125" style="291" customWidth="1"/>
    <col min="3" max="16384" width="9.1328125" style="287"/>
  </cols>
  <sheetData>
    <row r="1" spans="2:2" x14ac:dyDescent="0.35">
      <c r="B1" s="288"/>
    </row>
    <row r="2" spans="2:2" ht="30" customHeight="1" x14ac:dyDescent="0.35">
      <c r="B2" s="289" t="s">
        <v>523</v>
      </c>
    </row>
    <row r="3" spans="2:2" ht="40.5" customHeight="1" x14ac:dyDescent="0.35">
      <c r="B3" s="290" t="s">
        <v>524</v>
      </c>
    </row>
    <row r="4" spans="2:2" x14ac:dyDescent="0.35">
      <c r="B4" s="288"/>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27"/>
  <sheetViews>
    <sheetView view="pageBreakPreview" zoomScale="80" zoomScaleNormal="100" zoomScaleSheetLayoutView="80" workbookViewId="0">
      <selection activeCell="E13" sqref="E13"/>
    </sheetView>
  </sheetViews>
  <sheetFormatPr defaultColWidth="9.1328125" defaultRowHeight="15.4" x14ac:dyDescent="0.35"/>
  <cols>
    <col min="1" max="1" width="0.6640625" style="273" customWidth="1"/>
    <col min="2" max="2" width="11.33203125" style="274" customWidth="1"/>
    <col min="3" max="3" width="56.6640625" style="273" customWidth="1"/>
    <col min="4" max="4" width="15.6640625" style="274" customWidth="1"/>
    <col min="5" max="5" width="16.6640625" style="266" customWidth="1"/>
    <col min="6" max="6" width="1.33203125" style="268" customWidth="1"/>
    <col min="7" max="7" width="12.86328125" style="274" bestFit="1" customWidth="1"/>
    <col min="8" max="8" width="11.1328125" style="274" customWidth="1"/>
    <col min="9" max="12" width="9.1328125" style="274"/>
    <col min="13" max="13" width="14" style="274" bestFit="1" customWidth="1"/>
    <col min="14" max="16384" width="9.1328125" style="274"/>
  </cols>
  <sheetData>
    <row r="1" spans="2:13" s="265" customFormat="1" ht="6" customHeight="1" x14ac:dyDescent="0.35">
      <c r="B1" s="264"/>
      <c r="D1" s="264"/>
      <c r="E1" s="266"/>
      <c r="F1" s="267"/>
    </row>
    <row r="2" spans="2:13" s="322" customFormat="1" ht="30.75" x14ac:dyDescent="0.35">
      <c r="B2" s="328" t="s">
        <v>50</v>
      </c>
      <c r="C2" s="329" t="s">
        <v>38</v>
      </c>
      <c r="D2" s="329" t="s">
        <v>30</v>
      </c>
      <c r="E2" s="330" t="s">
        <v>532</v>
      </c>
      <c r="F2" s="321"/>
    </row>
    <row r="3" spans="2:13" s="265" customFormat="1" x14ac:dyDescent="0.35">
      <c r="B3" s="276"/>
      <c r="C3" s="277"/>
      <c r="D3" s="278"/>
      <c r="E3" s="279"/>
      <c r="F3" s="268"/>
    </row>
    <row r="4" spans="2:13" s="265" customFormat="1" ht="30" customHeight="1" x14ac:dyDescent="0.35">
      <c r="B4" s="276"/>
      <c r="C4" s="280" t="str">
        <f>'Fly Sht. Bill No.5'!B2</f>
        <v>BILL NO.5</v>
      </c>
      <c r="D4" s="278"/>
      <c r="E4" s="279"/>
      <c r="F4" s="268"/>
    </row>
    <row r="5" spans="2:13" s="265" customFormat="1" ht="30" customHeight="1" x14ac:dyDescent="0.35">
      <c r="B5" s="276"/>
      <c r="C5" s="280" t="str">
        <f>'Fly Sht. Bill No.5'!B3</f>
        <v>MECHANICAL INSTALLATIONS</v>
      </c>
      <c r="D5" s="278"/>
      <c r="E5" s="279"/>
      <c r="F5" s="268"/>
    </row>
    <row r="6" spans="2:13" s="265" customFormat="1" ht="30" customHeight="1" x14ac:dyDescent="0.35">
      <c r="B6" s="276"/>
      <c r="C6" s="280" t="s">
        <v>52</v>
      </c>
      <c r="D6" s="278"/>
      <c r="E6" s="279"/>
      <c r="F6" s="268"/>
    </row>
    <row r="7" spans="2:13" s="265" customFormat="1" ht="30" customHeight="1" x14ac:dyDescent="0.35">
      <c r="B7" s="281">
        <v>1</v>
      </c>
      <c r="C7" s="282" t="s">
        <v>1036</v>
      </c>
      <c r="D7" s="283" t="str">
        <f>'Bill No.5 Mechanical Inst.'!C72</f>
        <v>5/1/3</v>
      </c>
      <c r="E7" s="325">
        <f>'Bill No.5 Mechanical Inst.'!G71</f>
        <v>62234200</v>
      </c>
      <c r="F7" s="268"/>
      <c r="G7" s="269"/>
      <c r="H7" s="323"/>
      <c r="M7" s="270"/>
    </row>
    <row r="8" spans="2:13" s="265" customFormat="1" ht="33.6" customHeight="1" x14ac:dyDescent="0.35">
      <c r="B8" s="281">
        <v>2</v>
      </c>
      <c r="C8" s="277" t="s">
        <v>538</v>
      </c>
      <c r="D8" s="283" t="str">
        <f>'Bill No.5 Mechanical Inst.'!C148</f>
        <v>5/2/3</v>
      </c>
      <c r="E8" s="325">
        <f>'Bill No.5 Mechanical Inst.'!G147</f>
        <v>66296800</v>
      </c>
      <c r="F8" s="268"/>
      <c r="G8" s="269"/>
      <c r="M8" s="270"/>
    </row>
    <row r="9" spans="2:13" s="265" customFormat="1" ht="30" customHeight="1" x14ac:dyDescent="0.35">
      <c r="B9" s="281">
        <v>3</v>
      </c>
      <c r="C9" s="277" t="s">
        <v>539</v>
      </c>
      <c r="D9" s="283" t="str">
        <f>'Bill No.5 Mechanical Inst.'!C227</f>
        <v>5/3/3</v>
      </c>
      <c r="E9" s="325">
        <f>'Bill No.5 Mechanical Inst.'!G226</f>
        <v>60496300</v>
      </c>
      <c r="F9" s="268"/>
      <c r="G9" s="269"/>
      <c r="M9" s="270"/>
    </row>
    <row r="10" spans="2:13" s="265" customFormat="1" ht="30" customHeight="1" x14ac:dyDescent="0.35">
      <c r="B10" s="281">
        <v>4</v>
      </c>
      <c r="C10" s="282" t="s">
        <v>540</v>
      </c>
      <c r="D10" s="283" t="str">
        <f>'Bill No.5 Mechanical Inst.'!C303</f>
        <v>5/4/3</v>
      </c>
      <c r="E10" s="325">
        <f>'Bill No.5 Mechanical Inst.'!G302</f>
        <v>66339600</v>
      </c>
      <c r="F10" s="268"/>
      <c r="G10" s="269"/>
      <c r="M10" s="270"/>
    </row>
    <row r="11" spans="2:13" s="265" customFormat="1" ht="30" customHeight="1" x14ac:dyDescent="0.35">
      <c r="B11" s="281">
        <v>6</v>
      </c>
      <c r="C11" s="282" t="s">
        <v>1234</v>
      </c>
      <c r="D11" s="283"/>
      <c r="E11" s="325">
        <f>'Bill No.5 Mechanical Inst.'!G378</f>
        <v>66339600</v>
      </c>
      <c r="F11" s="268"/>
      <c r="G11" s="269"/>
      <c r="M11" s="270"/>
    </row>
    <row r="12" spans="2:13" s="265" customFormat="1" ht="30" customHeight="1" x14ac:dyDescent="0.35">
      <c r="B12" s="281">
        <v>7</v>
      </c>
      <c r="C12" s="282" t="s">
        <v>1235</v>
      </c>
      <c r="D12" s="283"/>
      <c r="E12" s="325">
        <f>'Bill No.5 Mechanical Inst.'!G429</f>
        <v>73357800</v>
      </c>
      <c r="F12" s="268"/>
      <c r="G12" s="269"/>
      <c r="M12" s="270"/>
    </row>
    <row r="13" spans="2:13" s="265" customFormat="1" ht="30" customHeight="1" x14ac:dyDescent="0.35">
      <c r="B13" s="281">
        <v>8</v>
      </c>
      <c r="C13" s="277" t="s">
        <v>963</v>
      </c>
      <c r="D13" s="283" t="str">
        <f>'Bill No.5 Mechanical Inst.'!C453</f>
        <v>5/6/1</v>
      </c>
      <c r="E13" s="325">
        <f>'Bill No.5 Mechanical Inst.'!G452</f>
        <v>150500000</v>
      </c>
      <c r="F13" s="268"/>
      <c r="G13" s="269"/>
      <c r="M13" s="270"/>
    </row>
    <row r="14" spans="2:13" s="265" customFormat="1" ht="30" customHeight="1" x14ac:dyDescent="0.35">
      <c r="B14" s="281">
        <v>9</v>
      </c>
      <c r="C14" s="277" t="s">
        <v>965</v>
      </c>
      <c r="D14" s="283" t="str">
        <f>'Bill No.5 Mechanical Inst.'!C470</f>
        <v>5/7/1</v>
      </c>
      <c r="E14" s="325">
        <f>'Bill No.5 Mechanical Inst.'!G469</f>
        <v>66879000</v>
      </c>
      <c r="F14" s="268"/>
      <c r="G14" s="269"/>
      <c r="M14" s="270"/>
    </row>
    <row r="15" spans="2:13" s="265" customFormat="1" ht="30" customHeight="1" x14ac:dyDescent="0.35">
      <c r="B15" s="281">
        <v>810</v>
      </c>
      <c r="C15" s="285" t="s">
        <v>967</v>
      </c>
      <c r="D15" s="283" t="str">
        <f>'Bill No.5 Mechanical Inst.'!C492</f>
        <v>5/8/1</v>
      </c>
      <c r="E15" s="325">
        <f>'Bill No.5 Mechanical Inst.'!G491</f>
        <v>40088800</v>
      </c>
      <c r="F15" s="268"/>
      <c r="G15" s="269"/>
      <c r="M15" s="270"/>
    </row>
    <row r="16" spans="2:13" s="265" customFormat="1" ht="30" customHeight="1" x14ac:dyDescent="0.35">
      <c r="B16" s="281"/>
      <c r="C16" s="277"/>
      <c r="D16" s="283"/>
      <c r="E16" s="284"/>
      <c r="F16" s="268"/>
      <c r="G16" s="269"/>
      <c r="M16" s="270"/>
    </row>
    <row r="17" spans="2:11" s="265" customFormat="1" ht="30" customHeight="1" x14ac:dyDescent="0.35">
      <c r="B17" s="281"/>
      <c r="C17" s="277"/>
      <c r="D17" s="283"/>
      <c r="E17" s="284"/>
      <c r="F17" s="268"/>
      <c r="G17" s="269"/>
    </row>
    <row r="18" spans="2:11" s="265" customFormat="1" ht="30" customHeight="1" x14ac:dyDescent="0.35">
      <c r="B18" s="281"/>
      <c r="C18" s="277"/>
      <c r="D18" s="283"/>
      <c r="E18" s="284"/>
      <c r="F18" s="268"/>
      <c r="G18" s="269"/>
    </row>
    <row r="19" spans="2:11" s="265" customFormat="1" ht="30" customHeight="1" x14ac:dyDescent="0.35">
      <c r="B19" s="281"/>
      <c r="C19" s="277"/>
      <c r="D19" s="283"/>
      <c r="E19" s="284"/>
      <c r="F19" s="268"/>
      <c r="G19" s="269"/>
    </row>
    <row r="20" spans="2:11" s="265" customFormat="1" ht="30" customHeight="1" x14ac:dyDescent="0.35">
      <c r="B20" s="281"/>
      <c r="C20" s="277"/>
      <c r="D20" s="283"/>
      <c r="E20" s="286"/>
      <c r="F20" s="268"/>
      <c r="G20" s="271"/>
    </row>
    <row r="21" spans="2:11" s="265" customFormat="1" ht="30" customHeight="1" x14ac:dyDescent="0.35">
      <c r="B21" s="281"/>
      <c r="C21" s="277"/>
      <c r="D21" s="283"/>
      <c r="E21" s="286"/>
      <c r="F21" s="268"/>
      <c r="G21" s="271"/>
    </row>
    <row r="22" spans="2:11" s="265" customFormat="1" ht="30" customHeight="1" x14ac:dyDescent="0.35">
      <c r="B22" s="281"/>
      <c r="C22" s="277"/>
      <c r="D22" s="283"/>
      <c r="E22" s="286"/>
      <c r="F22" s="268"/>
      <c r="G22" s="271"/>
    </row>
    <row r="23" spans="2:11" s="265" customFormat="1" ht="33.75" customHeight="1" x14ac:dyDescent="0.35">
      <c r="B23" s="281"/>
      <c r="C23" s="277"/>
      <c r="D23" s="283"/>
      <c r="E23" s="286"/>
      <c r="F23" s="268"/>
      <c r="G23" s="271"/>
    </row>
    <row r="24" spans="2:11" s="265" customFormat="1" ht="30" customHeight="1" x14ac:dyDescent="0.35">
      <c r="B24" s="281"/>
      <c r="C24" s="277"/>
      <c r="D24" s="283"/>
      <c r="E24" s="286"/>
      <c r="F24" s="268"/>
      <c r="G24" s="271"/>
    </row>
    <row r="25" spans="2:11" s="265" customFormat="1" ht="30" customHeight="1" x14ac:dyDescent="0.35">
      <c r="B25" s="281"/>
      <c r="C25" s="277"/>
      <c r="D25" s="283"/>
      <c r="E25" s="286"/>
      <c r="F25" s="268"/>
      <c r="G25" s="271"/>
    </row>
    <row r="26" spans="2:11" s="265" customFormat="1" ht="30" customHeight="1" thickBot="1" x14ac:dyDescent="0.4">
      <c r="B26" s="276"/>
      <c r="C26" s="326" t="s">
        <v>536</v>
      </c>
      <c r="D26" s="278"/>
      <c r="E26" s="327">
        <f>SUM(E7:E25)</f>
        <v>652532100</v>
      </c>
      <c r="F26" s="268"/>
      <c r="G26" s="272"/>
    </row>
    <row r="27" spans="2:11" ht="30" customHeight="1" thickTop="1" x14ac:dyDescent="0.35">
      <c r="C27" s="292" t="s">
        <v>537</v>
      </c>
      <c r="E27" s="275"/>
      <c r="H27" s="265"/>
      <c r="I27" s="265"/>
      <c r="J27" s="265"/>
      <c r="K27" s="265"/>
    </row>
  </sheetData>
  <printOptions horizontalCentered="1"/>
  <pageMargins left="0.19685039370078741" right="0.15748031496062992" top="0.43307086614173229" bottom="0.39370078740157483" header="0.19685039370078741" footer="0.19685039370078741"/>
  <pageSetup paperSize="9" orientation="portrait" r:id="rId1"/>
  <headerFooter>
    <oddHeader>&amp;R&amp;"Arial,Italic"&amp;8&amp;F</oddHeader>
    <oddFooter>&amp;L&amp;"Arial,Italic"&amp;8&amp;A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492"/>
  <sheetViews>
    <sheetView view="pageBreakPreview" topLeftCell="A436" zoomScaleNormal="100" zoomScaleSheetLayoutView="100" workbookViewId="0">
      <selection activeCell="C445" sqref="C445"/>
    </sheetView>
  </sheetViews>
  <sheetFormatPr defaultRowHeight="13.15" x14ac:dyDescent="0.35"/>
  <cols>
    <col min="1" max="1" width="0.86328125" style="418" customWidth="1"/>
    <col min="2" max="2" width="7" style="419" customWidth="1"/>
    <col min="3" max="3" width="67.86328125" style="418" customWidth="1"/>
    <col min="4" max="4" width="7.9296875" style="420" customWidth="1"/>
    <col min="5" max="5" width="7.9296875" style="421" customWidth="1"/>
    <col min="6" max="6" width="11.73046875" style="422" customWidth="1"/>
    <col min="7" max="7" width="13" style="422" customWidth="1"/>
    <col min="8" max="8" width="0.86328125" style="418" customWidth="1"/>
    <col min="9" max="9" width="8.86328125" style="418"/>
    <col min="10" max="10" width="17.86328125" style="418" bestFit="1" customWidth="1"/>
    <col min="11" max="11" width="19.53125" style="418" customWidth="1"/>
    <col min="12" max="235" width="8.86328125" style="418"/>
    <col min="236" max="236" width="0.86328125" style="418" customWidth="1"/>
    <col min="237" max="237" width="7" style="418" customWidth="1"/>
    <col min="238" max="238" width="50.6640625" style="418" customWidth="1"/>
    <col min="239" max="240" width="7.6640625" style="418" customWidth="1"/>
    <col min="241" max="241" width="11.6640625" style="418" customWidth="1"/>
    <col min="242" max="242" width="12.6640625" style="418" customWidth="1"/>
    <col min="243" max="491" width="8.86328125" style="418"/>
    <col min="492" max="492" width="0.86328125" style="418" customWidth="1"/>
    <col min="493" max="493" width="7" style="418" customWidth="1"/>
    <col min="494" max="494" width="50.6640625" style="418" customWidth="1"/>
    <col min="495" max="496" width="7.6640625" style="418" customWidth="1"/>
    <col min="497" max="497" width="11.6640625" style="418" customWidth="1"/>
    <col min="498" max="498" width="12.6640625" style="418" customWidth="1"/>
    <col min="499" max="747" width="8.86328125" style="418"/>
    <col min="748" max="748" width="0.86328125" style="418" customWidth="1"/>
    <col min="749" max="749" width="7" style="418" customWidth="1"/>
    <col min="750" max="750" width="50.6640625" style="418" customWidth="1"/>
    <col min="751" max="752" width="7.6640625" style="418" customWidth="1"/>
    <col min="753" max="753" width="11.6640625" style="418" customWidth="1"/>
    <col min="754" max="754" width="12.6640625" style="418" customWidth="1"/>
    <col min="755" max="1003" width="8.86328125" style="418"/>
    <col min="1004" max="1004" width="0.86328125" style="418" customWidth="1"/>
    <col min="1005" max="1005" width="7" style="418" customWidth="1"/>
    <col min="1006" max="1006" width="50.6640625" style="418" customWidth="1"/>
    <col min="1007" max="1008" width="7.6640625" style="418" customWidth="1"/>
    <col min="1009" max="1009" width="11.6640625" style="418" customWidth="1"/>
    <col min="1010" max="1010" width="12.6640625" style="418" customWidth="1"/>
    <col min="1011" max="1259" width="8.86328125" style="418"/>
    <col min="1260" max="1260" width="0.86328125" style="418" customWidth="1"/>
    <col min="1261" max="1261" width="7" style="418" customWidth="1"/>
    <col min="1262" max="1262" width="50.6640625" style="418" customWidth="1"/>
    <col min="1263" max="1264" width="7.6640625" style="418" customWidth="1"/>
    <col min="1265" max="1265" width="11.6640625" style="418" customWidth="1"/>
    <col min="1266" max="1266" width="12.6640625" style="418" customWidth="1"/>
    <col min="1267" max="1515" width="8.86328125" style="418"/>
    <col min="1516" max="1516" width="0.86328125" style="418" customWidth="1"/>
    <col min="1517" max="1517" width="7" style="418" customWidth="1"/>
    <col min="1518" max="1518" width="50.6640625" style="418" customWidth="1"/>
    <col min="1519" max="1520" width="7.6640625" style="418" customWidth="1"/>
    <col min="1521" max="1521" width="11.6640625" style="418" customWidth="1"/>
    <col min="1522" max="1522" width="12.6640625" style="418" customWidth="1"/>
    <col min="1523" max="1771" width="8.86328125" style="418"/>
    <col min="1772" max="1772" width="0.86328125" style="418" customWidth="1"/>
    <col min="1773" max="1773" width="7" style="418" customWidth="1"/>
    <col min="1774" max="1774" width="50.6640625" style="418" customWidth="1"/>
    <col min="1775" max="1776" width="7.6640625" style="418" customWidth="1"/>
    <col min="1777" max="1777" width="11.6640625" style="418" customWidth="1"/>
    <col min="1778" max="1778" width="12.6640625" style="418" customWidth="1"/>
    <col min="1779" max="2027" width="8.86328125" style="418"/>
    <col min="2028" max="2028" width="0.86328125" style="418" customWidth="1"/>
    <col min="2029" max="2029" width="7" style="418" customWidth="1"/>
    <col min="2030" max="2030" width="50.6640625" style="418" customWidth="1"/>
    <col min="2031" max="2032" width="7.6640625" style="418" customWidth="1"/>
    <col min="2033" max="2033" width="11.6640625" style="418" customWidth="1"/>
    <col min="2034" max="2034" width="12.6640625" style="418" customWidth="1"/>
    <col min="2035" max="2283" width="8.86328125" style="418"/>
    <col min="2284" max="2284" width="0.86328125" style="418" customWidth="1"/>
    <col min="2285" max="2285" width="7" style="418" customWidth="1"/>
    <col min="2286" max="2286" width="50.6640625" style="418" customWidth="1"/>
    <col min="2287" max="2288" width="7.6640625" style="418" customWidth="1"/>
    <col min="2289" max="2289" width="11.6640625" style="418" customWidth="1"/>
    <col min="2290" max="2290" width="12.6640625" style="418" customWidth="1"/>
    <col min="2291" max="2539" width="8.86328125" style="418"/>
    <col min="2540" max="2540" width="0.86328125" style="418" customWidth="1"/>
    <col min="2541" max="2541" width="7" style="418" customWidth="1"/>
    <col min="2542" max="2542" width="50.6640625" style="418" customWidth="1"/>
    <col min="2543" max="2544" width="7.6640625" style="418" customWidth="1"/>
    <col min="2545" max="2545" width="11.6640625" style="418" customWidth="1"/>
    <col min="2546" max="2546" width="12.6640625" style="418" customWidth="1"/>
    <col min="2547" max="2795" width="8.86328125" style="418"/>
    <col min="2796" max="2796" width="0.86328125" style="418" customWidth="1"/>
    <col min="2797" max="2797" width="7" style="418" customWidth="1"/>
    <col min="2798" max="2798" width="50.6640625" style="418" customWidth="1"/>
    <col min="2799" max="2800" width="7.6640625" style="418" customWidth="1"/>
    <col min="2801" max="2801" width="11.6640625" style="418" customWidth="1"/>
    <col min="2802" max="2802" width="12.6640625" style="418" customWidth="1"/>
    <col min="2803" max="3051" width="8.86328125" style="418"/>
    <col min="3052" max="3052" width="0.86328125" style="418" customWidth="1"/>
    <col min="3053" max="3053" width="7" style="418" customWidth="1"/>
    <col min="3054" max="3054" width="50.6640625" style="418" customWidth="1"/>
    <col min="3055" max="3056" width="7.6640625" style="418" customWidth="1"/>
    <col min="3057" max="3057" width="11.6640625" style="418" customWidth="1"/>
    <col min="3058" max="3058" width="12.6640625" style="418" customWidth="1"/>
    <col min="3059" max="3307" width="8.86328125" style="418"/>
    <col min="3308" max="3308" width="0.86328125" style="418" customWidth="1"/>
    <col min="3309" max="3309" width="7" style="418" customWidth="1"/>
    <col min="3310" max="3310" width="50.6640625" style="418" customWidth="1"/>
    <col min="3311" max="3312" width="7.6640625" style="418" customWidth="1"/>
    <col min="3313" max="3313" width="11.6640625" style="418" customWidth="1"/>
    <col min="3314" max="3314" width="12.6640625" style="418" customWidth="1"/>
    <col min="3315" max="3563" width="8.86328125" style="418"/>
    <col min="3564" max="3564" width="0.86328125" style="418" customWidth="1"/>
    <col min="3565" max="3565" width="7" style="418" customWidth="1"/>
    <col min="3566" max="3566" width="50.6640625" style="418" customWidth="1"/>
    <col min="3567" max="3568" width="7.6640625" style="418" customWidth="1"/>
    <col min="3569" max="3569" width="11.6640625" style="418" customWidth="1"/>
    <col min="3570" max="3570" width="12.6640625" style="418" customWidth="1"/>
    <col min="3571" max="3819" width="8.86328125" style="418"/>
    <col min="3820" max="3820" width="0.86328125" style="418" customWidth="1"/>
    <col min="3821" max="3821" width="7" style="418" customWidth="1"/>
    <col min="3822" max="3822" width="50.6640625" style="418" customWidth="1"/>
    <col min="3823" max="3824" width="7.6640625" style="418" customWidth="1"/>
    <col min="3825" max="3825" width="11.6640625" style="418" customWidth="1"/>
    <col min="3826" max="3826" width="12.6640625" style="418" customWidth="1"/>
    <col min="3827" max="4075" width="8.86328125" style="418"/>
    <col min="4076" max="4076" width="0.86328125" style="418" customWidth="1"/>
    <col min="4077" max="4077" width="7" style="418" customWidth="1"/>
    <col min="4078" max="4078" width="50.6640625" style="418" customWidth="1"/>
    <col min="4079" max="4080" width="7.6640625" style="418" customWidth="1"/>
    <col min="4081" max="4081" width="11.6640625" style="418" customWidth="1"/>
    <col min="4082" max="4082" width="12.6640625" style="418" customWidth="1"/>
    <col min="4083" max="4331" width="8.86328125" style="418"/>
    <col min="4332" max="4332" width="0.86328125" style="418" customWidth="1"/>
    <col min="4333" max="4333" width="7" style="418" customWidth="1"/>
    <col min="4334" max="4334" width="50.6640625" style="418" customWidth="1"/>
    <col min="4335" max="4336" width="7.6640625" style="418" customWidth="1"/>
    <col min="4337" max="4337" width="11.6640625" style="418" customWidth="1"/>
    <col min="4338" max="4338" width="12.6640625" style="418" customWidth="1"/>
    <col min="4339" max="4587" width="8.86328125" style="418"/>
    <col min="4588" max="4588" width="0.86328125" style="418" customWidth="1"/>
    <col min="4589" max="4589" width="7" style="418" customWidth="1"/>
    <col min="4590" max="4590" width="50.6640625" style="418" customWidth="1"/>
    <col min="4591" max="4592" width="7.6640625" style="418" customWidth="1"/>
    <col min="4593" max="4593" width="11.6640625" style="418" customWidth="1"/>
    <col min="4594" max="4594" width="12.6640625" style="418" customWidth="1"/>
    <col min="4595" max="4843" width="8.86328125" style="418"/>
    <col min="4844" max="4844" width="0.86328125" style="418" customWidth="1"/>
    <col min="4845" max="4845" width="7" style="418" customWidth="1"/>
    <col min="4846" max="4846" width="50.6640625" style="418" customWidth="1"/>
    <col min="4847" max="4848" width="7.6640625" style="418" customWidth="1"/>
    <col min="4849" max="4849" width="11.6640625" style="418" customWidth="1"/>
    <col min="4850" max="4850" width="12.6640625" style="418" customWidth="1"/>
    <col min="4851" max="5099" width="8.86328125" style="418"/>
    <col min="5100" max="5100" width="0.86328125" style="418" customWidth="1"/>
    <col min="5101" max="5101" width="7" style="418" customWidth="1"/>
    <col min="5102" max="5102" width="50.6640625" style="418" customWidth="1"/>
    <col min="5103" max="5104" width="7.6640625" style="418" customWidth="1"/>
    <col min="5105" max="5105" width="11.6640625" style="418" customWidth="1"/>
    <col min="5106" max="5106" width="12.6640625" style="418" customWidth="1"/>
    <col min="5107" max="5355" width="8.86328125" style="418"/>
    <col min="5356" max="5356" width="0.86328125" style="418" customWidth="1"/>
    <col min="5357" max="5357" width="7" style="418" customWidth="1"/>
    <col min="5358" max="5358" width="50.6640625" style="418" customWidth="1"/>
    <col min="5359" max="5360" width="7.6640625" style="418" customWidth="1"/>
    <col min="5361" max="5361" width="11.6640625" style="418" customWidth="1"/>
    <col min="5362" max="5362" width="12.6640625" style="418" customWidth="1"/>
    <col min="5363" max="5611" width="8.86328125" style="418"/>
    <col min="5612" max="5612" width="0.86328125" style="418" customWidth="1"/>
    <col min="5613" max="5613" width="7" style="418" customWidth="1"/>
    <col min="5614" max="5614" width="50.6640625" style="418" customWidth="1"/>
    <col min="5615" max="5616" width="7.6640625" style="418" customWidth="1"/>
    <col min="5617" max="5617" width="11.6640625" style="418" customWidth="1"/>
    <col min="5618" max="5618" width="12.6640625" style="418" customWidth="1"/>
    <col min="5619" max="5867" width="8.86328125" style="418"/>
    <col min="5868" max="5868" width="0.86328125" style="418" customWidth="1"/>
    <col min="5869" max="5869" width="7" style="418" customWidth="1"/>
    <col min="5870" max="5870" width="50.6640625" style="418" customWidth="1"/>
    <col min="5871" max="5872" width="7.6640625" style="418" customWidth="1"/>
    <col min="5873" max="5873" width="11.6640625" style="418" customWidth="1"/>
    <col min="5874" max="5874" width="12.6640625" style="418" customWidth="1"/>
    <col min="5875" max="6123" width="8.86328125" style="418"/>
    <col min="6124" max="6124" width="0.86328125" style="418" customWidth="1"/>
    <col min="6125" max="6125" width="7" style="418" customWidth="1"/>
    <col min="6126" max="6126" width="50.6640625" style="418" customWidth="1"/>
    <col min="6127" max="6128" width="7.6640625" style="418" customWidth="1"/>
    <col min="6129" max="6129" width="11.6640625" style="418" customWidth="1"/>
    <col min="6130" max="6130" width="12.6640625" style="418" customWidth="1"/>
    <col min="6131" max="6379" width="8.86328125" style="418"/>
    <col min="6380" max="6380" width="0.86328125" style="418" customWidth="1"/>
    <col min="6381" max="6381" width="7" style="418" customWidth="1"/>
    <col min="6382" max="6382" width="50.6640625" style="418" customWidth="1"/>
    <col min="6383" max="6384" width="7.6640625" style="418" customWidth="1"/>
    <col min="6385" max="6385" width="11.6640625" style="418" customWidth="1"/>
    <col min="6386" max="6386" width="12.6640625" style="418" customWidth="1"/>
    <col min="6387" max="6635" width="8.86328125" style="418"/>
    <col min="6636" max="6636" width="0.86328125" style="418" customWidth="1"/>
    <col min="6637" max="6637" width="7" style="418" customWidth="1"/>
    <col min="6638" max="6638" width="50.6640625" style="418" customWidth="1"/>
    <col min="6639" max="6640" width="7.6640625" style="418" customWidth="1"/>
    <col min="6641" max="6641" width="11.6640625" style="418" customWidth="1"/>
    <col min="6642" max="6642" width="12.6640625" style="418" customWidth="1"/>
    <col min="6643" max="6891" width="8.86328125" style="418"/>
    <col min="6892" max="6892" width="0.86328125" style="418" customWidth="1"/>
    <col min="6893" max="6893" width="7" style="418" customWidth="1"/>
    <col min="6894" max="6894" width="50.6640625" style="418" customWidth="1"/>
    <col min="6895" max="6896" width="7.6640625" style="418" customWidth="1"/>
    <col min="6897" max="6897" width="11.6640625" style="418" customWidth="1"/>
    <col min="6898" max="6898" width="12.6640625" style="418" customWidth="1"/>
    <col min="6899" max="7147" width="8.86328125" style="418"/>
    <col min="7148" max="7148" width="0.86328125" style="418" customWidth="1"/>
    <col min="7149" max="7149" width="7" style="418" customWidth="1"/>
    <col min="7150" max="7150" width="50.6640625" style="418" customWidth="1"/>
    <col min="7151" max="7152" width="7.6640625" style="418" customWidth="1"/>
    <col min="7153" max="7153" width="11.6640625" style="418" customWidth="1"/>
    <col min="7154" max="7154" width="12.6640625" style="418" customWidth="1"/>
    <col min="7155" max="7403" width="8.86328125" style="418"/>
    <col min="7404" max="7404" width="0.86328125" style="418" customWidth="1"/>
    <col min="7405" max="7405" width="7" style="418" customWidth="1"/>
    <col min="7406" max="7406" width="50.6640625" style="418" customWidth="1"/>
    <col min="7407" max="7408" width="7.6640625" style="418" customWidth="1"/>
    <col min="7409" max="7409" width="11.6640625" style="418" customWidth="1"/>
    <col min="7410" max="7410" width="12.6640625" style="418" customWidth="1"/>
    <col min="7411" max="7659" width="8.86328125" style="418"/>
    <col min="7660" max="7660" width="0.86328125" style="418" customWidth="1"/>
    <col min="7661" max="7661" width="7" style="418" customWidth="1"/>
    <col min="7662" max="7662" width="50.6640625" style="418" customWidth="1"/>
    <col min="7663" max="7664" width="7.6640625" style="418" customWidth="1"/>
    <col min="7665" max="7665" width="11.6640625" style="418" customWidth="1"/>
    <col min="7666" max="7666" width="12.6640625" style="418" customWidth="1"/>
    <col min="7667" max="7915" width="8.86328125" style="418"/>
    <col min="7916" max="7916" width="0.86328125" style="418" customWidth="1"/>
    <col min="7917" max="7917" width="7" style="418" customWidth="1"/>
    <col min="7918" max="7918" width="50.6640625" style="418" customWidth="1"/>
    <col min="7919" max="7920" width="7.6640625" style="418" customWidth="1"/>
    <col min="7921" max="7921" width="11.6640625" style="418" customWidth="1"/>
    <col min="7922" max="7922" width="12.6640625" style="418" customWidth="1"/>
    <col min="7923" max="8171" width="8.86328125" style="418"/>
    <col min="8172" max="8172" width="0.86328125" style="418" customWidth="1"/>
    <col min="8173" max="8173" width="7" style="418" customWidth="1"/>
    <col min="8174" max="8174" width="50.6640625" style="418" customWidth="1"/>
    <col min="8175" max="8176" width="7.6640625" style="418" customWidth="1"/>
    <col min="8177" max="8177" width="11.6640625" style="418" customWidth="1"/>
    <col min="8178" max="8178" width="12.6640625" style="418" customWidth="1"/>
    <col min="8179" max="8427" width="8.86328125" style="418"/>
    <col min="8428" max="8428" width="0.86328125" style="418" customWidth="1"/>
    <col min="8429" max="8429" width="7" style="418" customWidth="1"/>
    <col min="8430" max="8430" width="50.6640625" style="418" customWidth="1"/>
    <col min="8431" max="8432" width="7.6640625" style="418" customWidth="1"/>
    <col min="8433" max="8433" width="11.6640625" style="418" customWidth="1"/>
    <col min="8434" max="8434" width="12.6640625" style="418" customWidth="1"/>
    <col min="8435" max="8683" width="8.86328125" style="418"/>
    <col min="8684" max="8684" width="0.86328125" style="418" customWidth="1"/>
    <col min="8685" max="8685" width="7" style="418" customWidth="1"/>
    <col min="8686" max="8686" width="50.6640625" style="418" customWidth="1"/>
    <col min="8687" max="8688" width="7.6640625" style="418" customWidth="1"/>
    <col min="8689" max="8689" width="11.6640625" style="418" customWidth="1"/>
    <col min="8690" max="8690" width="12.6640625" style="418" customWidth="1"/>
    <col min="8691" max="8939" width="8.86328125" style="418"/>
    <col min="8940" max="8940" width="0.86328125" style="418" customWidth="1"/>
    <col min="8941" max="8941" width="7" style="418" customWidth="1"/>
    <col min="8942" max="8942" width="50.6640625" style="418" customWidth="1"/>
    <col min="8943" max="8944" width="7.6640625" style="418" customWidth="1"/>
    <col min="8945" max="8945" width="11.6640625" style="418" customWidth="1"/>
    <col min="8946" max="8946" width="12.6640625" style="418" customWidth="1"/>
    <col min="8947" max="9195" width="8.86328125" style="418"/>
    <col min="9196" max="9196" width="0.86328125" style="418" customWidth="1"/>
    <col min="9197" max="9197" width="7" style="418" customWidth="1"/>
    <col min="9198" max="9198" width="50.6640625" style="418" customWidth="1"/>
    <col min="9199" max="9200" width="7.6640625" style="418" customWidth="1"/>
    <col min="9201" max="9201" width="11.6640625" style="418" customWidth="1"/>
    <col min="9202" max="9202" width="12.6640625" style="418" customWidth="1"/>
    <col min="9203" max="9451" width="8.86328125" style="418"/>
    <col min="9452" max="9452" width="0.86328125" style="418" customWidth="1"/>
    <col min="9453" max="9453" width="7" style="418" customWidth="1"/>
    <col min="9454" max="9454" width="50.6640625" style="418" customWidth="1"/>
    <col min="9455" max="9456" width="7.6640625" style="418" customWidth="1"/>
    <col min="9457" max="9457" width="11.6640625" style="418" customWidth="1"/>
    <col min="9458" max="9458" width="12.6640625" style="418" customWidth="1"/>
    <col min="9459" max="9707" width="8.86328125" style="418"/>
    <col min="9708" max="9708" width="0.86328125" style="418" customWidth="1"/>
    <col min="9709" max="9709" width="7" style="418" customWidth="1"/>
    <col min="9710" max="9710" width="50.6640625" style="418" customWidth="1"/>
    <col min="9711" max="9712" width="7.6640625" style="418" customWidth="1"/>
    <col min="9713" max="9713" width="11.6640625" style="418" customWidth="1"/>
    <col min="9714" max="9714" width="12.6640625" style="418" customWidth="1"/>
    <col min="9715" max="9963" width="8.86328125" style="418"/>
    <col min="9964" max="9964" width="0.86328125" style="418" customWidth="1"/>
    <col min="9965" max="9965" width="7" style="418" customWidth="1"/>
    <col min="9966" max="9966" width="50.6640625" style="418" customWidth="1"/>
    <col min="9967" max="9968" width="7.6640625" style="418" customWidth="1"/>
    <col min="9969" max="9969" width="11.6640625" style="418" customWidth="1"/>
    <col min="9970" max="9970" width="12.6640625" style="418" customWidth="1"/>
    <col min="9971" max="10219" width="8.86328125" style="418"/>
    <col min="10220" max="10220" width="0.86328125" style="418" customWidth="1"/>
    <col min="10221" max="10221" width="7" style="418" customWidth="1"/>
    <col min="10222" max="10222" width="50.6640625" style="418" customWidth="1"/>
    <col min="10223" max="10224" width="7.6640625" style="418" customWidth="1"/>
    <col min="10225" max="10225" width="11.6640625" style="418" customWidth="1"/>
    <col min="10226" max="10226" width="12.6640625" style="418" customWidth="1"/>
    <col min="10227" max="10475" width="8.86328125" style="418"/>
    <col min="10476" max="10476" width="0.86328125" style="418" customWidth="1"/>
    <col min="10477" max="10477" width="7" style="418" customWidth="1"/>
    <col min="10478" max="10478" width="50.6640625" style="418" customWidth="1"/>
    <col min="10479" max="10480" width="7.6640625" style="418" customWidth="1"/>
    <col min="10481" max="10481" width="11.6640625" style="418" customWidth="1"/>
    <col min="10482" max="10482" width="12.6640625" style="418" customWidth="1"/>
    <col min="10483" max="10731" width="8.86328125" style="418"/>
    <col min="10732" max="10732" width="0.86328125" style="418" customWidth="1"/>
    <col min="10733" max="10733" width="7" style="418" customWidth="1"/>
    <col min="10734" max="10734" width="50.6640625" style="418" customWidth="1"/>
    <col min="10735" max="10736" width="7.6640625" style="418" customWidth="1"/>
    <col min="10737" max="10737" width="11.6640625" style="418" customWidth="1"/>
    <col min="10738" max="10738" width="12.6640625" style="418" customWidth="1"/>
    <col min="10739" max="10987" width="8.86328125" style="418"/>
    <col min="10988" max="10988" width="0.86328125" style="418" customWidth="1"/>
    <col min="10989" max="10989" width="7" style="418" customWidth="1"/>
    <col min="10990" max="10990" width="50.6640625" style="418" customWidth="1"/>
    <col min="10991" max="10992" width="7.6640625" style="418" customWidth="1"/>
    <col min="10993" max="10993" width="11.6640625" style="418" customWidth="1"/>
    <col min="10994" max="10994" width="12.6640625" style="418" customWidth="1"/>
    <col min="10995" max="11243" width="8.86328125" style="418"/>
    <col min="11244" max="11244" width="0.86328125" style="418" customWidth="1"/>
    <col min="11245" max="11245" width="7" style="418" customWidth="1"/>
    <col min="11246" max="11246" width="50.6640625" style="418" customWidth="1"/>
    <col min="11247" max="11248" width="7.6640625" style="418" customWidth="1"/>
    <col min="11249" max="11249" width="11.6640625" style="418" customWidth="1"/>
    <col min="11250" max="11250" width="12.6640625" style="418" customWidth="1"/>
    <col min="11251" max="11499" width="8.86328125" style="418"/>
    <col min="11500" max="11500" width="0.86328125" style="418" customWidth="1"/>
    <col min="11501" max="11501" width="7" style="418" customWidth="1"/>
    <col min="11502" max="11502" width="50.6640625" style="418" customWidth="1"/>
    <col min="11503" max="11504" width="7.6640625" style="418" customWidth="1"/>
    <col min="11505" max="11505" width="11.6640625" style="418" customWidth="1"/>
    <col min="11506" max="11506" width="12.6640625" style="418" customWidth="1"/>
    <col min="11507" max="11755" width="8.86328125" style="418"/>
    <col min="11756" max="11756" width="0.86328125" style="418" customWidth="1"/>
    <col min="11757" max="11757" width="7" style="418" customWidth="1"/>
    <col min="11758" max="11758" width="50.6640625" style="418" customWidth="1"/>
    <col min="11759" max="11760" width="7.6640625" style="418" customWidth="1"/>
    <col min="11761" max="11761" width="11.6640625" style="418" customWidth="1"/>
    <col min="11762" max="11762" width="12.6640625" style="418" customWidth="1"/>
    <col min="11763" max="12011" width="8.86328125" style="418"/>
    <col min="12012" max="12012" width="0.86328125" style="418" customWidth="1"/>
    <col min="12013" max="12013" width="7" style="418" customWidth="1"/>
    <col min="12014" max="12014" width="50.6640625" style="418" customWidth="1"/>
    <col min="12015" max="12016" width="7.6640625" style="418" customWidth="1"/>
    <col min="12017" max="12017" width="11.6640625" style="418" customWidth="1"/>
    <col min="12018" max="12018" width="12.6640625" style="418" customWidth="1"/>
    <col min="12019" max="12267" width="8.86328125" style="418"/>
    <col min="12268" max="12268" width="0.86328125" style="418" customWidth="1"/>
    <col min="12269" max="12269" width="7" style="418" customWidth="1"/>
    <col min="12270" max="12270" width="50.6640625" style="418" customWidth="1"/>
    <col min="12271" max="12272" width="7.6640625" style="418" customWidth="1"/>
    <col min="12273" max="12273" width="11.6640625" style="418" customWidth="1"/>
    <col min="12274" max="12274" width="12.6640625" style="418" customWidth="1"/>
    <col min="12275" max="12523" width="8.86328125" style="418"/>
    <col min="12524" max="12524" width="0.86328125" style="418" customWidth="1"/>
    <col min="12525" max="12525" width="7" style="418" customWidth="1"/>
    <col min="12526" max="12526" width="50.6640625" style="418" customWidth="1"/>
    <col min="12527" max="12528" width="7.6640625" style="418" customWidth="1"/>
    <col min="12529" max="12529" width="11.6640625" style="418" customWidth="1"/>
    <col min="12530" max="12530" width="12.6640625" style="418" customWidth="1"/>
    <col min="12531" max="12779" width="8.86328125" style="418"/>
    <col min="12780" max="12780" width="0.86328125" style="418" customWidth="1"/>
    <col min="12781" max="12781" width="7" style="418" customWidth="1"/>
    <col min="12782" max="12782" width="50.6640625" style="418" customWidth="1"/>
    <col min="12783" max="12784" width="7.6640625" style="418" customWidth="1"/>
    <col min="12785" max="12785" width="11.6640625" style="418" customWidth="1"/>
    <col min="12786" max="12786" width="12.6640625" style="418" customWidth="1"/>
    <col min="12787" max="13035" width="8.86328125" style="418"/>
    <col min="13036" max="13036" width="0.86328125" style="418" customWidth="1"/>
    <col min="13037" max="13037" width="7" style="418" customWidth="1"/>
    <col min="13038" max="13038" width="50.6640625" style="418" customWidth="1"/>
    <col min="13039" max="13040" width="7.6640625" style="418" customWidth="1"/>
    <col min="13041" max="13041" width="11.6640625" style="418" customWidth="1"/>
    <col min="13042" max="13042" width="12.6640625" style="418" customWidth="1"/>
    <col min="13043" max="13291" width="8.86328125" style="418"/>
    <col min="13292" max="13292" width="0.86328125" style="418" customWidth="1"/>
    <col min="13293" max="13293" width="7" style="418" customWidth="1"/>
    <col min="13294" max="13294" width="50.6640625" style="418" customWidth="1"/>
    <col min="13295" max="13296" width="7.6640625" style="418" customWidth="1"/>
    <col min="13297" max="13297" width="11.6640625" style="418" customWidth="1"/>
    <col min="13298" max="13298" width="12.6640625" style="418" customWidth="1"/>
    <col min="13299" max="13547" width="8.86328125" style="418"/>
    <col min="13548" max="13548" width="0.86328125" style="418" customWidth="1"/>
    <col min="13549" max="13549" width="7" style="418" customWidth="1"/>
    <col min="13550" max="13550" width="50.6640625" style="418" customWidth="1"/>
    <col min="13551" max="13552" width="7.6640625" style="418" customWidth="1"/>
    <col min="13553" max="13553" width="11.6640625" style="418" customWidth="1"/>
    <col min="13554" max="13554" width="12.6640625" style="418" customWidth="1"/>
    <col min="13555" max="13803" width="8.86328125" style="418"/>
    <col min="13804" max="13804" width="0.86328125" style="418" customWidth="1"/>
    <col min="13805" max="13805" width="7" style="418" customWidth="1"/>
    <col min="13806" max="13806" width="50.6640625" style="418" customWidth="1"/>
    <col min="13807" max="13808" width="7.6640625" style="418" customWidth="1"/>
    <col min="13809" max="13809" width="11.6640625" style="418" customWidth="1"/>
    <col min="13810" max="13810" width="12.6640625" style="418" customWidth="1"/>
    <col min="13811" max="14059" width="8.86328125" style="418"/>
    <col min="14060" max="14060" width="0.86328125" style="418" customWidth="1"/>
    <col min="14061" max="14061" width="7" style="418" customWidth="1"/>
    <col min="14062" max="14062" width="50.6640625" style="418" customWidth="1"/>
    <col min="14063" max="14064" width="7.6640625" style="418" customWidth="1"/>
    <col min="14065" max="14065" width="11.6640625" style="418" customWidth="1"/>
    <col min="14066" max="14066" width="12.6640625" style="418" customWidth="1"/>
    <col min="14067" max="14315" width="8.86328125" style="418"/>
    <col min="14316" max="14316" width="0.86328125" style="418" customWidth="1"/>
    <col min="14317" max="14317" width="7" style="418" customWidth="1"/>
    <col min="14318" max="14318" width="50.6640625" style="418" customWidth="1"/>
    <col min="14319" max="14320" width="7.6640625" style="418" customWidth="1"/>
    <col min="14321" max="14321" width="11.6640625" style="418" customWidth="1"/>
    <col min="14322" max="14322" width="12.6640625" style="418" customWidth="1"/>
    <col min="14323" max="14571" width="8.86328125" style="418"/>
    <col min="14572" max="14572" width="0.86328125" style="418" customWidth="1"/>
    <col min="14573" max="14573" width="7" style="418" customWidth="1"/>
    <col min="14574" max="14574" width="50.6640625" style="418" customWidth="1"/>
    <col min="14575" max="14576" width="7.6640625" style="418" customWidth="1"/>
    <col min="14577" max="14577" width="11.6640625" style="418" customWidth="1"/>
    <col min="14578" max="14578" width="12.6640625" style="418" customWidth="1"/>
    <col min="14579" max="14827" width="8.86328125" style="418"/>
    <col min="14828" max="14828" width="0.86328125" style="418" customWidth="1"/>
    <col min="14829" max="14829" width="7" style="418" customWidth="1"/>
    <col min="14830" max="14830" width="50.6640625" style="418" customWidth="1"/>
    <col min="14831" max="14832" width="7.6640625" style="418" customWidth="1"/>
    <col min="14833" max="14833" width="11.6640625" style="418" customWidth="1"/>
    <col min="14834" max="14834" width="12.6640625" style="418" customWidth="1"/>
    <col min="14835" max="15083" width="8.86328125" style="418"/>
    <col min="15084" max="15084" width="0.86328125" style="418" customWidth="1"/>
    <col min="15085" max="15085" width="7" style="418" customWidth="1"/>
    <col min="15086" max="15086" width="50.6640625" style="418" customWidth="1"/>
    <col min="15087" max="15088" width="7.6640625" style="418" customWidth="1"/>
    <col min="15089" max="15089" width="11.6640625" style="418" customWidth="1"/>
    <col min="15090" max="15090" width="12.6640625" style="418" customWidth="1"/>
    <col min="15091" max="15339" width="8.86328125" style="418"/>
    <col min="15340" max="15340" width="0.86328125" style="418" customWidth="1"/>
    <col min="15341" max="15341" width="7" style="418" customWidth="1"/>
    <col min="15342" max="15342" width="50.6640625" style="418" customWidth="1"/>
    <col min="15343" max="15344" width="7.6640625" style="418" customWidth="1"/>
    <col min="15345" max="15345" width="11.6640625" style="418" customWidth="1"/>
    <col min="15346" max="15346" width="12.6640625" style="418" customWidth="1"/>
    <col min="15347" max="15595" width="8.86328125" style="418"/>
    <col min="15596" max="15596" width="0.86328125" style="418" customWidth="1"/>
    <col min="15597" max="15597" width="7" style="418" customWidth="1"/>
    <col min="15598" max="15598" width="50.6640625" style="418" customWidth="1"/>
    <col min="15599" max="15600" width="7.6640625" style="418" customWidth="1"/>
    <col min="15601" max="15601" width="11.6640625" style="418" customWidth="1"/>
    <col min="15602" max="15602" width="12.6640625" style="418" customWidth="1"/>
    <col min="15603" max="15851" width="8.86328125" style="418"/>
    <col min="15852" max="15852" width="0.86328125" style="418" customWidth="1"/>
    <col min="15853" max="15853" width="7" style="418" customWidth="1"/>
    <col min="15854" max="15854" width="50.6640625" style="418" customWidth="1"/>
    <col min="15855" max="15856" width="7.6640625" style="418" customWidth="1"/>
    <col min="15857" max="15857" width="11.6640625" style="418" customWidth="1"/>
    <col min="15858" max="15858" width="12.6640625" style="418" customWidth="1"/>
    <col min="15859" max="16107" width="8.86328125" style="418"/>
    <col min="16108" max="16108" width="0.86328125" style="418" customWidth="1"/>
    <col min="16109" max="16109" width="7" style="418" customWidth="1"/>
    <col min="16110" max="16110" width="50.6640625" style="418" customWidth="1"/>
    <col min="16111" max="16112" width="7.6640625" style="418" customWidth="1"/>
    <col min="16113" max="16113" width="11.6640625" style="418" customWidth="1"/>
    <col min="16114" max="16114" width="12.6640625" style="418" customWidth="1"/>
    <col min="16115" max="16384" width="8.86328125" style="418"/>
  </cols>
  <sheetData>
    <row r="1" spans="1:11" ht="3.75" customHeight="1" x14ac:dyDescent="0.35"/>
    <row r="2" spans="1:11" s="430" customFormat="1" ht="25.5" x14ac:dyDescent="0.35">
      <c r="A2" s="423"/>
      <c r="B2" s="424" t="s">
        <v>37</v>
      </c>
      <c r="C2" s="425" t="s">
        <v>38</v>
      </c>
      <c r="D2" s="465" t="s">
        <v>73</v>
      </c>
      <c r="E2" s="425" t="s">
        <v>54</v>
      </c>
      <c r="F2" s="428" t="s">
        <v>533</v>
      </c>
      <c r="G2" s="429" t="s">
        <v>534</v>
      </c>
    </row>
    <row r="3" spans="1:11" ht="16.899999999999999" customHeight="1" x14ac:dyDescent="0.35">
      <c r="B3" s="431"/>
      <c r="C3" s="432" t="s">
        <v>523</v>
      </c>
      <c r="D3" s="433"/>
      <c r="E3" s="434"/>
      <c r="F3" s="466"/>
      <c r="G3" s="436"/>
    </row>
    <row r="4" spans="1:11" ht="16.899999999999999" customHeight="1" x14ac:dyDescent="0.35">
      <c r="B4" s="431"/>
      <c r="C4" s="432" t="s">
        <v>524</v>
      </c>
      <c r="D4" s="433"/>
      <c r="E4" s="434"/>
      <c r="F4" s="466"/>
      <c r="G4" s="436"/>
    </row>
    <row r="5" spans="1:11" ht="16.899999999999999" customHeight="1" x14ac:dyDescent="0.35">
      <c r="B5" s="431"/>
      <c r="C5" s="432" t="s">
        <v>51</v>
      </c>
      <c r="D5" s="433"/>
      <c r="E5" s="434"/>
      <c r="F5" s="466"/>
      <c r="G5" s="436"/>
    </row>
    <row r="6" spans="1:11" ht="16.899999999999999" customHeight="1" x14ac:dyDescent="0.35">
      <c r="B6" s="431"/>
      <c r="C6" s="432" t="s">
        <v>1081</v>
      </c>
      <c r="D6" s="433"/>
      <c r="E6" s="434"/>
      <c r="F6" s="466"/>
      <c r="G6" s="436"/>
    </row>
    <row r="7" spans="1:11" ht="29.25" customHeight="1" x14ac:dyDescent="0.35">
      <c r="B7" s="431"/>
      <c r="C7" s="437" t="s">
        <v>543</v>
      </c>
      <c r="D7" s="433"/>
      <c r="E7" s="434"/>
      <c r="F7" s="466"/>
      <c r="G7" s="436"/>
    </row>
    <row r="8" spans="1:11" ht="51" x14ac:dyDescent="0.35">
      <c r="B8" s="431"/>
      <c r="C8" s="437" t="s">
        <v>544</v>
      </c>
      <c r="D8" s="433"/>
      <c r="E8" s="434"/>
      <c r="F8" s="466"/>
      <c r="G8" s="436"/>
    </row>
    <row r="9" spans="1:11" ht="14.25" customHeight="1" x14ac:dyDescent="0.35">
      <c r="B9" s="431"/>
      <c r="C9" s="437" t="s">
        <v>632</v>
      </c>
      <c r="D9" s="433"/>
      <c r="E9" s="434"/>
      <c r="F9" s="435"/>
      <c r="G9" s="450"/>
      <c r="J9" s="451"/>
      <c r="K9" s="452"/>
    </row>
    <row r="10" spans="1:11" ht="43.15" customHeight="1" x14ac:dyDescent="0.35">
      <c r="B10" s="431" t="s">
        <v>31</v>
      </c>
      <c r="C10" s="467" t="s">
        <v>633</v>
      </c>
      <c r="D10" s="433">
        <v>10</v>
      </c>
      <c r="E10" s="434" t="s">
        <v>113</v>
      </c>
      <c r="F10" s="435">
        <v>678700</v>
      </c>
      <c r="G10" s="468">
        <f>F10*D10</f>
        <v>6787000</v>
      </c>
    </row>
    <row r="11" spans="1:11" ht="39.75" customHeight="1" x14ac:dyDescent="0.35">
      <c r="B11" s="431" t="s">
        <v>32</v>
      </c>
      <c r="C11" s="467" t="s">
        <v>634</v>
      </c>
      <c r="D11" s="433">
        <v>10</v>
      </c>
      <c r="E11" s="434" t="s">
        <v>113</v>
      </c>
      <c r="F11" s="435">
        <v>595900</v>
      </c>
      <c r="G11" s="468">
        <f t="shared" ref="G11:G49" si="0">F11*D11</f>
        <v>5959000</v>
      </c>
    </row>
    <row r="12" spans="1:11" ht="38.25" x14ac:dyDescent="0.35">
      <c r="B12" s="431" t="s">
        <v>33</v>
      </c>
      <c r="C12" s="467" t="s">
        <v>635</v>
      </c>
      <c r="D12" s="433">
        <v>8</v>
      </c>
      <c r="E12" s="434" t="s">
        <v>113</v>
      </c>
      <c r="F12" s="435">
        <v>678700</v>
      </c>
      <c r="G12" s="468">
        <f t="shared" si="0"/>
        <v>5429600</v>
      </c>
    </row>
    <row r="13" spans="1:11" ht="28.5" customHeight="1" x14ac:dyDescent="0.35">
      <c r="B13" s="431" t="s">
        <v>34</v>
      </c>
      <c r="C13" s="467" t="s">
        <v>636</v>
      </c>
      <c r="D13" s="433">
        <v>8</v>
      </c>
      <c r="E13" s="434" t="s">
        <v>113</v>
      </c>
      <c r="F13" s="435">
        <v>347600</v>
      </c>
      <c r="G13" s="468">
        <f t="shared" si="0"/>
        <v>2780800</v>
      </c>
    </row>
    <row r="14" spans="1:11" ht="29.75" customHeight="1" x14ac:dyDescent="0.35">
      <c r="B14" s="431" t="s">
        <v>35</v>
      </c>
      <c r="C14" s="467" t="s">
        <v>637</v>
      </c>
      <c r="D14" s="433">
        <v>8</v>
      </c>
      <c r="E14" s="434" t="s">
        <v>113</v>
      </c>
      <c r="F14" s="435">
        <v>264800</v>
      </c>
      <c r="G14" s="468">
        <f t="shared" si="0"/>
        <v>2118400</v>
      </c>
    </row>
    <row r="15" spans="1:11" ht="29.75" customHeight="1" x14ac:dyDescent="0.35">
      <c r="B15" s="431" t="s">
        <v>36</v>
      </c>
      <c r="C15" s="467" t="s">
        <v>638</v>
      </c>
      <c r="D15" s="433">
        <v>12</v>
      </c>
      <c r="E15" s="434" t="s">
        <v>113</v>
      </c>
      <c r="F15" s="435">
        <v>82700</v>
      </c>
      <c r="G15" s="468">
        <f t="shared" si="0"/>
        <v>992400</v>
      </c>
    </row>
    <row r="16" spans="1:11" ht="29.75" customHeight="1" x14ac:dyDescent="0.35">
      <c r="B16" s="431" t="s">
        <v>114</v>
      </c>
      <c r="C16" s="467" t="s">
        <v>639</v>
      </c>
      <c r="D16" s="433">
        <v>4</v>
      </c>
      <c r="E16" s="434" t="s">
        <v>113</v>
      </c>
      <c r="F16" s="435">
        <v>314500</v>
      </c>
      <c r="G16" s="468">
        <f t="shared" si="0"/>
        <v>1258000</v>
      </c>
    </row>
    <row r="17" spans="2:11" ht="51" x14ac:dyDescent="0.35">
      <c r="B17" s="431" t="s">
        <v>39</v>
      </c>
      <c r="C17" s="467" t="s">
        <v>640</v>
      </c>
      <c r="D17" s="433">
        <v>4</v>
      </c>
      <c r="E17" s="434" t="s">
        <v>113</v>
      </c>
      <c r="F17" s="435">
        <v>331000</v>
      </c>
      <c r="G17" s="468">
        <f t="shared" si="0"/>
        <v>1324000</v>
      </c>
    </row>
    <row r="18" spans="2:11" ht="28.5" customHeight="1" x14ac:dyDescent="0.35">
      <c r="B18" s="431" t="s">
        <v>31</v>
      </c>
      <c r="C18" s="467" t="s">
        <v>641</v>
      </c>
      <c r="D18" s="433">
        <v>2</v>
      </c>
      <c r="E18" s="434" t="s">
        <v>113</v>
      </c>
      <c r="F18" s="435">
        <v>198600</v>
      </c>
      <c r="G18" s="468">
        <f t="shared" si="0"/>
        <v>397200</v>
      </c>
    </row>
    <row r="19" spans="2:11" ht="17.649999999999999" customHeight="1" x14ac:dyDescent="0.35">
      <c r="B19" s="431" t="s">
        <v>32</v>
      </c>
      <c r="C19" s="467" t="s">
        <v>642</v>
      </c>
      <c r="D19" s="433">
        <v>8</v>
      </c>
      <c r="E19" s="434" t="s">
        <v>113</v>
      </c>
      <c r="F19" s="435">
        <v>82700</v>
      </c>
      <c r="G19" s="468">
        <f t="shared" si="0"/>
        <v>661600</v>
      </c>
    </row>
    <row r="20" spans="2:11" ht="55.15" customHeight="1" x14ac:dyDescent="0.35">
      <c r="B20" s="431" t="s">
        <v>33</v>
      </c>
      <c r="C20" s="467" t="s">
        <v>643</v>
      </c>
      <c r="D20" s="433">
        <v>2</v>
      </c>
      <c r="E20" s="434" t="s">
        <v>113</v>
      </c>
      <c r="F20" s="435">
        <v>5959450</v>
      </c>
      <c r="G20" s="468">
        <f t="shared" si="0"/>
        <v>11918900</v>
      </c>
    </row>
    <row r="21" spans="2:11" ht="40.5" customHeight="1" x14ac:dyDescent="0.35">
      <c r="B21" s="431" t="s">
        <v>34</v>
      </c>
      <c r="C21" s="467" t="s">
        <v>644</v>
      </c>
      <c r="D21" s="433">
        <v>2</v>
      </c>
      <c r="E21" s="434" t="s">
        <v>113</v>
      </c>
      <c r="F21" s="435">
        <v>1059450</v>
      </c>
      <c r="G21" s="468">
        <f t="shared" si="0"/>
        <v>2118900</v>
      </c>
    </row>
    <row r="22" spans="2:11" ht="40.5" customHeight="1" x14ac:dyDescent="0.35">
      <c r="B22" s="431" t="s">
        <v>35</v>
      </c>
      <c r="C22" s="467" t="s">
        <v>1093</v>
      </c>
      <c r="D22" s="433">
        <v>2</v>
      </c>
      <c r="E22" s="434" t="s">
        <v>113</v>
      </c>
      <c r="F22" s="435">
        <v>744900</v>
      </c>
      <c r="G22" s="468">
        <f t="shared" si="0"/>
        <v>1489800</v>
      </c>
    </row>
    <row r="23" spans="2:11" ht="26.65" customHeight="1" x14ac:dyDescent="0.35">
      <c r="B23" s="431" t="s">
        <v>36</v>
      </c>
      <c r="C23" s="467" t="s">
        <v>646</v>
      </c>
      <c r="D23" s="433">
        <v>2</v>
      </c>
      <c r="E23" s="434" t="s">
        <v>113</v>
      </c>
      <c r="F23" s="435">
        <v>645600</v>
      </c>
      <c r="G23" s="468">
        <f t="shared" si="0"/>
        <v>1291200</v>
      </c>
    </row>
    <row r="24" spans="2:11" ht="15.75" customHeight="1" x14ac:dyDescent="0.35">
      <c r="B24" s="431"/>
      <c r="C24" s="437" t="s">
        <v>647</v>
      </c>
      <c r="D24" s="433"/>
      <c r="E24" s="434"/>
      <c r="F24" s="435"/>
      <c r="G24" s="468"/>
      <c r="J24" s="451"/>
      <c r="K24" s="452"/>
    </row>
    <row r="25" spans="2:11" ht="38.25" x14ac:dyDescent="0.35">
      <c r="B25" s="431"/>
      <c r="C25" s="437" t="s">
        <v>648</v>
      </c>
      <c r="D25" s="433"/>
      <c r="E25" s="434"/>
      <c r="F25" s="466"/>
      <c r="G25" s="468"/>
    </row>
    <row r="26" spans="2:11" ht="15.85" customHeight="1" x14ac:dyDescent="0.35">
      <c r="B26" s="431" t="s">
        <v>114</v>
      </c>
      <c r="C26" s="467" t="s">
        <v>649</v>
      </c>
      <c r="D26" s="433">
        <v>8</v>
      </c>
      <c r="E26" s="434" t="s">
        <v>112</v>
      </c>
      <c r="F26" s="435">
        <v>115800</v>
      </c>
      <c r="G26" s="468">
        <f t="shared" si="0"/>
        <v>926400</v>
      </c>
    </row>
    <row r="27" spans="2:11" ht="15.85" customHeight="1" x14ac:dyDescent="0.35">
      <c r="B27" s="431" t="s">
        <v>39</v>
      </c>
      <c r="C27" s="467" t="s">
        <v>650</v>
      </c>
      <c r="D27" s="433">
        <v>2</v>
      </c>
      <c r="E27" s="434" t="s">
        <v>113</v>
      </c>
      <c r="F27" s="435">
        <v>43000</v>
      </c>
      <c r="G27" s="468">
        <f t="shared" si="0"/>
        <v>86000</v>
      </c>
    </row>
    <row r="28" spans="2:11" ht="15.85" customHeight="1" x14ac:dyDescent="0.35">
      <c r="B28" s="431" t="s">
        <v>40</v>
      </c>
      <c r="C28" s="467" t="s">
        <v>651</v>
      </c>
      <c r="D28" s="433">
        <v>12</v>
      </c>
      <c r="E28" s="434" t="s">
        <v>112</v>
      </c>
      <c r="F28" s="435">
        <v>43000</v>
      </c>
      <c r="G28" s="468">
        <f t="shared" si="0"/>
        <v>516000</v>
      </c>
    </row>
    <row r="29" spans="2:11" ht="15.85" customHeight="1" x14ac:dyDescent="0.35">
      <c r="B29" s="431" t="s">
        <v>15</v>
      </c>
      <c r="C29" s="467" t="s">
        <v>652</v>
      </c>
      <c r="D29" s="433">
        <v>12</v>
      </c>
      <c r="E29" s="434" t="s">
        <v>112</v>
      </c>
      <c r="F29" s="435">
        <v>36400</v>
      </c>
      <c r="G29" s="468">
        <f t="shared" si="0"/>
        <v>436800</v>
      </c>
    </row>
    <row r="30" spans="2:11" ht="15.85" customHeight="1" x14ac:dyDescent="0.35">
      <c r="B30" s="431" t="s">
        <v>16</v>
      </c>
      <c r="C30" s="467" t="s">
        <v>653</v>
      </c>
      <c r="D30" s="433">
        <v>48</v>
      </c>
      <c r="E30" s="434" t="s">
        <v>112</v>
      </c>
      <c r="F30" s="435">
        <v>43000</v>
      </c>
      <c r="G30" s="468">
        <f t="shared" si="0"/>
        <v>2064000</v>
      </c>
    </row>
    <row r="31" spans="2:11" ht="15.85" customHeight="1" x14ac:dyDescent="0.35">
      <c r="B31" s="431" t="s">
        <v>89</v>
      </c>
      <c r="C31" s="467" t="s">
        <v>654</v>
      </c>
      <c r="D31" s="433">
        <v>60</v>
      </c>
      <c r="E31" s="434" t="s">
        <v>112</v>
      </c>
      <c r="F31" s="435">
        <v>36400</v>
      </c>
      <c r="G31" s="468">
        <f t="shared" si="0"/>
        <v>2184000</v>
      </c>
    </row>
    <row r="32" spans="2:11" ht="15.85" customHeight="1" x14ac:dyDescent="0.35">
      <c r="B32" s="431" t="s">
        <v>17</v>
      </c>
      <c r="C32" s="467" t="s">
        <v>655</v>
      </c>
      <c r="D32" s="433">
        <v>54</v>
      </c>
      <c r="E32" s="434" t="s">
        <v>112</v>
      </c>
      <c r="F32" s="435">
        <v>29700</v>
      </c>
      <c r="G32" s="468">
        <f t="shared" si="0"/>
        <v>1603800</v>
      </c>
    </row>
    <row r="33" spans="2:11" ht="15.85" customHeight="1" x14ac:dyDescent="0.35">
      <c r="B33" s="431" t="s">
        <v>90</v>
      </c>
      <c r="C33" s="467" t="s">
        <v>656</v>
      </c>
      <c r="D33" s="433">
        <v>48</v>
      </c>
      <c r="E33" s="434" t="s">
        <v>112</v>
      </c>
      <c r="F33" s="435">
        <v>23100</v>
      </c>
      <c r="G33" s="468">
        <f t="shared" si="0"/>
        <v>1108800</v>
      </c>
    </row>
    <row r="34" spans="2:11" ht="15.85" customHeight="1" x14ac:dyDescent="0.35">
      <c r="B34" s="431" t="s">
        <v>88</v>
      </c>
      <c r="C34" s="467" t="s">
        <v>657</v>
      </c>
      <c r="D34" s="433">
        <v>60</v>
      </c>
      <c r="E34" s="434" t="s">
        <v>112</v>
      </c>
      <c r="F34" s="435">
        <v>13200</v>
      </c>
      <c r="G34" s="468">
        <f t="shared" si="0"/>
        <v>792000</v>
      </c>
    </row>
    <row r="35" spans="2:11" ht="15.85" customHeight="1" x14ac:dyDescent="0.35">
      <c r="B35" s="431" t="s">
        <v>251</v>
      </c>
      <c r="C35" s="467" t="s">
        <v>658</v>
      </c>
      <c r="D35" s="433">
        <v>2</v>
      </c>
      <c r="E35" s="434" t="s">
        <v>113</v>
      </c>
      <c r="F35" s="435">
        <v>165500</v>
      </c>
      <c r="G35" s="468">
        <f t="shared" si="0"/>
        <v>331000</v>
      </c>
    </row>
    <row r="36" spans="2:11" ht="15.85" customHeight="1" x14ac:dyDescent="0.35">
      <c r="B36" s="431" t="s">
        <v>255</v>
      </c>
      <c r="C36" s="467" t="s">
        <v>659</v>
      </c>
      <c r="D36" s="433">
        <v>2</v>
      </c>
      <c r="E36" s="434" t="s">
        <v>113</v>
      </c>
      <c r="F36" s="435">
        <v>109250</v>
      </c>
      <c r="G36" s="468">
        <f t="shared" si="0"/>
        <v>218500</v>
      </c>
    </row>
    <row r="37" spans="2:11" ht="15.85" customHeight="1" x14ac:dyDescent="0.35">
      <c r="B37" s="431" t="s">
        <v>510</v>
      </c>
      <c r="C37" s="467" t="s">
        <v>660</v>
      </c>
      <c r="D37" s="433">
        <v>4</v>
      </c>
      <c r="E37" s="434" t="s">
        <v>113</v>
      </c>
      <c r="F37" s="435">
        <v>165500</v>
      </c>
      <c r="G37" s="468">
        <f t="shared" si="0"/>
        <v>662000</v>
      </c>
    </row>
    <row r="38" spans="2:11" ht="15.85" customHeight="1" x14ac:dyDescent="0.35">
      <c r="B38" s="431" t="s">
        <v>511</v>
      </c>
      <c r="C38" s="467" t="s">
        <v>661</v>
      </c>
      <c r="D38" s="433">
        <v>2</v>
      </c>
      <c r="E38" s="434" t="s">
        <v>113</v>
      </c>
      <c r="F38" s="435">
        <v>109250</v>
      </c>
      <c r="G38" s="468">
        <f t="shared" si="0"/>
        <v>218500</v>
      </c>
    </row>
    <row r="39" spans="2:11" ht="15.85" customHeight="1" x14ac:dyDescent="0.35">
      <c r="B39" s="431" t="s">
        <v>512</v>
      </c>
      <c r="C39" s="467" t="s">
        <v>662</v>
      </c>
      <c r="D39" s="433">
        <v>4</v>
      </c>
      <c r="E39" s="434" t="s">
        <v>113</v>
      </c>
      <c r="F39" s="435">
        <v>66200</v>
      </c>
      <c r="G39" s="468">
        <f t="shared" si="0"/>
        <v>264800</v>
      </c>
    </row>
    <row r="40" spans="2:11" ht="15.85" customHeight="1" x14ac:dyDescent="0.35">
      <c r="B40" s="431" t="s">
        <v>513</v>
      </c>
      <c r="C40" s="467" t="s">
        <v>663</v>
      </c>
      <c r="D40" s="433">
        <v>8</v>
      </c>
      <c r="E40" s="434" t="s">
        <v>113</v>
      </c>
      <c r="F40" s="435">
        <v>39700</v>
      </c>
      <c r="G40" s="468">
        <f t="shared" si="0"/>
        <v>317600</v>
      </c>
    </row>
    <row r="41" spans="2:11" ht="15.85" customHeight="1" x14ac:dyDescent="0.35">
      <c r="B41" s="431" t="s">
        <v>514</v>
      </c>
      <c r="C41" s="467" t="s">
        <v>664</v>
      </c>
      <c r="D41" s="433">
        <v>20</v>
      </c>
      <c r="E41" s="434" t="s">
        <v>113</v>
      </c>
      <c r="F41" s="435">
        <v>16550</v>
      </c>
      <c r="G41" s="468">
        <f t="shared" si="0"/>
        <v>331000</v>
      </c>
    </row>
    <row r="42" spans="2:11" ht="37.25" customHeight="1" x14ac:dyDescent="0.35">
      <c r="B42" s="431" t="s">
        <v>31</v>
      </c>
      <c r="C42" s="467" t="s">
        <v>665</v>
      </c>
      <c r="D42" s="433">
        <v>20</v>
      </c>
      <c r="E42" s="434" t="s">
        <v>113</v>
      </c>
      <c r="F42" s="435">
        <v>16550</v>
      </c>
      <c r="G42" s="468">
        <f t="shared" si="0"/>
        <v>331000</v>
      </c>
    </row>
    <row r="43" spans="2:11" ht="21.95" customHeight="1" x14ac:dyDescent="0.35">
      <c r="B43" s="431"/>
      <c r="C43" s="437" t="s">
        <v>666</v>
      </c>
      <c r="D43" s="433"/>
      <c r="E43" s="434"/>
      <c r="F43" s="435"/>
      <c r="G43" s="468"/>
      <c r="J43" s="451"/>
      <c r="K43" s="452"/>
    </row>
    <row r="44" spans="2:11" ht="50.65" customHeight="1" x14ac:dyDescent="0.35">
      <c r="B44" s="431"/>
      <c r="C44" s="437" t="s">
        <v>667</v>
      </c>
      <c r="D44" s="433"/>
      <c r="E44" s="434"/>
      <c r="F44" s="466"/>
      <c r="G44" s="468"/>
    </row>
    <row r="45" spans="2:11" ht="22.05" customHeight="1" x14ac:dyDescent="0.35">
      <c r="B45" s="431" t="s">
        <v>32</v>
      </c>
      <c r="C45" s="467" t="s">
        <v>668</v>
      </c>
      <c r="D45" s="433">
        <v>18</v>
      </c>
      <c r="E45" s="434" t="s">
        <v>112</v>
      </c>
      <c r="F45" s="435">
        <v>82700</v>
      </c>
      <c r="G45" s="468">
        <f t="shared" si="0"/>
        <v>1488600</v>
      </c>
    </row>
    <row r="46" spans="2:11" ht="22.05" customHeight="1" x14ac:dyDescent="0.35">
      <c r="B46" s="431" t="s">
        <v>33</v>
      </c>
      <c r="C46" s="467" t="s">
        <v>669</v>
      </c>
      <c r="D46" s="433">
        <v>28</v>
      </c>
      <c r="E46" s="434" t="s">
        <v>112</v>
      </c>
      <c r="F46" s="435">
        <v>59500</v>
      </c>
      <c r="G46" s="468">
        <f t="shared" si="0"/>
        <v>1666000</v>
      </c>
    </row>
    <row r="47" spans="2:11" x14ac:dyDescent="0.35">
      <c r="B47" s="431" t="s">
        <v>34</v>
      </c>
      <c r="C47" s="467" t="s">
        <v>670</v>
      </c>
      <c r="D47" s="433">
        <v>48</v>
      </c>
      <c r="E47" s="434" t="s">
        <v>112</v>
      </c>
      <c r="F47" s="435">
        <v>26400</v>
      </c>
      <c r="G47" s="468">
        <f t="shared" si="0"/>
        <v>1267200</v>
      </c>
    </row>
    <row r="48" spans="2:11" x14ac:dyDescent="0.35">
      <c r="B48" s="431" t="s">
        <v>35</v>
      </c>
      <c r="C48" s="467" t="s">
        <v>671</v>
      </c>
      <c r="D48" s="433">
        <v>24</v>
      </c>
      <c r="E48" s="434" t="s">
        <v>112</v>
      </c>
      <c r="F48" s="435">
        <v>16550</v>
      </c>
      <c r="G48" s="468">
        <f t="shared" si="0"/>
        <v>397200</v>
      </c>
    </row>
    <row r="49" spans="2:7" ht="22.05" customHeight="1" x14ac:dyDescent="0.35">
      <c r="B49" s="431" t="s">
        <v>36</v>
      </c>
      <c r="C49" s="467" t="s">
        <v>672</v>
      </c>
      <c r="D49" s="433">
        <v>6</v>
      </c>
      <c r="E49" s="434" t="s">
        <v>113</v>
      </c>
      <c r="F49" s="435">
        <v>82700</v>
      </c>
      <c r="G49" s="468">
        <f t="shared" si="0"/>
        <v>496200</v>
      </c>
    </row>
    <row r="50" spans="2:7" ht="25.05" customHeight="1" x14ac:dyDescent="0.35">
      <c r="B50" s="431"/>
      <c r="C50" s="467"/>
      <c r="D50" s="433"/>
      <c r="E50" s="434"/>
      <c r="F50" s="435"/>
      <c r="G50" s="468"/>
    </row>
    <row r="51" spans="2:7" ht="25.05" customHeight="1" x14ac:dyDescent="0.35">
      <c r="B51" s="431"/>
      <c r="C51" s="467"/>
      <c r="D51" s="433"/>
      <c r="E51" s="434"/>
      <c r="F51" s="435"/>
      <c r="G51" s="468"/>
    </row>
    <row r="52" spans="2:7" ht="25.05" customHeight="1" x14ac:dyDescent="0.35">
      <c r="B52" s="431"/>
      <c r="C52" s="467"/>
      <c r="D52" s="433"/>
      <c r="E52" s="434"/>
      <c r="F52" s="435"/>
      <c r="G52" s="468"/>
    </row>
    <row r="53" spans="2:7" ht="25.05" customHeight="1" x14ac:dyDescent="0.35">
      <c r="B53" s="431"/>
      <c r="C53" s="467"/>
      <c r="D53" s="433"/>
      <c r="E53" s="434"/>
      <c r="F53" s="435"/>
      <c r="G53" s="468"/>
    </row>
    <row r="54" spans="2:7" ht="25.05" customHeight="1" x14ac:dyDescent="0.35">
      <c r="B54" s="431"/>
      <c r="C54" s="467"/>
      <c r="D54" s="433"/>
      <c r="E54" s="434"/>
      <c r="F54" s="435"/>
      <c r="G54" s="468"/>
    </row>
    <row r="55" spans="2:7" ht="25.05" customHeight="1" x14ac:dyDescent="0.35">
      <c r="B55" s="431"/>
      <c r="C55" s="467"/>
      <c r="D55" s="433"/>
      <c r="E55" s="434"/>
      <c r="F55" s="435"/>
      <c r="G55" s="468"/>
    </row>
    <row r="56" spans="2:7" ht="25.05" customHeight="1" x14ac:dyDescent="0.35">
      <c r="B56" s="431"/>
      <c r="C56" s="467"/>
      <c r="D56" s="433"/>
      <c r="E56" s="434"/>
      <c r="F56" s="435"/>
      <c r="G56" s="468"/>
    </row>
    <row r="57" spans="2:7" ht="25.05" customHeight="1" x14ac:dyDescent="0.35">
      <c r="B57" s="431"/>
      <c r="C57" s="467"/>
      <c r="D57" s="433"/>
      <c r="E57" s="434"/>
      <c r="F57" s="435"/>
      <c r="G57" s="468"/>
    </row>
    <row r="58" spans="2:7" ht="25.05" customHeight="1" x14ac:dyDescent="0.35">
      <c r="B58" s="431"/>
      <c r="C58" s="467"/>
      <c r="D58" s="433"/>
      <c r="E58" s="434"/>
      <c r="F58" s="435"/>
      <c r="G58" s="468"/>
    </row>
    <row r="59" spans="2:7" ht="25.05" customHeight="1" x14ac:dyDescent="0.35">
      <c r="B59" s="431"/>
      <c r="C59" s="467"/>
      <c r="D59" s="433"/>
      <c r="E59" s="434"/>
      <c r="F59" s="435"/>
      <c r="G59" s="468"/>
    </row>
    <row r="60" spans="2:7" ht="25.05" customHeight="1" x14ac:dyDescent="0.35">
      <c r="B60" s="431"/>
      <c r="C60" s="467"/>
      <c r="D60" s="433"/>
      <c r="E60" s="434"/>
      <c r="F60" s="435"/>
      <c r="G60" s="468"/>
    </row>
    <row r="61" spans="2:7" ht="25.05" customHeight="1" x14ac:dyDescent="0.35">
      <c r="B61" s="431"/>
      <c r="C61" s="467"/>
      <c r="D61" s="433"/>
      <c r="E61" s="434"/>
      <c r="F61" s="435"/>
      <c r="G61" s="468"/>
    </row>
    <row r="62" spans="2:7" ht="25.05" customHeight="1" x14ac:dyDescent="0.35">
      <c r="B62" s="431"/>
      <c r="C62" s="467"/>
      <c r="D62" s="433"/>
      <c r="E62" s="434"/>
      <c r="F62" s="435"/>
      <c r="G62" s="468"/>
    </row>
    <row r="63" spans="2:7" ht="25.05" customHeight="1" x14ac:dyDescent="0.35">
      <c r="B63" s="431"/>
      <c r="C63" s="467"/>
      <c r="D63" s="433"/>
      <c r="E63" s="434"/>
      <c r="F63" s="435"/>
      <c r="G63" s="468"/>
    </row>
    <row r="64" spans="2:7" ht="25.05" customHeight="1" x14ac:dyDescent="0.35">
      <c r="B64" s="431"/>
      <c r="C64" s="467"/>
      <c r="D64" s="433"/>
      <c r="E64" s="434"/>
      <c r="F64" s="435"/>
      <c r="G64" s="468"/>
    </row>
    <row r="65" spans="2:11" ht="25.05" customHeight="1" x14ac:dyDescent="0.35">
      <c r="B65" s="431"/>
      <c r="C65" s="467"/>
      <c r="D65" s="433"/>
      <c r="E65" s="434"/>
      <c r="F65" s="435"/>
      <c r="G65" s="468"/>
    </row>
    <row r="66" spans="2:11" ht="25.05" customHeight="1" x14ac:dyDescent="0.35">
      <c r="B66" s="431"/>
      <c r="C66" s="467"/>
      <c r="D66" s="433"/>
      <c r="E66" s="434"/>
      <c r="F66" s="435"/>
      <c r="G66" s="468"/>
    </row>
    <row r="67" spans="2:11" ht="25.05" customHeight="1" x14ac:dyDescent="0.35">
      <c r="B67" s="431"/>
      <c r="C67" s="467"/>
      <c r="D67" s="433"/>
      <c r="E67" s="434"/>
      <c r="F67" s="435"/>
      <c r="G67" s="468"/>
    </row>
    <row r="68" spans="2:11" ht="28.25" customHeight="1" x14ac:dyDescent="0.35">
      <c r="B68" s="431"/>
      <c r="C68" s="467"/>
      <c r="D68" s="433"/>
      <c r="E68" s="434"/>
      <c r="F68" s="435"/>
      <c r="G68" s="468"/>
    </row>
    <row r="69" spans="2:11" ht="25.05" customHeight="1" x14ac:dyDescent="0.35">
      <c r="B69" s="431"/>
      <c r="C69" s="467"/>
      <c r="D69" s="433"/>
      <c r="E69" s="434"/>
      <c r="F69" s="435"/>
      <c r="G69" s="468"/>
    </row>
    <row r="70" spans="2:11" ht="25.05" customHeight="1" x14ac:dyDescent="0.35">
      <c r="B70" s="431"/>
      <c r="C70" s="467"/>
      <c r="D70" s="433"/>
      <c r="E70" s="434"/>
      <c r="F70" s="435"/>
      <c r="G70" s="468"/>
    </row>
    <row r="71" spans="2:11" s="444" customFormat="1" ht="30" customHeight="1" thickBot="1" x14ac:dyDescent="0.4">
      <c r="B71" s="445"/>
      <c r="C71" s="453" t="s">
        <v>55</v>
      </c>
      <c r="D71" s="447"/>
      <c r="E71" s="448"/>
      <c r="F71" s="454"/>
      <c r="G71" s="455">
        <f>SUM(G10:G51)</f>
        <v>62234200</v>
      </c>
      <c r="H71" s="418"/>
      <c r="J71" s="451"/>
      <c r="K71" s="452"/>
    </row>
    <row r="72" spans="2:11" s="456" customFormat="1" ht="30" customHeight="1" thickTop="1" x14ac:dyDescent="0.35">
      <c r="B72" s="457"/>
      <c r="C72" s="458" t="s">
        <v>959</v>
      </c>
      <c r="D72" s="459"/>
      <c r="E72" s="459"/>
      <c r="F72" s="460"/>
      <c r="G72" s="461"/>
      <c r="H72" s="418"/>
      <c r="J72" s="451"/>
      <c r="K72" s="452"/>
    </row>
    <row r="73" spans="2:11" ht="22.05" customHeight="1" x14ac:dyDescent="0.35">
      <c r="B73" s="431"/>
      <c r="C73" s="432" t="s">
        <v>523</v>
      </c>
      <c r="D73" s="433"/>
      <c r="E73" s="434"/>
      <c r="F73" s="466"/>
      <c r="G73" s="436"/>
    </row>
    <row r="74" spans="2:11" ht="22.05" customHeight="1" x14ac:dyDescent="0.35">
      <c r="B74" s="431"/>
      <c r="C74" s="432" t="s">
        <v>524</v>
      </c>
      <c r="D74" s="433"/>
      <c r="E74" s="434"/>
      <c r="F74" s="466"/>
      <c r="G74" s="436"/>
    </row>
    <row r="75" spans="2:11" ht="22.05" customHeight="1" x14ac:dyDescent="0.35">
      <c r="B75" s="431"/>
      <c r="C75" s="432" t="s">
        <v>71</v>
      </c>
      <c r="D75" s="433"/>
      <c r="E75" s="434"/>
      <c r="F75" s="466"/>
      <c r="G75" s="436"/>
    </row>
    <row r="76" spans="2:11" ht="22.05" customHeight="1" x14ac:dyDescent="0.35">
      <c r="B76" s="431"/>
      <c r="C76" s="432" t="s">
        <v>538</v>
      </c>
      <c r="D76" s="433"/>
      <c r="E76" s="434"/>
      <c r="F76" s="466"/>
      <c r="G76" s="436"/>
    </row>
    <row r="77" spans="2:11" ht="21.95" customHeight="1" x14ac:dyDescent="0.35">
      <c r="B77" s="431"/>
      <c r="C77" s="437" t="s">
        <v>632</v>
      </c>
      <c r="D77" s="433"/>
      <c r="E77" s="434"/>
      <c r="F77" s="435"/>
      <c r="G77" s="450"/>
      <c r="J77" s="451"/>
      <c r="K77" s="452"/>
    </row>
    <row r="78" spans="2:11" ht="42.4" customHeight="1" x14ac:dyDescent="0.35">
      <c r="B78" s="431" t="s">
        <v>31</v>
      </c>
      <c r="C78" s="467" t="s">
        <v>633</v>
      </c>
      <c r="D78" s="433">
        <v>10</v>
      </c>
      <c r="E78" s="434" t="s">
        <v>113</v>
      </c>
      <c r="F78" s="435">
        <v>678700</v>
      </c>
      <c r="G78" s="468">
        <f>F78*D78</f>
        <v>6787000</v>
      </c>
    </row>
    <row r="79" spans="2:11" ht="43.15" customHeight="1" x14ac:dyDescent="0.35">
      <c r="B79" s="431" t="s">
        <v>32</v>
      </c>
      <c r="C79" s="467" t="s">
        <v>634</v>
      </c>
      <c r="D79" s="433">
        <v>10</v>
      </c>
      <c r="E79" s="434" t="s">
        <v>113</v>
      </c>
      <c r="F79" s="435">
        <v>595900</v>
      </c>
      <c r="G79" s="468">
        <f t="shared" ref="G79:G124" si="1">F79*D79</f>
        <v>5959000</v>
      </c>
    </row>
    <row r="80" spans="2:11" ht="38.25" x14ac:dyDescent="0.35">
      <c r="B80" s="431" t="s">
        <v>33</v>
      </c>
      <c r="C80" s="467" t="s">
        <v>635</v>
      </c>
      <c r="D80" s="433">
        <v>8</v>
      </c>
      <c r="E80" s="434" t="s">
        <v>113</v>
      </c>
      <c r="F80" s="435">
        <v>678700</v>
      </c>
      <c r="G80" s="468">
        <f t="shared" si="1"/>
        <v>5429600</v>
      </c>
    </row>
    <row r="81" spans="2:11" ht="28.5" customHeight="1" x14ac:dyDescent="0.35">
      <c r="B81" s="431" t="s">
        <v>34</v>
      </c>
      <c r="C81" s="467" t="s">
        <v>636</v>
      </c>
      <c r="D81" s="433">
        <v>8</v>
      </c>
      <c r="E81" s="434" t="s">
        <v>113</v>
      </c>
      <c r="F81" s="435">
        <v>347600</v>
      </c>
      <c r="G81" s="468">
        <f t="shared" si="1"/>
        <v>2780800</v>
      </c>
    </row>
    <row r="82" spans="2:11" ht="28.9" customHeight="1" x14ac:dyDescent="0.35">
      <c r="B82" s="431" t="s">
        <v>35</v>
      </c>
      <c r="C82" s="467" t="s">
        <v>637</v>
      </c>
      <c r="D82" s="433">
        <v>8</v>
      </c>
      <c r="E82" s="434" t="s">
        <v>113</v>
      </c>
      <c r="F82" s="435">
        <v>264800</v>
      </c>
      <c r="G82" s="468">
        <f t="shared" si="1"/>
        <v>2118400</v>
      </c>
    </row>
    <row r="83" spans="2:11" ht="27" customHeight="1" x14ac:dyDescent="0.35">
      <c r="B83" s="431" t="s">
        <v>36</v>
      </c>
      <c r="C83" s="467" t="s">
        <v>638</v>
      </c>
      <c r="D83" s="433">
        <v>10</v>
      </c>
      <c r="E83" s="434" t="s">
        <v>113</v>
      </c>
      <c r="F83" s="435">
        <v>82700</v>
      </c>
      <c r="G83" s="468">
        <f t="shared" si="1"/>
        <v>827000</v>
      </c>
    </row>
    <row r="84" spans="2:11" ht="42" customHeight="1" x14ac:dyDescent="0.35">
      <c r="B84" s="431" t="s">
        <v>114</v>
      </c>
      <c r="C84" s="467" t="s">
        <v>639</v>
      </c>
      <c r="D84" s="433">
        <v>4</v>
      </c>
      <c r="E84" s="434" t="s">
        <v>113</v>
      </c>
      <c r="F84" s="435">
        <v>314500</v>
      </c>
      <c r="G84" s="468">
        <f t="shared" si="1"/>
        <v>1258000</v>
      </c>
    </row>
    <row r="85" spans="2:11" ht="42" customHeight="1" x14ac:dyDescent="0.35">
      <c r="B85" s="431" t="s">
        <v>39</v>
      </c>
      <c r="C85" s="467" t="s">
        <v>640</v>
      </c>
      <c r="D85" s="433">
        <v>4</v>
      </c>
      <c r="E85" s="434" t="s">
        <v>113</v>
      </c>
      <c r="F85" s="435">
        <v>331000</v>
      </c>
      <c r="G85" s="468">
        <f t="shared" si="1"/>
        <v>1324000</v>
      </c>
    </row>
    <row r="86" spans="2:11" ht="29.25" customHeight="1" x14ac:dyDescent="0.35">
      <c r="B86" s="431" t="s">
        <v>40</v>
      </c>
      <c r="C86" s="467" t="s">
        <v>641</v>
      </c>
      <c r="D86" s="433">
        <v>2</v>
      </c>
      <c r="E86" s="434" t="s">
        <v>113</v>
      </c>
      <c r="F86" s="435">
        <v>198600</v>
      </c>
      <c r="G86" s="468">
        <f t="shared" si="1"/>
        <v>397200</v>
      </c>
    </row>
    <row r="87" spans="2:11" ht="19.149999999999999" customHeight="1" x14ac:dyDescent="0.35">
      <c r="B87" s="431" t="s">
        <v>15</v>
      </c>
      <c r="C87" s="467" t="s">
        <v>642</v>
      </c>
      <c r="D87" s="433">
        <v>8</v>
      </c>
      <c r="E87" s="434" t="s">
        <v>113</v>
      </c>
      <c r="F87" s="435">
        <v>82700</v>
      </c>
      <c r="G87" s="468">
        <f t="shared" si="1"/>
        <v>661600</v>
      </c>
    </row>
    <row r="88" spans="2:11" ht="19.5" customHeight="1" x14ac:dyDescent="0.35">
      <c r="B88" s="431"/>
      <c r="C88" s="467"/>
      <c r="D88" s="433"/>
      <c r="E88" s="434"/>
      <c r="F88" s="435"/>
      <c r="G88" s="468"/>
    </row>
    <row r="89" spans="2:11" ht="19.5" customHeight="1" x14ac:dyDescent="0.35">
      <c r="B89" s="431"/>
      <c r="C89" s="467"/>
      <c r="D89" s="433"/>
      <c r="E89" s="434"/>
      <c r="F89" s="435"/>
      <c r="G89" s="468"/>
    </row>
    <row r="90" spans="2:11" ht="51" x14ac:dyDescent="0.35">
      <c r="B90" s="431" t="s">
        <v>31</v>
      </c>
      <c r="C90" s="467" t="s">
        <v>643</v>
      </c>
      <c r="D90" s="433">
        <v>2</v>
      </c>
      <c r="E90" s="434" t="s">
        <v>113</v>
      </c>
      <c r="F90" s="435">
        <v>5959450</v>
      </c>
      <c r="G90" s="468">
        <f t="shared" si="1"/>
        <v>11918900</v>
      </c>
    </row>
    <row r="91" spans="2:11" ht="46.15" customHeight="1" x14ac:dyDescent="0.35">
      <c r="B91" s="431" t="s">
        <v>32</v>
      </c>
      <c r="C91" s="467" t="s">
        <v>644</v>
      </c>
      <c r="D91" s="433">
        <v>2</v>
      </c>
      <c r="E91" s="434" t="s">
        <v>113</v>
      </c>
      <c r="F91" s="435">
        <v>1059450</v>
      </c>
      <c r="G91" s="468">
        <f t="shared" si="1"/>
        <v>2118900</v>
      </c>
    </row>
    <row r="92" spans="2:11" ht="46.5" customHeight="1" x14ac:dyDescent="0.35">
      <c r="B92" s="431" t="s">
        <v>33</v>
      </c>
      <c r="C92" s="467" t="s">
        <v>645</v>
      </c>
      <c r="D92" s="433">
        <v>2</v>
      </c>
      <c r="E92" s="434" t="s">
        <v>113</v>
      </c>
      <c r="F92" s="435">
        <v>744900</v>
      </c>
      <c r="G92" s="468">
        <f t="shared" si="1"/>
        <v>1489800</v>
      </c>
    </row>
    <row r="93" spans="2:11" ht="52.25" customHeight="1" x14ac:dyDescent="0.35">
      <c r="B93" s="431" t="s">
        <v>34</v>
      </c>
      <c r="C93" s="467" t="s">
        <v>646</v>
      </c>
      <c r="D93" s="433">
        <v>2</v>
      </c>
      <c r="E93" s="434" t="s">
        <v>113</v>
      </c>
      <c r="F93" s="435">
        <v>645600</v>
      </c>
      <c r="G93" s="468">
        <f t="shared" ref="G93:G94" si="2">F93*D93</f>
        <v>1291200</v>
      </c>
    </row>
    <row r="94" spans="2:11" ht="30" customHeight="1" x14ac:dyDescent="0.35">
      <c r="B94" s="431" t="s">
        <v>34</v>
      </c>
      <c r="C94" s="467" t="s">
        <v>1094</v>
      </c>
      <c r="D94" s="433">
        <v>4</v>
      </c>
      <c r="E94" s="434" t="s">
        <v>113</v>
      </c>
      <c r="F94" s="435">
        <v>645600</v>
      </c>
      <c r="G94" s="468">
        <f t="shared" si="2"/>
        <v>2582400</v>
      </c>
    </row>
    <row r="95" spans="2:11" ht="33.4" customHeight="1" x14ac:dyDescent="0.35">
      <c r="B95" s="431" t="s">
        <v>34</v>
      </c>
      <c r="C95" s="467" t="s">
        <v>1095</v>
      </c>
      <c r="D95" s="433">
        <v>1</v>
      </c>
      <c r="E95" s="434" t="s">
        <v>113</v>
      </c>
      <c r="F95" s="435">
        <v>1645600</v>
      </c>
      <c r="G95" s="468">
        <f t="shared" si="1"/>
        <v>1645600</v>
      </c>
    </row>
    <row r="96" spans="2:11" ht="21.95" customHeight="1" x14ac:dyDescent="0.35">
      <c r="B96" s="431"/>
      <c r="C96" s="437" t="s">
        <v>647</v>
      </c>
      <c r="D96" s="433"/>
      <c r="E96" s="434"/>
      <c r="F96" s="435"/>
      <c r="G96" s="468"/>
      <c r="J96" s="451"/>
      <c r="K96" s="452"/>
    </row>
    <row r="97" spans="2:7" ht="47.65" customHeight="1" x14ac:dyDescent="0.35">
      <c r="B97" s="431"/>
      <c r="C97" s="437" t="s">
        <v>648</v>
      </c>
      <c r="D97" s="433"/>
      <c r="E97" s="434"/>
      <c r="F97" s="466"/>
      <c r="G97" s="468"/>
    </row>
    <row r="98" spans="2:7" ht="22.05" customHeight="1" x14ac:dyDescent="0.35">
      <c r="B98" s="431" t="s">
        <v>35</v>
      </c>
      <c r="C98" s="467" t="s">
        <v>649</v>
      </c>
      <c r="D98" s="433">
        <v>8</v>
      </c>
      <c r="E98" s="434" t="s">
        <v>112</v>
      </c>
      <c r="F98" s="435">
        <v>115800</v>
      </c>
      <c r="G98" s="468">
        <f t="shared" si="1"/>
        <v>926400</v>
      </c>
    </row>
    <row r="99" spans="2:7" ht="22.05" customHeight="1" x14ac:dyDescent="0.35">
      <c r="B99" s="431" t="s">
        <v>36</v>
      </c>
      <c r="C99" s="467" t="s">
        <v>650</v>
      </c>
      <c r="D99" s="433">
        <v>2</v>
      </c>
      <c r="E99" s="434" t="s">
        <v>113</v>
      </c>
      <c r="F99" s="435">
        <v>43000</v>
      </c>
      <c r="G99" s="468">
        <f t="shared" si="1"/>
        <v>86000</v>
      </c>
    </row>
    <row r="100" spans="2:7" ht="22.05" customHeight="1" x14ac:dyDescent="0.35">
      <c r="B100" s="431" t="s">
        <v>114</v>
      </c>
      <c r="C100" s="467" t="s">
        <v>651</v>
      </c>
      <c r="D100" s="433">
        <v>12</v>
      </c>
      <c r="E100" s="434" t="s">
        <v>112</v>
      </c>
      <c r="F100" s="435">
        <v>43000</v>
      </c>
      <c r="G100" s="468">
        <f t="shared" si="1"/>
        <v>516000</v>
      </c>
    </row>
    <row r="101" spans="2:7" ht="22.05" customHeight="1" x14ac:dyDescent="0.35">
      <c r="B101" s="431" t="s">
        <v>39</v>
      </c>
      <c r="C101" s="467" t="s">
        <v>652</v>
      </c>
      <c r="D101" s="433">
        <v>12</v>
      </c>
      <c r="E101" s="434" t="s">
        <v>112</v>
      </c>
      <c r="F101" s="435">
        <v>36400</v>
      </c>
      <c r="G101" s="468">
        <f t="shared" si="1"/>
        <v>436800</v>
      </c>
    </row>
    <row r="102" spans="2:7" ht="22.05" customHeight="1" x14ac:dyDescent="0.35">
      <c r="B102" s="431" t="s">
        <v>40</v>
      </c>
      <c r="C102" s="467" t="s">
        <v>653</v>
      </c>
      <c r="D102" s="433">
        <v>48</v>
      </c>
      <c r="E102" s="434" t="s">
        <v>112</v>
      </c>
      <c r="F102" s="435">
        <v>43000</v>
      </c>
      <c r="G102" s="468">
        <f t="shared" si="1"/>
        <v>2064000</v>
      </c>
    </row>
    <row r="103" spans="2:7" ht="22.05" customHeight="1" x14ac:dyDescent="0.35">
      <c r="B103" s="431" t="s">
        <v>15</v>
      </c>
      <c r="C103" s="467" t="s">
        <v>654</v>
      </c>
      <c r="D103" s="433">
        <v>60</v>
      </c>
      <c r="E103" s="434" t="s">
        <v>112</v>
      </c>
      <c r="F103" s="435">
        <v>36400</v>
      </c>
      <c r="G103" s="468">
        <f t="shared" si="1"/>
        <v>2184000</v>
      </c>
    </row>
    <row r="104" spans="2:7" ht="22.05" customHeight="1" x14ac:dyDescent="0.35">
      <c r="B104" s="431" t="s">
        <v>16</v>
      </c>
      <c r="C104" s="467" t="s">
        <v>655</v>
      </c>
      <c r="D104" s="433">
        <v>54</v>
      </c>
      <c r="E104" s="434" t="s">
        <v>112</v>
      </c>
      <c r="F104" s="435">
        <v>29700</v>
      </c>
      <c r="G104" s="468">
        <f t="shared" si="1"/>
        <v>1603800</v>
      </c>
    </row>
    <row r="105" spans="2:7" ht="22.05" customHeight="1" x14ac:dyDescent="0.35">
      <c r="B105" s="431" t="s">
        <v>89</v>
      </c>
      <c r="C105" s="467" t="s">
        <v>656</v>
      </c>
      <c r="D105" s="433">
        <v>48</v>
      </c>
      <c r="E105" s="434" t="s">
        <v>112</v>
      </c>
      <c r="F105" s="435">
        <v>23100</v>
      </c>
      <c r="G105" s="468">
        <f t="shared" si="1"/>
        <v>1108800</v>
      </c>
    </row>
    <row r="106" spans="2:7" ht="22.05" customHeight="1" x14ac:dyDescent="0.35">
      <c r="B106" s="431" t="s">
        <v>17</v>
      </c>
      <c r="C106" s="467" t="s">
        <v>657</v>
      </c>
      <c r="D106" s="433">
        <v>60</v>
      </c>
      <c r="E106" s="434" t="s">
        <v>112</v>
      </c>
      <c r="F106" s="435">
        <v>13200</v>
      </c>
      <c r="G106" s="468">
        <f t="shared" si="1"/>
        <v>792000</v>
      </c>
    </row>
    <row r="107" spans="2:7" ht="22.05" customHeight="1" x14ac:dyDescent="0.35">
      <c r="B107" s="431" t="s">
        <v>90</v>
      </c>
      <c r="C107" s="467" t="s">
        <v>658</v>
      </c>
      <c r="D107" s="433">
        <v>2</v>
      </c>
      <c r="E107" s="434" t="s">
        <v>113</v>
      </c>
      <c r="F107" s="435">
        <v>165500</v>
      </c>
      <c r="G107" s="468">
        <f t="shared" si="1"/>
        <v>331000</v>
      </c>
    </row>
    <row r="108" spans="2:7" ht="22.05" customHeight="1" x14ac:dyDescent="0.35">
      <c r="B108" s="431" t="s">
        <v>88</v>
      </c>
      <c r="C108" s="467" t="s">
        <v>659</v>
      </c>
      <c r="D108" s="433">
        <v>2</v>
      </c>
      <c r="E108" s="434" t="s">
        <v>113</v>
      </c>
      <c r="F108" s="435">
        <v>109250</v>
      </c>
      <c r="G108" s="468">
        <f t="shared" si="1"/>
        <v>218500</v>
      </c>
    </row>
    <row r="109" spans="2:7" ht="22.05" customHeight="1" x14ac:dyDescent="0.35">
      <c r="B109" s="431" t="s">
        <v>251</v>
      </c>
      <c r="C109" s="467" t="s">
        <v>660</v>
      </c>
      <c r="D109" s="433">
        <v>4</v>
      </c>
      <c r="E109" s="434" t="s">
        <v>113</v>
      </c>
      <c r="F109" s="435">
        <v>165500</v>
      </c>
      <c r="G109" s="468">
        <f t="shared" si="1"/>
        <v>662000</v>
      </c>
    </row>
    <row r="110" spans="2:7" ht="22.05" customHeight="1" x14ac:dyDescent="0.35">
      <c r="B110" s="431" t="s">
        <v>255</v>
      </c>
      <c r="C110" s="467" t="s">
        <v>661</v>
      </c>
      <c r="D110" s="433">
        <v>2</v>
      </c>
      <c r="E110" s="434" t="s">
        <v>113</v>
      </c>
      <c r="F110" s="435">
        <v>109250</v>
      </c>
      <c r="G110" s="468">
        <f t="shared" si="1"/>
        <v>218500</v>
      </c>
    </row>
    <row r="111" spans="2:7" ht="22.05" customHeight="1" x14ac:dyDescent="0.35">
      <c r="B111" s="431" t="s">
        <v>510</v>
      </c>
      <c r="C111" s="467" t="s">
        <v>662</v>
      </c>
      <c r="D111" s="433">
        <v>4</v>
      </c>
      <c r="E111" s="434" t="s">
        <v>113</v>
      </c>
      <c r="F111" s="435">
        <v>66200</v>
      </c>
      <c r="G111" s="468">
        <f t="shared" si="1"/>
        <v>264800</v>
      </c>
    </row>
    <row r="112" spans="2:7" ht="22.05" customHeight="1" x14ac:dyDescent="0.35">
      <c r="B112" s="431" t="s">
        <v>511</v>
      </c>
      <c r="C112" s="467" t="s">
        <v>663</v>
      </c>
      <c r="D112" s="433">
        <v>8</v>
      </c>
      <c r="E112" s="434" t="s">
        <v>113</v>
      </c>
      <c r="F112" s="435">
        <v>39700</v>
      </c>
      <c r="G112" s="468">
        <f t="shared" si="1"/>
        <v>317600</v>
      </c>
    </row>
    <row r="113" spans="2:11" ht="22.05" customHeight="1" x14ac:dyDescent="0.35">
      <c r="B113" s="431" t="s">
        <v>512</v>
      </c>
      <c r="C113" s="467" t="s">
        <v>664</v>
      </c>
      <c r="D113" s="433">
        <v>20</v>
      </c>
      <c r="E113" s="434" t="s">
        <v>113</v>
      </c>
      <c r="F113" s="435">
        <v>16550</v>
      </c>
      <c r="G113" s="468">
        <f t="shared" si="1"/>
        <v>331000</v>
      </c>
    </row>
    <row r="114" spans="2:11" ht="39" customHeight="1" x14ac:dyDescent="0.35">
      <c r="B114" s="431" t="s">
        <v>513</v>
      </c>
      <c r="C114" s="467" t="s">
        <v>665</v>
      </c>
      <c r="D114" s="433">
        <v>20</v>
      </c>
      <c r="E114" s="434" t="s">
        <v>113</v>
      </c>
      <c r="F114" s="435">
        <v>16550</v>
      </c>
      <c r="G114" s="468">
        <f t="shared" si="1"/>
        <v>331000</v>
      </c>
    </row>
    <row r="115" spans="2:11" ht="22.05" customHeight="1" x14ac:dyDescent="0.35">
      <c r="B115" s="431"/>
      <c r="C115" s="467"/>
      <c r="D115" s="433"/>
      <c r="E115" s="434"/>
      <c r="F115" s="435"/>
      <c r="G115" s="468"/>
    </row>
    <row r="116" spans="2:11" ht="22.05" customHeight="1" x14ac:dyDescent="0.35">
      <c r="B116" s="431"/>
      <c r="C116" s="467"/>
      <c r="D116" s="433"/>
      <c r="E116" s="434"/>
      <c r="F116" s="435"/>
      <c r="G116" s="468"/>
    </row>
    <row r="117" spans="2:11" ht="22.05" customHeight="1" x14ac:dyDescent="0.35">
      <c r="B117" s="431"/>
      <c r="C117" s="467"/>
      <c r="D117" s="433"/>
      <c r="E117" s="434"/>
      <c r="F117" s="435"/>
      <c r="G117" s="468"/>
    </row>
    <row r="118" spans="2:11" ht="21.95" customHeight="1" x14ac:dyDescent="0.35">
      <c r="B118" s="431"/>
      <c r="C118" s="437" t="s">
        <v>666</v>
      </c>
      <c r="D118" s="433"/>
      <c r="E118" s="434"/>
      <c r="F118" s="435"/>
      <c r="G118" s="468"/>
      <c r="J118" s="451"/>
      <c r="K118" s="452"/>
    </row>
    <row r="119" spans="2:11" ht="64.5" customHeight="1" x14ac:dyDescent="0.35">
      <c r="B119" s="431"/>
      <c r="C119" s="437" t="s">
        <v>667</v>
      </c>
      <c r="D119" s="433"/>
      <c r="E119" s="434"/>
      <c r="F119" s="466"/>
      <c r="G119" s="468"/>
    </row>
    <row r="120" spans="2:11" ht="22.05" customHeight="1" x14ac:dyDescent="0.35">
      <c r="B120" s="431" t="s">
        <v>31</v>
      </c>
      <c r="C120" s="467" t="s">
        <v>668</v>
      </c>
      <c r="D120" s="433">
        <v>18</v>
      </c>
      <c r="E120" s="434" t="s">
        <v>112</v>
      </c>
      <c r="F120" s="435">
        <v>82700</v>
      </c>
      <c r="G120" s="468">
        <f t="shared" si="1"/>
        <v>1488600</v>
      </c>
    </row>
    <row r="121" spans="2:11" ht="22.05" customHeight="1" x14ac:dyDescent="0.35">
      <c r="B121" s="431" t="s">
        <v>32</v>
      </c>
      <c r="C121" s="467" t="s">
        <v>669</v>
      </c>
      <c r="D121" s="433">
        <v>28</v>
      </c>
      <c r="E121" s="434" t="s">
        <v>112</v>
      </c>
      <c r="F121" s="435">
        <v>59500</v>
      </c>
      <c r="G121" s="468">
        <f t="shared" si="1"/>
        <v>1666000</v>
      </c>
    </row>
    <row r="122" spans="2:11" ht="33.6" customHeight="1" x14ac:dyDescent="0.35">
      <c r="B122" s="431" t="s">
        <v>33</v>
      </c>
      <c r="C122" s="467" t="s">
        <v>670</v>
      </c>
      <c r="D122" s="433">
        <v>48</v>
      </c>
      <c r="E122" s="434" t="s">
        <v>112</v>
      </c>
      <c r="F122" s="435">
        <v>26400</v>
      </c>
      <c r="G122" s="468">
        <f t="shared" si="1"/>
        <v>1267200</v>
      </c>
    </row>
    <row r="123" spans="2:11" ht="35.450000000000003" customHeight="1" x14ac:dyDescent="0.35">
      <c r="B123" s="431" t="s">
        <v>34</v>
      </c>
      <c r="C123" s="467" t="s">
        <v>671</v>
      </c>
      <c r="D123" s="433">
        <v>24</v>
      </c>
      <c r="E123" s="434" t="s">
        <v>112</v>
      </c>
      <c r="F123" s="435">
        <v>16550</v>
      </c>
      <c r="G123" s="468">
        <f t="shared" si="1"/>
        <v>397200</v>
      </c>
    </row>
    <row r="124" spans="2:11" ht="22.05" customHeight="1" x14ac:dyDescent="0.35">
      <c r="B124" s="431" t="s">
        <v>35</v>
      </c>
      <c r="C124" s="467" t="s">
        <v>672</v>
      </c>
      <c r="D124" s="433">
        <v>6</v>
      </c>
      <c r="E124" s="434" t="s">
        <v>113</v>
      </c>
      <c r="F124" s="435">
        <v>82700</v>
      </c>
      <c r="G124" s="468">
        <f t="shared" si="1"/>
        <v>496200</v>
      </c>
    </row>
    <row r="125" spans="2:11" ht="25.05" customHeight="1" x14ac:dyDescent="0.35">
      <c r="B125" s="431"/>
      <c r="C125" s="467"/>
      <c r="D125" s="433"/>
      <c r="E125" s="434"/>
      <c r="F125" s="435"/>
      <c r="G125" s="468"/>
    </row>
    <row r="126" spans="2:11" ht="25.05" customHeight="1" x14ac:dyDescent="0.35">
      <c r="B126" s="431"/>
      <c r="C126" s="467"/>
      <c r="D126" s="433"/>
      <c r="E126" s="434"/>
      <c r="F126" s="435"/>
      <c r="G126" s="468"/>
    </row>
    <row r="127" spans="2:11" ht="25.05" customHeight="1" x14ac:dyDescent="0.35">
      <c r="B127" s="431"/>
      <c r="C127" s="467"/>
      <c r="D127" s="433"/>
      <c r="E127" s="434"/>
      <c r="F127" s="435"/>
      <c r="G127" s="468"/>
    </row>
    <row r="128" spans="2:11" ht="25.05" customHeight="1" x14ac:dyDescent="0.35">
      <c r="B128" s="431"/>
      <c r="C128" s="467"/>
      <c r="D128" s="433"/>
      <c r="E128" s="434"/>
      <c r="F128" s="435"/>
      <c r="G128" s="468"/>
    </row>
    <row r="129" spans="2:7" ht="25.05" customHeight="1" x14ac:dyDescent="0.35">
      <c r="B129" s="431"/>
      <c r="C129" s="467"/>
      <c r="D129" s="433"/>
      <c r="E129" s="434"/>
      <c r="F129" s="435"/>
      <c r="G129" s="468"/>
    </row>
    <row r="130" spans="2:7" ht="25.05" customHeight="1" x14ac:dyDescent="0.35">
      <c r="B130" s="431"/>
      <c r="C130" s="467"/>
      <c r="D130" s="433"/>
      <c r="E130" s="434"/>
      <c r="F130" s="435"/>
      <c r="G130" s="468"/>
    </row>
    <row r="131" spans="2:7" ht="25.05" customHeight="1" x14ac:dyDescent="0.35">
      <c r="B131" s="431"/>
      <c r="C131" s="467"/>
      <c r="D131" s="433"/>
      <c r="E131" s="434"/>
      <c r="F131" s="435"/>
      <c r="G131" s="468"/>
    </row>
    <row r="132" spans="2:7" ht="25.05" customHeight="1" x14ac:dyDescent="0.35">
      <c r="B132" s="431"/>
      <c r="C132" s="467"/>
      <c r="D132" s="433"/>
      <c r="E132" s="434"/>
      <c r="F132" s="435"/>
      <c r="G132" s="468"/>
    </row>
    <row r="133" spans="2:7" ht="25.05" customHeight="1" x14ac:dyDescent="0.35">
      <c r="B133" s="431"/>
      <c r="C133" s="467"/>
      <c r="D133" s="433"/>
      <c r="E133" s="434"/>
      <c r="F133" s="435"/>
      <c r="G133" s="468"/>
    </row>
    <row r="134" spans="2:7" ht="25.05" customHeight="1" x14ac:dyDescent="0.35">
      <c r="B134" s="431"/>
      <c r="C134" s="467"/>
      <c r="D134" s="433"/>
      <c r="E134" s="434"/>
      <c r="F134" s="435"/>
      <c r="G134" s="468"/>
    </row>
    <row r="135" spans="2:7" ht="25.05" customHeight="1" x14ac:dyDescent="0.35">
      <c r="B135" s="431"/>
      <c r="C135" s="467"/>
      <c r="D135" s="433"/>
      <c r="E135" s="434"/>
      <c r="F135" s="435"/>
      <c r="G135" s="468"/>
    </row>
    <row r="136" spans="2:7" ht="25.05" customHeight="1" x14ac:dyDescent="0.35">
      <c r="B136" s="431"/>
      <c r="C136" s="467"/>
      <c r="D136" s="433"/>
      <c r="E136" s="434"/>
      <c r="F136" s="435"/>
      <c r="G136" s="468"/>
    </row>
    <row r="137" spans="2:7" ht="25.05" customHeight="1" x14ac:dyDescent="0.35">
      <c r="B137" s="431"/>
      <c r="C137" s="467"/>
      <c r="D137" s="433"/>
      <c r="E137" s="434"/>
      <c r="F137" s="435"/>
      <c r="G137" s="468"/>
    </row>
    <row r="138" spans="2:7" ht="25.05" customHeight="1" x14ac:dyDescent="0.35">
      <c r="B138" s="431"/>
      <c r="C138" s="467"/>
      <c r="D138" s="433"/>
      <c r="E138" s="434"/>
      <c r="F138" s="435"/>
      <c r="G138" s="468"/>
    </row>
    <row r="139" spans="2:7" ht="25.05" customHeight="1" x14ac:dyDescent="0.35">
      <c r="B139" s="431"/>
      <c r="C139" s="467"/>
      <c r="D139" s="433"/>
      <c r="E139" s="434"/>
      <c r="F139" s="435"/>
      <c r="G139" s="468"/>
    </row>
    <row r="140" spans="2:7" ht="25.05" customHeight="1" x14ac:dyDescent="0.35">
      <c r="B140" s="431"/>
      <c r="C140" s="467"/>
      <c r="D140" s="433"/>
      <c r="E140" s="434"/>
      <c r="F140" s="435"/>
      <c r="G140" s="468"/>
    </row>
    <row r="141" spans="2:7" ht="25.05" customHeight="1" x14ac:dyDescent="0.35">
      <c r="B141" s="431"/>
      <c r="C141" s="467"/>
      <c r="D141" s="433"/>
      <c r="E141" s="434"/>
      <c r="F141" s="435"/>
      <c r="G141" s="468"/>
    </row>
    <row r="142" spans="2:7" ht="25.05" customHeight="1" x14ac:dyDescent="0.35">
      <c r="B142" s="431"/>
      <c r="C142" s="467"/>
      <c r="D142" s="433"/>
      <c r="E142" s="434"/>
      <c r="F142" s="435"/>
      <c r="G142" s="468"/>
    </row>
    <row r="143" spans="2:7" ht="25.05" customHeight="1" x14ac:dyDescent="0.35">
      <c r="B143" s="431"/>
      <c r="C143" s="467"/>
      <c r="D143" s="433"/>
      <c r="E143" s="434"/>
      <c r="F143" s="435"/>
      <c r="G143" s="468"/>
    </row>
    <row r="144" spans="2:7" ht="25.05" customHeight="1" x14ac:dyDescent="0.35">
      <c r="B144" s="431"/>
      <c r="C144" s="467"/>
      <c r="D144" s="433"/>
      <c r="E144" s="434"/>
      <c r="F144" s="435"/>
      <c r="G144" s="468"/>
    </row>
    <row r="145" spans="2:11" ht="25.05" customHeight="1" x14ac:dyDescent="0.35">
      <c r="B145" s="431"/>
      <c r="C145" s="467"/>
      <c r="D145" s="433"/>
      <c r="E145" s="434"/>
      <c r="F145" s="435"/>
      <c r="G145" s="468"/>
    </row>
    <row r="146" spans="2:11" ht="25.05" customHeight="1" x14ac:dyDescent="0.35">
      <c r="B146" s="431"/>
      <c r="C146" s="467"/>
      <c r="D146" s="433"/>
      <c r="E146" s="434"/>
      <c r="F146" s="435"/>
      <c r="G146" s="468"/>
    </row>
    <row r="147" spans="2:11" s="444" customFormat="1" ht="30" customHeight="1" thickBot="1" x14ac:dyDescent="0.4">
      <c r="B147" s="445"/>
      <c r="C147" s="453" t="s">
        <v>55</v>
      </c>
      <c r="D147" s="447"/>
      <c r="E147" s="448"/>
      <c r="F147" s="454"/>
      <c r="G147" s="455">
        <f>SUM(G78:G125)</f>
        <v>66296800</v>
      </c>
      <c r="H147" s="418"/>
      <c r="J147" s="451"/>
      <c r="K147" s="452"/>
    </row>
    <row r="148" spans="2:11" s="456" customFormat="1" ht="30" customHeight="1" thickTop="1" x14ac:dyDescent="0.35">
      <c r="B148" s="457"/>
      <c r="C148" s="458" t="s">
        <v>960</v>
      </c>
      <c r="D148" s="459"/>
      <c r="E148" s="459"/>
      <c r="F148" s="460"/>
      <c r="G148" s="461"/>
      <c r="H148" s="418"/>
      <c r="J148" s="451"/>
      <c r="K148" s="452"/>
    </row>
    <row r="149" spans="2:11" ht="22.05" customHeight="1" x14ac:dyDescent="0.35">
      <c r="B149" s="431"/>
      <c r="C149" s="432" t="s">
        <v>523</v>
      </c>
      <c r="D149" s="433"/>
      <c r="E149" s="434"/>
      <c r="F149" s="466"/>
      <c r="G149" s="436"/>
    </row>
    <row r="150" spans="2:11" ht="22.05" customHeight="1" x14ac:dyDescent="0.35">
      <c r="B150" s="431"/>
      <c r="C150" s="432" t="s">
        <v>524</v>
      </c>
      <c r="D150" s="433"/>
      <c r="E150" s="434"/>
      <c r="F150" s="466"/>
      <c r="G150" s="436"/>
    </row>
    <row r="151" spans="2:11" ht="22.05" customHeight="1" x14ac:dyDescent="0.35">
      <c r="B151" s="431"/>
      <c r="C151" s="432" t="s">
        <v>81</v>
      </c>
      <c r="D151" s="433"/>
      <c r="E151" s="434"/>
      <c r="F151" s="466"/>
      <c r="G151" s="436"/>
    </row>
    <row r="152" spans="2:11" ht="22.05" customHeight="1" x14ac:dyDescent="0.35">
      <c r="B152" s="431"/>
      <c r="C152" s="432" t="s">
        <v>539</v>
      </c>
      <c r="D152" s="433"/>
      <c r="E152" s="434"/>
      <c r="F152" s="466"/>
      <c r="G152" s="436"/>
    </row>
    <row r="153" spans="2:11" ht="21.95" customHeight="1" x14ac:dyDescent="0.35">
      <c r="B153" s="431"/>
      <c r="C153" s="437" t="s">
        <v>632</v>
      </c>
      <c r="D153" s="433"/>
      <c r="E153" s="434"/>
      <c r="F153" s="435"/>
      <c r="G153" s="468"/>
      <c r="J153" s="451"/>
      <c r="K153" s="452"/>
    </row>
    <row r="154" spans="2:11" ht="64.5" customHeight="1" x14ac:dyDescent="0.35">
      <c r="B154" s="431" t="s">
        <v>31</v>
      </c>
      <c r="C154" s="467" t="s">
        <v>633</v>
      </c>
      <c r="D154" s="433">
        <v>10</v>
      </c>
      <c r="E154" s="434" t="s">
        <v>113</v>
      </c>
      <c r="F154" s="435">
        <v>678700</v>
      </c>
      <c r="G154" s="468">
        <f>F154*D154</f>
        <v>6787000</v>
      </c>
    </row>
    <row r="155" spans="2:11" ht="62.65" customHeight="1" x14ac:dyDescent="0.35">
      <c r="B155" s="431" t="s">
        <v>32</v>
      </c>
      <c r="C155" s="467" t="s">
        <v>634</v>
      </c>
      <c r="D155" s="433">
        <v>10</v>
      </c>
      <c r="E155" s="434" t="s">
        <v>113</v>
      </c>
      <c r="F155" s="435">
        <v>595900</v>
      </c>
      <c r="G155" s="468">
        <f t="shared" ref="G155:G197" si="3">F155*D155</f>
        <v>5959000</v>
      </c>
    </row>
    <row r="156" spans="2:11" ht="38.25" x14ac:dyDescent="0.35">
      <c r="B156" s="431" t="s">
        <v>33</v>
      </c>
      <c r="C156" s="467" t="s">
        <v>635</v>
      </c>
      <c r="D156" s="433">
        <v>8</v>
      </c>
      <c r="E156" s="434" t="s">
        <v>113</v>
      </c>
      <c r="F156" s="435">
        <v>678700</v>
      </c>
      <c r="G156" s="468">
        <f t="shared" si="3"/>
        <v>5429600</v>
      </c>
    </row>
    <row r="157" spans="2:11" ht="67.25" customHeight="1" x14ac:dyDescent="0.35">
      <c r="B157" s="431" t="s">
        <v>34</v>
      </c>
      <c r="C157" s="467" t="s">
        <v>636</v>
      </c>
      <c r="D157" s="433">
        <v>8</v>
      </c>
      <c r="E157" s="434" t="s">
        <v>113</v>
      </c>
      <c r="F157" s="435">
        <v>347600</v>
      </c>
      <c r="G157" s="468">
        <f t="shared" si="3"/>
        <v>2780800</v>
      </c>
    </row>
    <row r="158" spans="2:11" ht="54.6" customHeight="1" x14ac:dyDescent="0.35">
      <c r="B158" s="431" t="s">
        <v>35</v>
      </c>
      <c r="C158" s="467" t="s">
        <v>637</v>
      </c>
      <c r="D158" s="433">
        <v>8</v>
      </c>
      <c r="E158" s="434" t="s">
        <v>113</v>
      </c>
      <c r="F158" s="435">
        <v>264800</v>
      </c>
      <c r="G158" s="468">
        <f t="shared" si="3"/>
        <v>2118400</v>
      </c>
    </row>
    <row r="159" spans="2:11" ht="54" customHeight="1" x14ac:dyDescent="0.35">
      <c r="B159" s="431" t="s">
        <v>36</v>
      </c>
      <c r="C159" s="467" t="s">
        <v>638</v>
      </c>
      <c r="D159" s="433">
        <v>10</v>
      </c>
      <c r="E159" s="434" t="s">
        <v>113</v>
      </c>
      <c r="F159" s="435">
        <v>82700</v>
      </c>
      <c r="G159" s="468">
        <f t="shared" si="3"/>
        <v>827000</v>
      </c>
    </row>
    <row r="160" spans="2:11" ht="68.45" customHeight="1" x14ac:dyDescent="0.35">
      <c r="B160" s="431" t="s">
        <v>114</v>
      </c>
      <c r="C160" s="467" t="s">
        <v>639</v>
      </c>
      <c r="D160" s="433">
        <v>2</v>
      </c>
      <c r="E160" s="434" t="s">
        <v>113</v>
      </c>
      <c r="F160" s="435">
        <v>314500</v>
      </c>
      <c r="G160" s="468">
        <f t="shared" si="3"/>
        <v>629000</v>
      </c>
    </row>
    <row r="161" spans="2:11" ht="54" customHeight="1" x14ac:dyDescent="0.35">
      <c r="B161" s="431" t="s">
        <v>39</v>
      </c>
      <c r="C161" s="467" t="s">
        <v>673</v>
      </c>
      <c r="D161" s="433">
        <v>2</v>
      </c>
      <c r="E161" s="434" t="s">
        <v>113</v>
      </c>
      <c r="F161" s="435">
        <v>331000</v>
      </c>
      <c r="G161" s="468">
        <f t="shared" si="3"/>
        <v>662000</v>
      </c>
    </row>
    <row r="162" spans="2:11" ht="25.5" x14ac:dyDescent="0.35">
      <c r="B162" s="431" t="s">
        <v>40</v>
      </c>
      <c r="C162" s="467" t="s">
        <v>641</v>
      </c>
      <c r="D162" s="433">
        <v>1</v>
      </c>
      <c r="E162" s="434" t="s">
        <v>113</v>
      </c>
      <c r="F162" s="435">
        <v>198600</v>
      </c>
      <c r="G162" s="468">
        <f t="shared" si="3"/>
        <v>198600</v>
      </c>
    </row>
    <row r="163" spans="2:11" ht="38.450000000000003" customHeight="1" x14ac:dyDescent="0.35">
      <c r="B163" s="431" t="s">
        <v>15</v>
      </c>
      <c r="C163" s="467" t="s">
        <v>642</v>
      </c>
      <c r="D163" s="433">
        <v>7</v>
      </c>
      <c r="E163" s="434" t="s">
        <v>113</v>
      </c>
      <c r="F163" s="435">
        <v>82700</v>
      </c>
      <c r="G163" s="468">
        <f t="shared" si="3"/>
        <v>578900</v>
      </c>
    </row>
    <row r="164" spans="2:11" ht="51" x14ac:dyDescent="0.35">
      <c r="B164" s="431" t="s">
        <v>16</v>
      </c>
      <c r="C164" s="467" t="s">
        <v>643</v>
      </c>
      <c r="D164" s="433">
        <v>2</v>
      </c>
      <c r="E164" s="434" t="s">
        <v>113</v>
      </c>
      <c r="F164" s="435">
        <v>5959400</v>
      </c>
      <c r="G164" s="468">
        <f t="shared" si="3"/>
        <v>11918800</v>
      </c>
    </row>
    <row r="165" spans="2:11" x14ac:dyDescent="0.35">
      <c r="B165" s="431"/>
      <c r="C165" s="467"/>
      <c r="D165" s="433"/>
      <c r="E165" s="434"/>
      <c r="F165" s="435"/>
      <c r="G165" s="468"/>
    </row>
    <row r="166" spans="2:11" x14ac:dyDescent="0.35">
      <c r="B166" s="431"/>
      <c r="C166" s="467"/>
      <c r="D166" s="433"/>
      <c r="E166" s="434"/>
      <c r="F166" s="435"/>
      <c r="G166" s="468"/>
    </row>
    <row r="167" spans="2:11" ht="70.8" customHeight="1" x14ac:dyDescent="0.35">
      <c r="B167" s="431" t="s">
        <v>31</v>
      </c>
      <c r="C167" s="467" t="s">
        <v>644</v>
      </c>
      <c r="D167" s="433">
        <v>2</v>
      </c>
      <c r="E167" s="434" t="s">
        <v>113</v>
      </c>
      <c r="F167" s="435">
        <v>1059400</v>
      </c>
      <c r="G167" s="468">
        <f t="shared" si="3"/>
        <v>2118800</v>
      </c>
    </row>
    <row r="168" spans="2:11" ht="69" customHeight="1" x14ac:dyDescent="0.35">
      <c r="B168" s="431" t="s">
        <v>32</v>
      </c>
      <c r="C168" s="467" t="s">
        <v>645</v>
      </c>
      <c r="D168" s="433">
        <v>2</v>
      </c>
      <c r="E168" s="434" t="s">
        <v>113</v>
      </c>
      <c r="F168" s="435">
        <v>744900</v>
      </c>
      <c r="G168" s="468">
        <f t="shared" si="3"/>
        <v>1489800</v>
      </c>
    </row>
    <row r="169" spans="2:11" ht="51.6" customHeight="1" x14ac:dyDescent="0.35">
      <c r="B169" s="431" t="s">
        <v>33</v>
      </c>
      <c r="C169" s="467" t="s">
        <v>646</v>
      </c>
      <c r="D169" s="433">
        <v>2</v>
      </c>
      <c r="E169" s="434" t="s">
        <v>113</v>
      </c>
      <c r="F169" s="435">
        <v>645600</v>
      </c>
      <c r="G169" s="468">
        <f t="shared" si="3"/>
        <v>1291200</v>
      </c>
    </row>
    <row r="170" spans="2:11" ht="21.95" customHeight="1" x14ac:dyDescent="0.35">
      <c r="B170" s="431"/>
      <c r="C170" s="437" t="s">
        <v>647</v>
      </c>
      <c r="D170" s="433"/>
      <c r="E170" s="434"/>
      <c r="F170" s="435"/>
      <c r="G170" s="468"/>
      <c r="J170" s="451"/>
      <c r="K170" s="452"/>
    </row>
    <row r="171" spans="2:11" ht="64.5" customHeight="1" x14ac:dyDescent="0.35">
      <c r="B171" s="431"/>
      <c r="C171" s="437" t="s">
        <v>648</v>
      </c>
      <c r="D171" s="433"/>
      <c r="E171" s="434"/>
      <c r="F171" s="466"/>
      <c r="G171" s="468"/>
    </row>
    <row r="172" spans="2:11" ht="22.05" customHeight="1" x14ac:dyDescent="0.35">
      <c r="B172" s="431" t="s">
        <v>34</v>
      </c>
      <c r="C172" s="467" t="s">
        <v>649</v>
      </c>
      <c r="D172" s="433">
        <v>8</v>
      </c>
      <c r="E172" s="434" t="s">
        <v>112</v>
      </c>
      <c r="F172" s="435">
        <v>115800</v>
      </c>
      <c r="G172" s="468">
        <f t="shared" si="3"/>
        <v>926400</v>
      </c>
    </row>
    <row r="173" spans="2:11" ht="22.05" customHeight="1" x14ac:dyDescent="0.35">
      <c r="B173" s="431" t="s">
        <v>35</v>
      </c>
      <c r="C173" s="467" t="s">
        <v>650</v>
      </c>
      <c r="D173" s="433">
        <v>2</v>
      </c>
      <c r="E173" s="434" t="s">
        <v>113</v>
      </c>
      <c r="F173" s="435">
        <v>43000</v>
      </c>
      <c r="G173" s="468">
        <f t="shared" si="3"/>
        <v>86000</v>
      </c>
    </row>
    <row r="174" spans="2:11" ht="22.05" customHeight="1" x14ac:dyDescent="0.35">
      <c r="B174" s="431" t="s">
        <v>36</v>
      </c>
      <c r="C174" s="467" t="s">
        <v>651</v>
      </c>
      <c r="D174" s="433">
        <v>12</v>
      </c>
      <c r="E174" s="434" t="s">
        <v>112</v>
      </c>
      <c r="F174" s="435">
        <v>43000</v>
      </c>
      <c r="G174" s="468">
        <f t="shared" si="3"/>
        <v>516000</v>
      </c>
    </row>
    <row r="175" spans="2:11" ht="22.05" customHeight="1" x14ac:dyDescent="0.35">
      <c r="B175" s="431" t="s">
        <v>114</v>
      </c>
      <c r="C175" s="467" t="s">
        <v>652</v>
      </c>
      <c r="D175" s="433">
        <v>12</v>
      </c>
      <c r="E175" s="434" t="s">
        <v>112</v>
      </c>
      <c r="F175" s="435">
        <v>36400</v>
      </c>
      <c r="G175" s="468">
        <f t="shared" si="3"/>
        <v>436800</v>
      </c>
    </row>
    <row r="176" spans="2:11" ht="22.05" customHeight="1" x14ac:dyDescent="0.35">
      <c r="B176" s="431" t="s">
        <v>39</v>
      </c>
      <c r="C176" s="467" t="s">
        <v>653</v>
      </c>
      <c r="D176" s="433">
        <v>48</v>
      </c>
      <c r="E176" s="434" t="s">
        <v>112</v>
      </c>
      <c r="F176" s="435">
        <v>43000</v>
      </c>
      <c r="G176" s="468">
        <f t="shared" si="3"/>
        <v>2064000</v>
      </c>
    </row>
    <row r="177" spans="2:11" ht="22.05" customHeight="1" x14ac:dyDescent="0.35">
      <c r="B177" s="431" t="s">
        <v>40</v>
      </c>
      <c r="C177" s="467" t="s">
        <v>654</v>
      </c>
      <c r="D177" s="433">
        <v>60</v>
      </c>
      <c r="E177" s="434" t="s">
        <v>112</v>
      </c>
      <c r="F177" s="435">
        <v>36400</v>
      </c>
      <c r="G177" s="468">
        <f t="shared" si="3"/>
        <v>2184000</v>
      </c>
    </row>
    <row r="178" spans="2:11" ht="22.05" customHeight="1" x14ac:dyDescent="0.35">
      <c r="B178" s="431" t="s">
        <v>15</v>
      </c>
      <c r="C178" s="467" t="s">
        <v>655</v>
      </c>
      <c r="D178" s="433">
        <v>54</v>
      </c>
      <c r="E178" s="434" t="s">
        <v>112</v>
      </c>
      <c r="F178" s="435">
        <v>29700</v>
      </c>
      <c r="G178" s="468">
        <f t="shared" si="3"/>
        <v>1603800</v>
      </c>
    </row>
    <row r="179" spans="2:11" ht="22.05" customHeight="1" x14ac:dyDescent="0.35">
      <c r="B179" s="431" t="s">
        <v>16</v>
      </c>
      <c r="C179" s="467" t="s">
        <v>656</v>
      </c>
      <c r="D179" s="433">
        <v>48</v>
      </c>
      <c r="E179" s="434" t="s">
        <v>112</v>
      </c>
      <c r="F179" s="435">
        <v>23100</v>
      </c>
      <c r="G179" s="468">
        <f t="shared" si="3"/>
        <v>1108800</v>
      </c>
    </row>
    <row r="180" spans="2:11" ht="22.05" customHeight="1" x14ac:dyDescent="0.35">
      <c r="B180" s="431" t="s">
        <v>89</v>
      </c>
      <c r="C180" s="467" t="s">
        <v>657</v>
      </c>
      <c r="D180" s="433">
        <v>60</v>
      </c>
      <c r="E180" s="434" t="s">
        <v>112</v>
      </c>
      <c r="F180" s="435">
        <v>13200</v>
      </c>
      <c r="G180" s="468">
        <f t="shared" si="3"/>
        <v>792000</v>
      </c>
    </row>
    <row r="181" spans="2:11" ht="22.05" customHeight="1" x14ac:dyDescent="0.35">
      <c r="B181" s="431" t="s">
        <v>17</v>
      </c>
      <c r="C181" s="467" t="s">
        <v>658</v>
      </c>
      <c r="D181" s="433">
        <v>2</v>
      </c>
      <c r="E181" s="434" t="s">
        <v>113</v>
      </c>
      <c r="F181" s="435">
        <v>165500</v>
      </c>
      <c r="G181" s="468">
        <f t="shared" si="3"/>
        <v>331000</v>
      </c>
    </row>
    <row r="182" spans="2:11" ht="22.05" customHeight="1" x14ac:dyDescent="0.35">
      <c r="B182" s="431" t="s">
        <v>90</v>
      </c>
      <c r="C182" s="467" t="s">
        <v>659</v>
      </c>
      <c r="D182" s="433">
        <v>2</v>
      </c>
      <c r="E182" s="434" t="s">
        <v>113</v>
      </c>
      <c r="F182" s="435">
        <v>109250</v>
      </c>
      <c r="G182" s="468">
        <f t="shared" si="3"/>
        <v>218500</v>
      </c>
    </row>
    <row r="183" spans="2:11" ht="22.05" customHeight="1" x14ac:dyDescent="0.35">
      <c r="B183" s="431" t="s">
        <v>88</v>
      </c>
      <c r="C183" s="467" t="s">
        <v>660</v>
      </c>
      <c r="D183" s="433">
        <v>4</v>
      </c>
      <c r="E183" s="434" t="s">
        <v>113</v>
      </c>
      <c r="F183" s="435">
        <v>165500</v>
      </c>
      <c r="G183" s="468">
        <f t="shared" si="3"/>
        <v>662000</v>
      </c>
    </row>
    <row r="184" spans="2:11" ht="22.05" customHeight="1" x14ac:dyDescent="0.35">
      <c r="B184" s="431" t="s">
        <v>251</v>
      </c>
      <c r="C184" s="467" t="s">
        <v>661</v>
      </c>
      <c r="D184" s="433">
        <v>2</v>
      </c>
      <c r="E184" s="434" t="s">
        <v>113</v>
      </c>
      <c r="F184" s="435">
        <v>109250</v>
      </c>
      <c r="G184" s="468">
        <f t="shared" si="3"/>
        <v>218500</v>
      </c>
    </row>
    <row r="185" spans="2:11" ht="22.05" customHeight="1" x14ac:dyDescent="0.35">
      <c r="B185" s="431" t="s">
        <v>255</v>
      </c>
      <c r="C185" s="467" t="s">
        <v>662</v>
      </c>
      <c r="D185" s="433">
        <v>4</v>
      </c>
      <c r="E185" s="434" t="s">
        <v>113</v>
      </c>
      <c r="F185" s="435">
        <v>66200</v>
      </c>
      <c r="G185" s="468">
        <f t="shared" si="3"/>
        <v>264800</v>
      </c>
    </row>
    <row r="186" spans="2:11" ht="22.05" customHeight="1" x14ac:dyDescent="0.35">
      <c r="B186" s="431" t="s">
        <v>510</v>
      </c>
      <c r="C186" s="467" t="s">
        <v>663</v>
      </c>
      <c r="D186" s="433">
        <v>8</v>
      </c>
      <c r="E186" s="434" t="s">
        <v>113</v>
      </c>
      <c r="F186" s="435">
        <v>39700</v>
      </c>
      <c r="G186" s="468">
        <f t="shared" si="3"/>
        <v>317600</v>
      </c>
    </row>
    <row r="187" spans="2:11" ht="22.05" customHeight="1" x14ac:dyDescent="0.35">
      <c r="B187" s="431" t="s">
        <v>511</v>
      </c>
      <c r="C187" s="467" t="s">
        <v>664</v>
      </c>
      <c r="D187" s="433">
        <v>20</v>
      </c>
      <c r="E187" s="434" t="s">
        <v>113</v>
      </c>
      <c r="F187" s="435">
        <v>16550</v>
      </c>
      <c r="G187" s="468">
        <f t="shared" si="3"/>
        <v>331000</v>
      </c>
    </row>
    <row r="188" spans="2:11" ht="39" customHeight="1" x14ac:dyDescent="0.35">
      <c r="B188" s="431" t="s">
        <v>512</v>
      </c>
      <c r="C188" s="467" t="s">
        <v>665</v>
      </c>
      <c r="D188" s="433">
        <v>20</v>
      </c>
      <c r="E188" s="434" t="s">
        <v>113</v>
      </c>
      <c r="F188" s="435">
        <v>16550</v>
      </c>
      <c r="G188" s="468">
        <f t="shared" si="3"/>
        <v>331000</v>
      </c>
    </row>
    <row r="189" spans="2:11" ht="21.95" customHeight="1" x14ac:dyDescent="0.35">
      <c r="B189" s="431"/>
      <c r="C189" s="437" t="s">
        <v>666</v>
      </c>
      <c r="D189" s="433"/>
      <c r="E189" s="434"/>
      <c r="F189" s="435"/>
      <c r="G189" s="468"/>
      <c r="J189" s="451"/>
      <c r="K189" s="452"/>
    </row>
    <row r="190" spans="2:11" ht="85.8" customHeight="1" x14ac:dyDescent="0.35">
      <c r="B190" s="431"/>
      <c r="C190" s="437" t="s">
        <v>667</v>
      </c>
      <c r="D190" s="433"/>
      <c r="E190" s="434"/>
      <c r="F190" s="466"/>
      <c r="G190" s="468"/>
    </row>
    <row r="191" spans="2:11" ht="22.05" customHeight="1" x14ac:dyDescent="0.35">
      <c r="B191" s="431" t="s">
        <v>513</v>
      </c>
      <c r="C191" s="467" t="s">
        <v>668</v>
      </c>
      <c r="D191" s="433">
        <v>18</v>
      </c>
      <c r="E191" s="434" t="s">
        <v>112</v>
      </c>
      <c r="F191" s="435">
        <v>82700</v>
      </c>
      <c r="G191" s="468">
        <f t="shared" si="3"/>
        <v>1488600</v>
      </c>
    </row>
    <row r="192" spans="2:11" ht="22.05" customHeight="1" x14ac:dyDescent="0.35">
      <c r="B192" s="431" t="s">
        <v>514</v>
      </c>
      <c r="C192" s="467" t="s">
        <v>669</v>
      </c>
      <c r="D192" s="433">
        <v>28</v>
      </c>
      <c r="E192" s="434" t="s">
        <v>112</v>
      </c>
      <c r="F192" s="435">
        <v>59500</v>
      </c>
      <c r="G192" s="468">
        <f t="shared" si="3"/>
        <v>1666000</v>
      </c>
    </row>
    <row r="193" spans="2:7" ht="22.05" customHeight="1" x14ac:dyDescent="0.35">
      <c r="B193" s="431"/>
      <c r="C193" s="467"/>
      <c r="D193" s="433"/>
      <c r="E193" s="434"/>
      <c r="F193" s="435"/>
      <c r="G193" s="468"/>
    </row>
    <row r="194" spans="2:7" ht="22.05" customHeight="1" x14ac:dyDescent="0.35">
      <c r="B194" s="431"/>
      <c r="C194" s="467"/>
      <c r="D194" s="433"/>
      <c r="E194" s="434"/>
      <c r="F194" s="435"/>
      <c r="G194" s="468"/>
    </row>
    <row r="195" spans="2:7" x14ac:dyDescent="0.35">
      <c r="B195" s="431" t="s">
        <v>31</v>
      </c>
      <c r="C195" s="467" t="s">
        <v>670</v>
      </c>
      <c r="D195" s="433">
        <v>48</v>
      </c>
      <c r="E195" s="434" t="s">
        <v>112</v>
      </c>
      <c r="F195" s="435">
        <v>26400</v>
      </c>
      <c r="G195" s="468">
        <f t="shared" si="3"/>
        <v>1267200</v>
      </c>
    </row>
    <row r="196" spans="2:7" x14ac:dyDescent="0.35">
      <c r="B196" s="431" t="s">
        <v>32</v>
      </c>
      <c r="C196" s="467" t="s">
        <v>671</v>
      </c>
      <c r="D196" s="433">
        <v>24</v>
      </c>
      <c r="E196" s="434" t="s">
        <v>112</v>
      </c>
      <c r="F196" s="435">
        <v>16550</v>
      </c>
      <c r="G196" s="468">
        <f t="shared" si="3"/>
        <v>397200</v>
      </c>
    </row>
    <row r="197" spans="2:7" ht="22.05" customHeight="1" x14ac:dyDescent="0.35">
      <c r="B197" s="431" t="s">
        <v>33</v>
      </c>
      <c r="C197" s="467" t="s">
        <v>672</v>
      </c>
      <c r="D197" s="433">
        <v>6</v>
      </c>
      <c r="E197" s="434" t="s">
        <v>113</v>
      </c>
      <c r="F197" s="435">
        <v>82700</v>
      </c>
      <c r="G197" s="468">
        <f t="shared" si="3"/>
        <v>496200</v>
      </c>
    </row>
    <row r="198" spans="2:7" ht="25.05" customHeight="1" x14ac:dyDescent="0.35">
      <c r="B198" s="431"/>
      <c r="C198" s="467"/>
      <c r="D198" s="433"/>
      <c r="E198" s="434"/>
      <c r="F198" s="435"/>
      <c r="G198" s="468"/>
    </row>
    <row r="199" spans="2:7" ht="25.05" customHeight="1" x14ac:dyDescent="0.35">
      <c r="B199" s="431"/>
      <c r="C199" s="467"/>
      <c r="D199" s="433"/>
      <c r="E199" s="434"/>
      <c r="F199" s="435"/>
      <c r="G199" s="468"/>
    </row>
    <row r="200" spans="2:7" ht="25.05" customHeight="1" x14ac:dyDescent="0.35">
      <c r="B200" s="431"/>
      <c r="C200" s="467"/>
      <c r="D200" s="433"/>
      <c r="E200" s="434"/>
      <c r="F200" s="435"/>
      <c r="G200" s="468"/>
    </row>
    <row r="201" spans="2:7" ht="25.05" customHeight="1" x14ac:dyDescent="0.35">
      <c r="B201" s="431"/>
      <c r="C201" s="467"/>
      <c r="D201" s="433"/>
      <c r="E201" s="434"/>
      <c r="F201" s="435"/>
      <c r="G201" s="468"/>
    </row>
    <row r="202" spans="2:7" ht="25.05" customHeight="1" x14ac:dyDescent="0.35">
      <c r="B202" s="431"/>
      <c r="C202" s="467"/>
      <c r="D202" s="433"/>
      <c r="E202" s="434"/>
      <c r="F202" s="435"/>
      <c r="G202" s="468"/>
    </row>
    <row r="203" spans="2:7" ht="25.05" customHeight="1" x14ac:dyDescent="0.35">
      <c r="B203" s="431"/>
      <c r="C203" s="467"/>
      <c r="D203" s="433"/>
      <c r="E203" s="434"/>
      <c r="F203" s="435"/>
      <c r="G203" s="468"/>
    </row>
    <row r="204" spans="2:7" ht="25.05" customHeight="1" x14ac:dyDescent="0.35">
      <c r="B204" s="431"/>
      <c r="C204" s="467"/>
      <c r="D204" s="433"/>
      <c r="E204" s="434"/>
      <c r="F204" s="435"/>
      <c r="G204" s="468"/>
    </row>
    <row r="205" spans="2:7" ht="25.05" customHeight="1" x14ac:dyDescent="0.35">
      <c r="B205" s="431"/>
      <c r="C205" s="467"/>
      <c r="D205" s="433"/>
      <c r="E205" s="434"/>
      <c r="F205" s="435"/>
      <c r="G205" s="468"/>
    </row>
    <row r="206" spans="2:7" ht="25.05" customHeight="1" x14ac:dyDescent="0.35">
      <c r="B206" s="431"/>
      <c r="C206" s="467"/>
      <c r="D206" s="433"/>
      <c r="E206" s="434"/>
      <c r="F206" s="435"/>
      <c r="G206" s="468"/>
    </row>
    <row r="207" spans="2:7" ht="25.05" customHeight="1" x14ac:dyDescent="0.35">
      <c r="B207" s="431"/>
      <c r="C207" s="467"/>
      <c r="D207" s="433"/>
      <c r="E207" s="434"/>
      <c r="F207" s="435"/>
      <c r="G207" s="468"/>
    </row>
    <row r="208" spans="2:7" ht="25.05" customHeight="1" x14ac:dyDescent="0.35">
      <c r="B208" s="431"/>
      <c r="C208" s="467"/>
      <c r="D208" s="433"/>
      <c r="E208" s="434"/>
      <c r="F208" s="435"/>
      <c r="G208" s="468"/>
    </row>
    <row r="209" spans="2:7" ht="25.05" customHeight="1" x14ac:dyDescent="0.35">
      <c r="B209" s="431"/>
      <c r="C209" s="467"/>
      <c r="D209" s="433"/>
      <c r="E209" s="434"/>
      <c r="F209" s="435"/>
      <c r="G209" s="468"/>
    </row>
    <row r="210" spans="2:7" ht="25.05" customHeight="1" x14ac:dyDescent="0.35">
      <c r="B210" s="431"/>
      <c r="C210" s="467"/>
      <c r="D210" s="433"/>
      <c r="E210" s="434"/>
      <c r="F210" s="435"/>
      <c r="G210" s="468"/>
    </row>
    <row r="211" spans="2:7" ht="25.05" customHeight="1" x14ac:dyDescent="0.35">
      <c r="B211" s="431"/>
      <c r="C211" s="467"/>
      <c r="D211" s="433"/>
      <c r="E211" s="434"/>
      <c r="F211" s="435"/>
      <c r="G211" s="468"/>
    </row>
    <row r="212" spans="2:7" ht="25.05" customHeight="1" x14ac:dyDescent="0.35">
      <c r="B212" s="431"/>
      <c r="C212" s="467"/>
      <c r="D212" s="433"/>
      <c r="E212" s="434"/>
      <c r="F212" s="435"/>
      <c r="G212" s="468"/>
    </row>
    <row r="213" spans="2:7" ht="25.05" customHeight="1" x14ac:dyDescent="0.35">
      <c r="B213" s="431"/>
      <c r="C213" s="467"/>
      <c r="D213" s="433"/>
      <c r="E213" s="434"/>
      <c r="F213" s="435"/>
      <c r="G213" s="468"/>
    </row>
    <row r="214" spans="2:7" ht="25.05" customHeight="1" x14ac:dyDescent="0.35">
      <c r="B214" s="431"/>
      <c r="C214" s="467"/>
      <c r="D214" s="433"/>
      <c r="E214" s="434"/>
      <c r="F214" s="435"/>
      <c r="G214" s="468"/>
    </row>
    <row r="215" spans="2:7" ht="25.05" customHeight="1" x14ac:dyDescent="0.35">
      <c r="B215" s="431"/>
      <c r="C215" s="467"/>
      <c r="D215" s="433"/>
      <c r="E215" s="434"/>
      <c r="F215" s="435"/>
      <c r="G215" s="468"/>
    </row>
    <row r="216" spans="2:7" ht="31.8" customHeight="1" x14ac:dyDescent="0.35">
      <c r="B216" s="431"/>
      <c r="C216" s="467"/>
      <c r="D216" s="433"/>
      <c r="E216" s="434"/>
      <c r="F216" s="435"/>
      <c r="G216" s="468"/>
    </row>
    <row r="217" spans="2:7" ht="25.05" customHeight="1" x14ac:dyDescent="0.35">
      <c r="B217" s="431"/>
      <c r="C217" s="467"/>
      <c r="D217" s="433"/>
      <c r="E217" s="434"/>
      <c r="F217" s="435"/>
      <c r="G217" s="468"/>
    </row>
    <row r="218" spans="2:7" ht="25.05" customHeight="1" x14ac:dyDescent="0.35">
      <c r="B218" s="431"/>
      <c r="C218" s="467"/>
      <c r="D218" s="433"/>
      <c r="E218" s="434"/>
      <c r="F218" s="435"/>
      <c r="G218" s="468"/>
    </row>
    <row r="219" spans="2:7" ht="25.05" customHeight="1" x14ac:dyDescent="0.35">
      <c r="B219" s="431"/>
      <c r="C219" s="467"/>
      <c r="D219" s="433"/>
      <c r="E219" s="434"/>
      <c r="F219" s="435"/>
      <c r="G219" s="468"/>
    </row>
    <row r="220" spans="2:7" ht="25.05" customHeight="1" x14ac:dyDescent="0.35">
      <c r="B220" s="431"/>
      <c r="C220" s="467"/>
      <c r="D220" s="433"/>
      <c r="E220" s="434"/>
      <c r="F220" s="435"/>
      <c r="G220" s="468"/>
    </row>
    <row r="221" spans="2:7" ht="25.05" customHeight="1" x14ac:dyDescent="0.35">
      <c r="B221" s="431"/>
      <c r="C221" s="467"/>
      <c r="D221" s="433"/>
      <c r="E221" s="434"/>
      <c r="F221" s="435"/>
      <c r="G221" s="468"/>
    </row>
    <row r="222" spans="2:7" ht="25.05" customHeight="1" x14ac:dyDescent="0.35">
      <c r="B222" s="431"/>
      <c r="C222" s="467"/>
      <c r="D222" s="433"/>
      <c r="E222" s="434"/>
      <c r="F222" s="435"/>
      <c r="G222" s="468"/>
    </row>
    <row r="223" spans="2:7" ht="25.05" customHeight="1" x14ac:dyDescent="0.35">
      <c r="B223" s="431"/>
      <c r="C223" s="467"/>
      <c r="D223" s="433"/>
      <c r="E223" s="434"/>
      <c r="F223" s="435"/>
      <c r="G223" s="468"/>
    </row>
    <row r="224" spans="2:7" ht="25.05" customHeight="1" x14ac:dyDescent="0.35">
      <c r="B224" s="431"/>
      <c r="C224" s="467"/>
      <c r="D224" s="433"/>
      <c r="E224" s="434"/>
      <c r="F224" s="435"/>
      <c r="G224" s="468"/>
    </row>
    <row r="225" spans="2:11" ht="25.05" customHeight="1" x14ac:dyDescent="0.35">
      <c r="B225" s="431"/>
      <c r="C225" s="467"/>
      <c r="D225" s="433"/>
      <c r="E225" s="434"/>
      <c r="F225" s="435"/>
      <c r="G225" s="468"/>
    </row>
    <row r="226" spans="2:11" s="444" customFormat="1" ht="30" customHeight="1" thickBot="1" x14ac:dyDescent="0.4">
      <c r="B226" s="445"/>
      <c r="C226" s="453" t="s">
        <v>55</v>
      </c>
      <c r="D226" s="447"/>
      <c r="E226" s="448"/>
      <c r="F226" s="454"/>
      <c r="G226" s="455">
        <f>SUM(G154:G199)</f>
        <v>60496300</v>
      </c>
      <c r="H226" s="418"/>
      <c r="J226" s="451"/>
      <c r="K226" s="452"/>
    </row>
    <row r="227" spans="2:11" s="456" customFormat="1" ht="30" customHeight="1" thickTop="1" x14ac:dyDescent="0.35">
      <c r="B227" s="457"/>
      <c r="C227" s="458" t="s">
        <v>961</v>
      </c>
      <c r="D227" s="459"/>
      <c r="E227" s="459"/>
      <c r="F227" s="460"/>
      <c r="G227" s="461"/>
      <c r="H227" s="418"/>
      <c r="J227" s="451"/>
      <c r="K227" s="452"/>
    </row>
    <row r="228" spans="2:11" ht="22.05" customHeight="1" x14ac:dyDescent="0.35">
      <c r="B228" s="431"/>
      <c r="C228" s="432" t="s">
        <v>523</v>
      </c>
      <c r="D228" s="433"/>
      <c r="E228" s="434"/>
      <c r="F228" s="466"/>
      <c r="G228" s="436"/>
    </row>
    <row r="229" spans="2:11" ht="22.05" customHeight="1" x14ac:dyDescent="0.35">
      <c r="B229" s="431"/>
      <c r="C229" s="432" t="s">
        <v>524</v>
      </c>
      <c r="D229" s="433"/>
      <c r="E229" s="434"/>
      <c r="F229" s="466"/>
      <c r="G229" s="436"/>
    </row>
    <row r="230" spans="2:11" ht="22.05" customHeight="1" x14ac:dyDescent="0.35">
      <c r="B230" s="431"/>
      <c r="C230" s="432" t="s">
        <v>520</v>
      </c>
      <c r="D230" s="433"/>
      <c r="E230" s="434"/>
      <c r="F230" s="466"/>
      <c r="G230" s="436"/>
    </row>
    <row r="231" spans="2:11" ht="22.05" customHeight="1" x14ac:dyDescent="0.35">
      <c r="B231" s="431"/>
      <c r="C231" s="432" t="s">
        <v>540</v>
      </c>
      <c r="D231" s="433"/>
      <c r="E231" s="434"/>
      <c r="F231" s="466"/>
      <c r="G231" s="436"/>
    </row>
    <row r="232" spans="2:11" ht="21.95" customHeight="1" x14ac:dyDescent="0.35">
      <c r="B232" s="431"/>
      <c r="C232" s="437" t="s">
        <v>632</v>
      </c>
      <c r="D232" s="433"/>
      <c r="E232" s="434"/>
      <c r="F232" s="435"/>
      <c r="G232" s="468"/>
      <c r="J232" s="451"/>
      <c r="K232" s="452"/>
    </row>
    <row r="233" spans="2:11" ht="80.45" customHeight="1" x14ac:dyDescent="0.35">
      <c r="B233" s="431" t="s">
        <v>31</v>
      </c>
      <c r="C233" s="467" t="s">
        <v>633</v>
      </c>
      <c r="D233" s="433">
        <v>10</v>
      </c>
      <c r="E233" s="434" t="s">
        <v>113</v>
      </c>
      <c r="F233" s="435">
        <v>678700</v>
      </c>
      <c r="G233" s="468">
        <f>F233*D233</f>
        <v>6787000</v>
      </c>
    </row>
    <row r="234" spans="2:11" ht="83.45" customHeight="1" x14ac:dyDescent="0.35">
      <c r="B234" s="431" t="s">
        <v>32</v>
      </c>
      <c r="C234" s="467" t="s">
        <v>634</v>
      </c>
      <c r="D234" s="433">
        <v>10</v>
      </c>
      <c r="E234" s="434" t="s">
        <v>113</v>
      </c>
      <c r="F234" s="435">
        <v>595900</v>
      </c>
      <c r="G234" s="468">
        <f t="shared" ref="G234:G278" si="4">F234*D234</f>
        <v>5959000</v>
      </c>
    </row>
    <row r="235" spans="2:11" ht="38.25" x14ac:dyDescent="0.35">
      <c r="B235" s="431" t="s">
        <v>33</v>
      </c>
      <c r="C235" s="467" t="s">
        <v>635</v>
      </c>
      <c r="D235" s="433">
        <v>8</v>
      </c>
      <c r="E235" s="434" t="s">
        <v>113</v>
      </c>
      <c r="F235" s="435">
        <v>678700</v>
      </c>
      <c r="G235" s="468">
        <f t="shared" si="4"/>
        <v>5429600</v>
      </c>
    </row>
    <row r="236" spans="2:11" ht="82.25" customHeight="1" x14ac:dyDescent="0.35">
      <c r="B236" s="431" t="s">
        <v>34</v>
      </c>
      <c r="C236" s="467" t="s">
        <v>674</v>
      </c>
      <c r="D236" s="433">
        <v>8</v>
      </c>
      <c r="E236" s="434" t="s">
        <v>113</v>
      </c>
      <c r="F236" s="435">
        <v>678700</v>
      </c>
      <c r="G236" s="468">
        <f t="shared" si="4"/>
        <v>5429600</v>
      </c>
    </row>
    <row r="237" spans="2:11" ht="66.599999999999994" customHeight="1" x14ac:dyDescent="0.35">
      <c r="B237" s="431" t="s">
        <v>35</v>
      </c>
      <c r="C237" s="467" t="s">
        <v>636</v>
      </c>
      <c r="D237" s="433">
        <v>8</v>
      </c>
      <c r="E237" s="434" t="s">
        <v>113</v>
      </c>
      <c r="F237" s="435">
        <v>347600</v>
      </c>
      <c r="G237" s="468">
        <f t="shared" si="4"/>
        <v>2780800</v>
      </c>
    </row>
    <row r="238" spans="2:11" ht="51.6" customHeight="1" x14ac:dyDescent="0.35">
      <c r="B238" s="431" t="s">
        <v>36</v>
      </c>
      <c r="C238" s="467" t="s">
        <v>637</v>
      </c>
      <c r="D238" s="433">
        <v>8</v>
      </c>
      <c r="E238" s="434" t="s">
        <v>113</v>
      </c>
      <c r="F238" s="435">
        <v>264800</v>
      </c>
      <c r="G238" s="468">
        <f t="shared" si="4"/>
        <v>2118400</v>
      </c>
    </row>
    <row r="239" spans="2:11" ht="52.8" customHeight="1" x14ac:dyDescent="0.35">
      <c r="B239" s="431" t="s">
        <v>114</v>
      </c>
      <c r="C239" s="467" t="s">
        <v>638</v>
      </c>
      <c r="D239" s="433">
        <v>10</v>
      </c>
      <c r="E239" s="434" t="s">
        <v>113</v>
      </c>
      <c r="F239" s="435">
        <v>82700</v>
      </c>
      <c r="G239" s="468">
        <f t="shared" si="4"/>
        <v>827000</v>
      </c>
    </row>
    <row r="240" spans="2:11" ht="66.599999999999994" customHeight="1" x14ac:dyDescent="0.35">
      <c r="B240" s="431" t="s">
        <v>39</v>
      </c>
      <c r="C240" s="467" t="s">
        <v>639</v>
      </c>
      <c r="D240" s="433">
        <v>2</v>
      </c>
      <c r="E240" s="434" t="s">
        <v>113</v>
      </c>
      <c r="F240" s="435">
        <v>314500</v>
      </c>
      <c r="G240" s="468">
        <f t="shared" si="4"/>
        <v>629000</v>
      </c>
    </row>
    <row r="241" spans="2:11" ht="54" customHeight="1" x14ac:dyDescent="0.35">
      <c r="B241" s="431" t="s">
        <v>40</v>
      </c>
      <c r="C241" s="467" t="s">
        <v>673</v>
      </c>
      <c r="D241" s="433">
        <v>2</v>
      </c>
      <c r="E241" s="434" t="s">
        <v>113</v>
      </c>
      <c r="F241" s="435">
        <v>331000</v>
      </c>
      <c r="G241" s="468">
        <f t="shared" si="4"/>
        <v>662000</v>
      </c>
    </row>
    <row r="242" spans="2:11" ht="52.8" customHeight="1" x14ac:dyDescent="0.35">
      <c r="B242" s="431" t="s">
        <v>15</v>
      </c>
      <c r="C242" s="467" t="s">
        <v>641</v>
      </c>
      <c r="D242" s="433">
        <v>1</v>
      </c>
      <c r="E242" s="434" t="s">
        <v>113</v>
      </c>
      <c r="F242" s="435">
        <v>198600</v>
      </c>
      <c r="G242" s="468">
        <f t="shared" si="4"/>
        <v>198600</v>
      </c>
    </row>
    <row r="243" spans="2:11" ht="37.799999999999997" customHeight="1" x14ac:dyDescent="0.35">
      <c r="B243" s="431" t="s">
        <v>16</v>
      </c>
      <c r="C243" s="467" t="s">
        <v>642</v>
      </c>
      <c r="D243" s="433">
        <v>8</v>
      </c>
      <c r="E243" s="434" t="s">
        <v>113</v>
      </c>
      <c r="F243" s="435">
        <v>82700</v>
      </c>
      <c r="G243" s="468">
        <f t="shared" si="4"/>
        <v>661600</v>
      </c>
    </row>
    <row r="244" spans="2:11" ht="37.799999999999997" customHeight="1" x14ac:dyDescent="0.35">
      <c r="B244" s="431"/>
      <c r="C244" s="467"/>
      <c r="D244" s="433"/>
      <c r="E244" s="434"/>
      <c r="F244" s="435"/>
      <c r="G244" s="468"/>
    </row>
    <row r="245" spans="2:11" ht="37.799999999999997" customHeight="1" x14ac:dyDescent="0.35">
      <c r="B245" s="431"/>
      <c r="C245" s="467"/>
      <c r="D245" s="433"/>
      <c r="E245" s="434"/>
      <c r="F245" s="435"/>
      <c r="G245" s="468"/>
    </row>
    <row r="246" spans="2:11" ht="51" x14ac:dyDescent="0.35">
      <c r="B246" s="431" t="s">
        <v>31</v>
      </c>
      <c r="C246" s="467" t="s">
        <v>643</v>
      </c>
      <c r="D246" s="433">
        <v>2</v>
      </c>
      <c r="E246" s="434" t="s">
        <v>113</v>
      </c>
      <c r="F246" s="435">
        <v>5959450</v>
      </c>
      <c r="G246" s="468">
        <f t="shared" si="4"/>
        <v>11918900</v>
      </c>
    </row>
    <row r="247" spans="2:11" ht="68.45" customHeight="1" x14ac:dyDescent="0.35">
      <c r="B247" s="431" t="s">
        <v>32</v>
      </c>
      <c r="C247" s="467" t="s">
        <v>644</v>
      </c>
      <c r="D247" s="433">
        <v>2</v>
      </c>
      <c r="E247" s="434" t="s">
        <v>113</v>
      </c>
      <c r="F247" s="435">
        <v>1059450</v>
      </c>
      <c r="G247" s="468">
        <f t="shared" si="4"/>
        <v>2118900</v>
      </c>
    </row>
    <row r="248" spans="2:11" ht="66.599999999999994" customHeight="1" x14ac:dyDescent="0.35">
      <c r="B248" s="431" t="s">
        <v>33</v>
      </c>
      <c r="C248" s="467" t="s">
        <v>645</v>
      </c>
      <c r="D248" s="433">
        <v>2</v>
      </c>
      <c r="E248" s="434" t="s">
        <v>113</v>
      </c>
      <c r="F248" s="435">
        <v>744900</v>
      </c>
      <c r="G248" s="468">
        <f t="shared" si="4"/>
        <v>1489800</v>
      </c>
    </row>
    <row r="249" spans="2:11" ht="51.6" customHeight="1" x14ac:dyDescent="0.35">
      <c r="B249" s="431" t="s">
        <v>34</v>
      </c>
      <c r="C249" s="467" t="s">
        <v>646</v>
      </c>
      <c r="D249" s="433">
        <v>2</v>
      </c>
      <c r="E249" s="434" t="s">
        <v>113</v>
      </c>
      <c r="F249" s="435">
        <v>645600</v>
      </c>
      <c r="G249" s="468">
        <f t="shared" si="4"/>
        <v>1291200</v>
      </c>
    </row>
    <row r="250" spans="2:11" ht="21.95" customHeight="1" x14ac:dyDescent="0.35">
      <c r="B250" s="431"/>
      <c r="C250" s="437" t="s">
        <v>647</v>
      </c>
      <c r="D250" s="433"/>
      <c r="E250" s="434"/>
      <c r="F250" s="435"/>
      <c r="G250" s="468"/>
      <c r="J250" s="451"/>
      <c r="K250" s="452"/>
    </row>
    <row r="251" spans="2:11" ht="85.8" customHeight="1" x14ac:dyDescent="0.35">
      <c r="B251" s="431"/>
      <c r="C251" s="437" t="s">
        <v>648</v>
      </c>
      <c r="D251" s="433"/>
      <c r="E251" s="434"/>
      <c r="F251" s="466"/>
      <c r="G251" s="468"/>
    </row>
    <row r="252" spans="2:11" ht="22.05" customHeight="1" x14ac:dyDescent="0.35">
      <c r="B252" s="431" t="s">
        <v>35</v>
      </c>
      <c r="C252" s="467" t="s">
        <v>649</v>
      </c>
      <c r="D252" s="433">
        <v>8</v>
      </c>
      <c r="E252" s="434" t="s">
        <v>112</v>
      </c>
      <c r="F252" s="435">
        <v>115800</v>
      </c>
      <c r="G252" s="468">
        <f t="shared" si="4"/>
        <v>926400</v>
      </c>
    </row>
    <row r="253" spans="2:11" ht="22.05" customHeight="1" x14ac:dyDescent="0.35">
      <c r="B253" s="431" t="s">
        <v>36</v>
      </c>
      <c r="C253" s="467" t="s">
        <v>650</v>
      </c>
      <c r="D253" s="433">
        <v>2</v>
      </c>
      <c r="E253" s="434" t="s">
        <v>113</v>
      </c>
      <c r="F253" s="435">
        <v>43000</v>
      </c>
      <c r="G253" s="468">
        <f t="shared" si="4"/>
        <v>86000</v>
      </c>
    </row>
    <row r="254" spans="2:11" ht="22.05" customHeight="1" x14ac:dyDescent="0.35">
      <c r="B254" s="431" t="s">
        <v>114</v>
      </c>
      <c r="C254" s="467" t="s">
        <v>651</v>
      </c>
      <c r="D254" s="433">
        <v>12</v>
      </c>
      <c r="E254" s="434" t="s">
        <v>112</v>
      </c>
      <c r="F254" s="435">
        <v>43000</v>
      </c>
      <c r="G254" s="468">
        <f t="shared" si="4"/>
        <v>516000</v>
      </c>
    </row>
    <row r="255" spans="2:11" ht="22.05" customHeight="1" x14ac:dyDescent="0.35">
      <c r="B255" s="431" t="s">
        <v>39</v>
      </c>
      <c r="C255" s="467" t="s">
        <v>652</v>
      </c>
      <c r="D255" s="433">
        <v>12</v>
      </c>
      <c r="E255" s="434" t="s">
        <v>112</v>
      </c>
      <c r="F255" s="435">
        <v>36400</v>
      </c>
      <c r="G255" s="468">
        <f t="shared" si="4"/>
        <v>436800</v>
      </c>
    </row>
    <row r="256" spans="2:11" ht="22.05" customHeight="1" x14ac:dyDescent="0.35">
      <c r="B256" s="431" t="s">
        <v>40</v>
      </c>
      <c r="C256" s="467" t="s">
        <v>653</v>
      </c>
      <c r="D256" s="433">
        <v>48</v>
      </c>
      <c r="E256" s="434" t="s">
        <v>112</v>
      </c>
      <c r="F256" s="435">
        <v>43000</v>
      </c>
      <c r="G256" s="468">
        <f t="shared" si="4"/>
        <v>2064000</v>
      </c>
    </row>
    <row r="257" spans="2:11" ht="22.05" customHeight="1" x14ac:dyDescent="0.35">
      <c r="B257" s="431" t="s">
        <v>15</v>
      </c>
      <c r="C257" s="467" t="s">
        <v>654</v>
      </c>
      <c r="D257" s="433">
        <v>60</v>
      </c>
      <c r="E257" s="434" t="s">
        <v>112</v>
      </c>
      <c r="F257" s="435">
        <v>36400</v>
      </c>
      <c r="G257" s="468">
        <f t="shared" si="4"/>
        <v>2184000</v>
      </c>
    </row>
    <row r="258" spans="2:11" ht="22.05" customHeight="1" x14ac:dyDescent="0.35">
      <c r="B258" s="431" t="s">
        <v>16</v>
      </c>
      <c r="C258" s="467" t="s">
        <v>655</v>
      </c>
      <c r="D258" s="433">
        <v>54</v>
      </c>
      <c r="E258" s="434" t="s">
        <v>112</v>
      </c>
      <c r="F258" s="435">
        <v>29700</v>
      </c>
      <c r="G258" s="468">
        <f t="shared" si="4"/>
        <v>1603800</v>
      </c>
    </row>
    <row r="259" spans="2:11" ht="22.05" customHeight="1" x14ac:dyDescent="0.35">
      <c r="B259" s="431" t="s">
        <v>89</v>
      </c>
      <c r="C259" s="467" t="s">
        <v>656</v>
      </c>
      <c r="D259" s="433">
        <v>48</v>
      </c>
      <c r="E259" s="434" t="s">
        <v>112</v>
      </c>
      <c r="F259" s="435">
        <v>23100</v>
      </c>
      <c r="G259" s="468">
        <f t="shared" si="4"/>
        <v>1108800</v>
      </c>
    </row>
    <row r="260" spans="2:11" ht="22.05" customHeight="1" x14ac:dyDescent="0.35">
      <c r="B260" s="431" t="s">
        <v>17</v>
      </c>
      <c r="C260" s="467" t="s">
        <v>657</v>
      </c>
      <c r="D260" s="433">
        <v>60</v>
      </c>
      <c r="E260" s="434" t="s">
        <v>112</v>
      </c>
      <c r="F260" s="435">
        <v>13200</v>
      </c>
      <c r="G260" s="468">
        <f t="shared" si="4"/>
        <v>792000</v>
      </c>
    </row>
    <row r="261" spans="2:11" ht="22.05" customHeight="1" x14ac:dyDescent="0.35">
      <c r="B261" s="431" t="s">
        <v>90</v>
      </c>
      <c r="C261" s="467" t="s">
        <v>658</v>
      </c>
      <c r="D261" s="433">
        <v>2</v>
      </c>
      <c r="E261" s="434" t="s">
        <v>113</v>
      </c>
      <c r="F261" s="435">
        <v>165500</v>
      </c>
      <c r="G261" s="468">
        <f t="shared" si="4"/>
        <v>331000</v>
      </c>
    </row>
    <row r="262" spans="2:11" ht="22.05" customHeight="1" x14ac:dyDescent="0.35">
      <c r="B262" s="431" t="s">
        <v>88</v>
      </c>
      <c r="C262" s="467" t="s">
        <v>659</v>
      </c>
      <c r="D262" s="433">
        <v>2</v>
      </c>
      <c r="E262" s="434" t="s">
        <v>113</v>
      </c>
      <c r="F262" s="435">
        <v>109250</v>
      </c>
      <c r="G262" s="468">
        <f t="shared" si="4"/>
        <v>218500</v>
      </c>
    </row>
    <row r="263" spans="2:11" ht="22.05" customHeight="1" x14ac:dyDescent="0.35">
      <c r="B263" s="431" t="s">
        <v>251</v>
      </c>
      <c r="C263" s="467" t="s">
        <v>660</v>
      </c>
      <c r="D263" s="433">
        <v>4</v>
      </c>
      <c r="E263" s="434" t="s">
        <v>113</v>
      </c>
      <c r="F263" s="435">
        <v>165500</v>
      </c>
      <c r="G263" s="468">
        <f t="shared" si="4"/>
        <v>662000</v>
      </c>
    </row>
    <row r="264" spans="2:11" ht="22.05" customHeight="1" x14ac:dyDescent="0.35">
      <c r="B264" s="431" t="s">
        <v>255</v>
      </c>
      <c r="C264" s="467" t="s">
        <v>661</v>
      </c>
      <c r="D264" s="433">
        <v>2</v>
      </c>
      <c r="E264" s="434" t="s">
        <v>113</v>
      </c>
      <c r="F264" s="435">
        <v>109250</v>
      </c>
      <c r="G264" s="468">
        <f t="shared" si="4"/>
        <v>218500</v>
      </c>
    </row>
    <row r="265" spans="2:11" ht="22.05" customHeight="1" x14ac:dyDescent="0.35">
      <c r="B265" s="431" t="s">
        <v>510</v>
      </c>
      <c r="C265" s="467" t="s">
        <v>662</v>
      </c>
      <c r="D265" s="433">
        <v>4</v>
      </c>
      <c r="E265" s="434" t="s">
        <v>113</v>
      </c>
      <c r="F265" s="435">
        <v>66200</v>
      </c>
      <c r="G265" s="468">
        <f t="shared" si="4"/>
        <v>264800</v>
      </c>
    </row>
    <row r="266" spans="2:11" ht="22.05" customHeight="1" x14ac:dyDescent="0.35">
      <c r="B266" s="431" t="s">
        <v>511</v>
      </c>
      <c r="C266" s="467" t="s">
        <v>663</v>
      </c>
      <c r="D266" s="433">
        <v>8</v>
      </c>
      <c r="E266" s="434" t="s">
        <v>113</v>
      </c>
      <c r="F266" s="435">
        <v>39700</v>
      </c>
      <c r="G266" s="468">
        <f t="shared" si="4"/>
        <v>317600</v>
      </c>
    </row>
    <row r="267" spans="2:11" ht="22.05" customHeight="1" x14ac:dyDescent="0.35">
      <c r="B267" s="431" t="s">
        <v>512</v>
      </c>
      <c r="C267" s="467" t="s">
        <v>664</v>
      </c>
      <c r="D267" s="433">
        <v>20</v>
      </c>
      <c r="E267" s="434" t="s">
        <v>113</v>
      </c>
      <c r="F267" s="435">
        <v>16550</v>
      </c>
      <c r="G267" s="468">
        <f t="shared" si="4"/>
        <v>331000</v>
      </c>
    </row>
    <row r="268" spans="2:11" ht="37.25" customHeight="1" x14ac:dyDescent="0.35">
      <c r="B268" s="431" t="s">
        <v>513</v>
      </c>
      <c r="C268" s="467" t="s">
        <v>665</v>
      </c>
      <c r="D268" s="433">
        <v>20</v>
      </c>
      <c r="E268" s="434" t="s">
        <v>113</v>
      </c>
      <c r="F268" s="435">
        <v>16550</v>
      </c>
      <c r="G268" s="468">
        <f t="shared" si="4"/>
        <v>331000</v>
      </c>
    </row>
    <row r="269" spans="2:11" ht="22.05" customHeight="1" x14ac:dyDescent="0.35">
      <c r="B269" s="431"/>
      <c r="C269" s="467"/>
      <c r="D269" s="433"/>
      <c r="E269" s="434"/>
      <c r="F269" s="435"/>
      <c r="G269" s="468"/>
    </row>
    <row r="270" spans="2:11" ht="22.05" customHeight="1" x14ac:dyDescent="0.35">
      <c r="B270" s="431"/>
      <c r="C270" s="467"/>
      <c r="D270" s="433"/>
      <c r="E270" s="434"/>
      <c r="F270" s="435"/>
      <c r="G270" s="468"/>
    </row>
    <row r="271" spans="2:11" ht="22.05" customHeight="1" x14ac:dyDescent="0.35">
      <c r="B271" s="431"/>
      <c r="C271" s="467"/>
      <c r="D271" s="433"/>
      <c r="E271" s="434"/>
      <c r="F271" s="435"/>
      <c r="G271" s="468"/>
    </row>
    <row r="272" spans="2:11" ht="21.95" customHeight="1" x14ac:dyDescent="0.35">
      <c r="B272" s="431"/>
      <c r="C272" s="437" t="s">
        <v>666</v>
      </c>
      <c r="D272" s="433"/>
      <c r="E272" s="434"/>
      <c r="F272" s="435"/>
      <c r="G272" s="468"/>
      <c r="J272" s="451"/>
      <c r="K272" s="452"/>
    </row>
    <row r="273" spans="2:7" ht="85.8" customHeight="1" x14ac:dyDescent="0.35">
      <c r="B273" s="431"/>
      <c r="C273" s="437" t="s">
        <v>667</v>
      </c>
      <c r="D273" s="433"/>
      <c r="E273" s="434"/>
      <c r="F273" s="466"/>
      <c r="G273" s="468"/>
    </row>
    <row r="274" spans="2:7" ht="22.05" customHeight="1" x14ac:dyDescent="0.35">
      <c r="B274" s="431" t="s">
        <v>31</v>
      </c>
      <c r="C274" s="467" t="s">
        <v>668</v>
      </c>
      <c r="D274" s="433">
        <v>18</v>
      </c>
      <c r="E274" s="434" t="s">
        <v>112</v>
      </c>
      <c r="F274" s="435">
        <v>82700</v>
      </c>
      <c r="G274" s="468">
        <f t="shared" si="4"/>
        <v>1488600</v>
      </c>
    </row>
    <row r="275" spans="2:7" ht="22.05" customHeight="1" x14ac:dyDescent="0.35">
      <c r="B275" s="431" t="s">
        <v>32</v>
      </c>
      <c r="C275" s="467" t="s">
        <v>669</v>
      </c>
      <c r="D275" s="433">
        <v>28</v>
      </c>
      <c r="E275" s="434" t="s">
        <v>112</v>
      </c>
      <c r="F275" s="435">
        <v>59500</v>
      </c>
      <c r="G275" s="468">
        <f t="shared" si="4"/>
        <v>1666000</v>
      </c>
    </row>
    <row r="276" spans="2:7" x14ac:dyDescent="0.35">
      <c r="B276" s="431" t="s">
        <v>33</v>
      </c>
      <c r="C276" s="467" t="s">
        <v>670</v>
      </c>
      <c r="D276" s="433">
        <v>48</v>
      </c>
      <c r="E276" s="434" t="s">
        <v>112</v>
      </c>
      <c r="F276" s="435">
        <v>26400</v>
      </c>
      <c r="G276" s="468">
        <f t="shared" si="4"/>
        <v>1267200</v>
      </c>
    </row>
    <row r="277" spans="2:7" x14ac:dyDescent="0.35">
      <c r="B277" s="431" t="s">
        <v>34</v>
      </c>
      <c r="C277" s="467" t="s">
        <v>671</v>
      </c>
      <c r="D277" s="433">
        <v>24</v>
      </c>
      <c r="E277" s="434" t="s">
        <v>112</v>
      </c>
      <c r="F277" s="435">
        <v>16550</v>
      </c>
      <c r="G277" s="468">
        <f t="shared" si="4"/>
        <v>397200</v>
      </c>
    </row>
    <row r="278" spans="2:7" ht="22.05" customHeight="1" x14ac:dyDescent="0.35">
      <c r="B278" s="431" t="s">
        <v>35</v>
      </c>
      <c r="C278" s="467" t="s">
        <v>672</v>
      </c>
      <c r="D278" s="433">
        <v>10</v>
      </c>
      <c r="E278" s="434" t="s">
        <v>113</v>
      </c>
      <c r="F278" s="435">
        <v>82700</v>
      </c>
      <c r="G278" s="468">
        <f t="shared" si="4"/>
        <v>827000</v>
      </c>
    </row>
    <row r="279" spans="2:7" ht="25.05" customHeight="1" x14ac:dyDescent="0.35">
      <c r="B279" s="431"/>
      <c r="C279" s="467"/>
      <c r="D279" s="433"/>
      <c r="E279" s="434"/>
      <c r="F279" s="435"/>
      <c r="G279" s="468"/>
    </row>
    <row r="280" spans="2:7" ht="25.05" customHeight="1" x14ac:dyDescent="0.35">
      <c r="B280" s="431"/>
      <c r="C280" s="467"/>
      <c r="D280" s="433"/>
      <c r="E280" s="434"/>
      <c r="F280" s="435"/>
      <c r="G280" s="468"/>
    </row>
    <row r="281" spans="2:7" ht="25.05" customHeight="1" x14ac:dyDescent="0.35">
      <c r="B281" s="431"/>
      <c r="C281" s="467"/>
      <c r="D281" s="433"/>
      <c r="E281" s="434"/>
      <c r="F281" s="435"/>
      <c r="G281" s="468"/>
    </row>
    <row r="282" spans="2:7" ht="25.05" customHeight="1" x14ac:dyDescent="0.35">
      <c r="B282" s="431"/>
      <c r="C282" s="467"/>
      <c r="D282" s="433"/>
      <c r="E282" s="434"/>
      <c r="F282" s="435"/>
      <c r="G282" s="468"/>
    </row>
    <row r="283" spans="2:7" ht="25.05" customHeight="1" x14ac:dyDescent="0.35">
      <c r="B283" s="431"/>
      <c r="C283" s="467"/>
      <c r="D283" s="433"/>
      <c r="E283" s="434"/>
      <c r="F283" s="435"/>
      <c r="G283" s="468"/>
    </row>
    <row r="284" spans="2:7" ht="25.05" customHeight="1" x14ac:dyDescent="0.35">
      <c r="B284" s="431"/>
      <c r="C284" s="467"/>
      <c r="D284" s="433"/>
      <c r="E284" s="434"/>
      <c r="F284" s="435"/>
      <c r="G284" s="468"/>
    </row>
    <row r="285" spans="2:7" ht="25.05" customHeight="1" x14ac:dyDescent="0.35">
      <c r="B285" s="431"/>
      <c r="C285" s="467"/>
      <c r="D285" s="433"/>
      <c r="E285" s="434"/>
      <c r="F285" s="435"/>
      <c r="G285" s="468"/>
    </row>
    <row r="286" spans="2:7" ht="25.05" customHeight="1" x14ac:dyDescent="0.35">
      <c r="B286" s="431"/>
      <c r="C286" s="467"/>
      <c r="D286" s="433"/>
      <c r="E286" s="434"/>
      <c r="F286" s="435"/>
      <c r="G286" s="468"/>
    </row>
    <row r="287" spans="2:7" ht="25.05" customHeight="1" x14ac:dyDescent="0.35">
      <c r="B287" s="431"/>
      <c r="C287" s="467"/>
      <c r="D287" s="433"/>
      <c r="E287" s="434"/>
      <c r="F287" s="435"/>
      <c r="G287" s="468"/>
    </row>
    <row r="288" spans="2:7" ht="25.05" customHeight="1" x14ac:dyDescent="0.35">
      <c r="B288" s="431"/>
      <c r="C288" s="467"/>
      <c r="D288" s="433"/>
      <c r="E288" s="434"/>
      <c r="F288" s="435"/>
      <c r="G288" s="468"/>
    </row>
    <row r="289" spans="2:11" ht="25.05" customHeight="1" x14ac:dyDescent="0.35">
      <c r="B289" s="431"/>
      <c r="C289" s="467"/>
      <c r="D289" s="433"/>
      <c r="E289" s="434"/>
      <c r="F289" s="435"/>
      <c r="G289" s="468"/>
    </row>
    <row r="290" spans="2:11" ht="25.05" customHeight="1" x14ac:dyDescent="0.35">
      <c r="B290" s="431"/>
      <c r="C290" s="467"/>
      <c r="D290" s="433"/>
      <c r="E290" s="434"/>
      <c r="F290" s="435"/>
      <c r="G290" s="468"/>
    </row>
    <row r="291" spans="2:11" ht="25.05" customHeight="1" x14ac:dyDescent="0.35">
      <c r="B291" s="431"/>
      <c r="C291" s="467"/>
      <c r="D291" s="433"/>
      <c r="E291" s="434"/>
      <c r="F291" s="435"/>
      <c r="G291" s="468"/>
    </row>
    <row r="292" spans="2:11" ht="25.05" customHeight="1" x14ac:dyDescent="0.35">
      <c r="B292" s="431"/>
      <c r="C292" s="467"/>
      <c r="D292" s="433"/>
      <c r="E292" s="434"/>
      <c r="F292" s="435"/>
      <c r="G292" s="468"/>
    </row>
    <row r="293" spans="2:11" ht="25.05" customHeight="1" x14ac:dyDescent="0.35">
      <c r="B293" s="431"/>
      <c r="C293" s="467"/>
      <c r="D293" s="433"/>
      <c r="E293" s="434"/>
      <c r="F293" s="435"/>
      <c r="G293" s="468"/>
    </row>
    <row r="294" spans="2:11" ht="25.05" customHeight="1" x14ac:dyDescent="0.35">
      <c r="B294" s="431"/>
      <c r="C294" s="467"/>
      <c r="D294" s="433"/>
      <c r="E294" s="434"/>
      <c r="F294" s="435"/>
      <c r="G294" s="468"/>
    </row>
    <row r="295" spans="2:11" ht="20.45" customHeight="1" x14ac:dyDescent="0.35">
      <c r="B295" s="431"/>
      <c r="C295" s="467"/>
      <c r="D295" s="433"/>
      <c r="E295" s="434"/>
      <c r="F295" s="435"/>
      <c r="G295" s="468"/>
    </row>
    <row r="296" spans="2:11" ht="25.05" customHeight="1" x14ac:dyDescent="0.35">
      <c r="B296" s="431"/>
      <c r="C296" s="467"/>
      <c r="D296" s="433"/>
      <c r="E296" s="434"/>
      <c r="F296" s="435"/>
      <c r="G296" s="468"/>
    </row>
    <row r="297" spans="2:11" ht="25.05" customHeight="1" x14ac:dyDescent="0.35">
      <c r="B297" s="431"/>
      <c r="C297" s="467"/>
      <c r="D297" s="433"/>
      <c r="E297" s="434"/>
      <c r="F297" s="435"/>
      <c r="G297" s="468"/>
    </row>
    <row r="298" spans="2:11" ht="25.05" customHeight="1" x14ac:dyDescent="0.35">
      <c r="B298" s="431"/>
      <c r="C298" s="467"/>
      <c r="D298" s="433"/>
      <c r="E298" s="434"/>
      <c r="F298" s="435"/>
      <c r="G298" s="468"/>
    </row>
    <row r="299" spans="2:11" ht="25.05" customHeight="1" x14ac:dyDescent="0.35">
      <c r="B299" s="431"/>
      <c r="C299" s="467"/>
      <c r="D299" s="433"/>
      <c r="E299" s="434"/>
      <c r="F299" s="435"/>
      <c r="G299" s="468"/>
    </row>
    <row r="300" spans="2:11" ht="25.05" customHeight="1" x14ac:dyDescent="0.35">
      <c r="B300" s="431"/>
      <c r="C300" s="467"/>
      <c r="D300" s="433"/>
      <c r="E300" s="434"/>
      <c r="F300" s="435"/>
      <c r="G300" s="468"/>
    </row>
    <row r="301" spans="2:11" ht="25.05" customHeight="1" x14ac:dyDescent="0.35">
      <c r="B301" s="431"/>
      <c r="C301" s="467"/>
      <c r="D301" s="433"/>
      <c r="E301" s="434"/>
      <c r="F301" s="435"/>
      <c r="G301" s="468"/>
    </row>
    <row r="302" spans="2:11" s="444" customFormat="1" ht="30" customHeight="1" thickBot="1" x14ac:dyDescent="0.4">
      <c r="B302" s="445"/>
      <c r="C302" s="453" t="s">
        <v>55</v>
      </c>
      <c r="D302" s="447"/>
      <c r="E302" s="448"/>
      <c r="F302" s="454"/>
      <c r="G302" s="455">
        <f>SUM(G233:G280)</f>
        <v>66339600</v>
      </c>
      <c r="H302" s="418"/>
      <c r="J302" s="451"/>
      <c r="K302" s="452"/>
    </row>
    <row r="303" spans="2:11" s="456" customFormat="1" ht="30" customHeight="1" thickTop="1" x14ac:dyDescent="0.35">
      <c r="B303" s="457"/>
      <c r="C303" s="458" t="s">
        <v>962</v>
      </c>
      <c r="D303" s="459"/>
      <c r="E303" s="459"/>
      <c r="F303" s="460"/>
      <c r="G303" s="461"/>
      <c r="H303" s="418"/>
      <c r="J303" s="451"/>
      <c r="K303" s="452"/>
    </row>
    <row r="304" spans="2:11" ht="22.05" customHeight="1" x14ac:dyDescent="0.35">
      <c r="B304" s="431"/>
      <c r="C304" s="432" t="s">
        <v>523</v>
      </c>
      <c r="D304" s="433"/>
      <c r="E304" s="434"/>
      <c r="F304" s="466"/>
      <c r="G304" s="436"/>
    </row>
    <row r="305" spans="2:11" ht="22.05" customHeight="1" x14ac:dyDescent="0.35">
      <c r="B305" s="431"/>
      <c r="C305" s="432" t="s">
        <v>524</v>
      </c>
      <c r="D305" s="433"/>
      <c r="E305" s="434"/>
      <c r="F305" s="466"/>
      <c r="G305" s="436"/>
    </row>
    <row r="306" spans="2:11" ht="22.05" customHeight="1" x14ac:dyDescent="0.35">
      <c r="B306" s="431"/>
      <c r="C306" s="432" t="s">
        <v>520</v>
      </c>
      <c r="D306" s="433"/>
      <c r="E306" s="434"/>
      <c r="F306" s="466"/>
      <c r="G306" s="436"/>
    </row>
    <row r="307" spans="2:11" ht="22.05" customHeight="1" x14ac:dyDescent="0.35">
      <c r="B307" s="431"/>
      <c r="C307" s="432" t="s">
        <v>1234</v>
      </c>
      <c r="D307" s="433"/>
      <c r="E307" s="434"/>
      <c r="F307" s="466"/>
      <c r="G307" s="436"/>
    </row>
    <row r="308" spans="2:11" ht="21.95" customHeight="1" x14ac:dyDescent="0.35">
      <c r="B308" s="431"/>
      <c r="C308" s="437" t="s">
        <v>632</v>
      </c>
      <c r="D308" s="433"/>
      <c r="E308" s="434"/>
      <c r="F308" s="435"/>
      <c r="G308" s="468"/>
      <c r="J308" s="451"/>
      <c r="K308" s="452"/>
    </row>
    <row r="309" spans="2:11" ht="80.45" customHeight="1" x14ac:dyDescent="0.35">
      <c r="B309" s="431" t="s">
        <v>31</v>
      </c>
      <c r="C309" s="467" t="s">
        <v>633</v>
      </c>
      <c r="D309" s="433">
        <v>10</v>
      </c>
      <c r="E309" s="434" t="s">
        <v>113</v>
      </c>
      <c r="F309" s="435">
        <v>678700</v>
      </c>
      <c r="G309" s="468">
        <f>F309*D309</f>
        <v>6787000</v>
      </c>
    </row>
    <row r="310" spans="2:11" ht="83.45" customHeight="1" x14ac:dyDescent="0.35">
      <c r="B310" s="431" t="s">
        <v>32</v>
      </c>
      <c r="C310" s="467" t="s">
        <v>634</v>
      </c>
      <c r="D310" s="433">
        <v>10</v>
      </c>
      <c r="E310" s="434" t="s">
        <v>113</v>
      </c>
      <c r="F310" s="435">
        <v>595900</v>
      </c>
      <c r="G310" s="468">
        <f t="shared" ref="G310:G319" si="5">F310*D310</f>
        <v>5959000</v>
      </c>
    </row>
    <row r="311" spans="2:11" ht="38.25" x14ac:dyDescent="0.35">
      <c r="B311" s="431" t="s">
        <v>33</v>
      </c>
      <c r="C311" s="467" t="s">
        <v>635</v>
      </c>
      <c r="D311" s="433">
        <v>8</v>
      </c>
      <c r="E311" s="434" t="s">
        <v>113</v>
      </c>
      <c r="F311" s="435">
        <v>678700</v>
      </c>
      <c r="G311" s="468">
        <f t="shared" si="5"/>
        <v>5429600</v>
      </c>
    </row>
    <row r="312" spans="2:11" ht="82.25" customHeight="1" x14ac:dyDescent="0.35">
      <c r="B312" s="431" t="s">
        <v>34</v>
      </c>
      <c r="C312" s="467" t="s">
        <v>674</v>
      </c>
      <c r="D312" s="433">
        <v>8</v>
      </c>
      <c r="E312" s="434" t="s">
        <v>113</v>
      </c>
      <c r="F312" s="435">
        <v>678700</v>
      </c>
      <c r="G312" s="468">
        <f t="shared" si="5"/>
        <v>5429600</v>
      </c>
    </row>
    <row r="313" spans="2:11" ht="66.599999999999994" customHeight="1" x14ac:dyDescent="0.35">
      <c r="B313" s="431" t="s">
        <v>35</v>
      </c>
      <c r="C313" s="467" t="s">
        <v>636</v>
      </c>
      <c r="D313" s="433">
        <v>8</v>
      </c>
      <c r="E313" s="434" t="s">
        <v>113</v>
      </c>
      <c r="F313" s="435">
        <v>347600</v>
      </c>
      <c r="G313" s="468">
        <f t="shared" si="5"/>
        <v>2780800</v>
      </c>
    </row>
    <row r="314" spans="2:11" ht="51.6" customHeight="1" x14ac:dyDescent="0.35">
      <c r="B314" s="431" t="s">
        <v>36</v>
      </c>
      <c r="C314" s="467" t="s">
        <v>637</v>
      </c>
      <c r="D314" s="433">
        <v>8</v>
      </c>
      <c r="E314" s="434" t="s">
        <v>113</v>
      </c>
      <c r="F314" s="435">
        <v>264800</v>
      </c>
      <c r="G314" s="468">
        <f t="shared" si="5"/>
        <v>2118400</v>
      </c>
    </row>
    <row r="315" spans="2:11" ht="52.8" customHeight="1" x14ac:dyDescent="0.35">
      <c r="B315" s="431" t="s">
        <v>114</v>
      </c>
      <c r="C315" s="467" t="s">
        <v>638</v>
      </c>
      <c r="D315" s="433">
        <v>10</v>
      </c>
      <c r="E315" s="434" t="s">
        <v>113</v>
      </c>
      <c r="F315" s="435">
        <v>82700</v>
      </c>
      <c r="G315" s="468">
        <f t="shared" si="5"/>
        <v>827000</v>
      </c>
    </row>
    <row r="316" spans="2:11" ht="66.599999999999994" customHeight="1" x14ac:dyDescent="0.35">
      <c r="B316" s="431" t="s">
        <v>39</v>
      </c>
      <c r="C316" s="467" t="s">
        <v>639</v>
      </c>
      <c r="D316" s="433">
        <v>2</v>
      </c>
      <c r="E316" s="434" t="s">
        <v>113</v>
      </c>
      <c r="F316" s="435">
        <v>314500</v>
      </c>
      <c r="G316" s="468">
        <f t="shared" si="5"/>
        <v>629000</v>
      </c>
    </row>
    <row r="317" spans="2:11" ht="54" customHeight="1" x14ac:dyDescent="0.35">
      <c r="B317" s="431" t="s">
        <v>40</v>
      </c>
      <c r="C317" s="467" t="s">
        <v>673</v>
      </c>
      <c r="D317" s="433">
        <v>2</v>
      </c>
      <c r="E317" s="434" t="s">
        <v>113</v>
      </c>
      <c r="F317" s="435">
        <v>331000</v>
      </c>
      <c r="G317" s="468">
        <f t="shared" si="5"/>
        <v>662000</v>
      </c>
    </row>
    <row r="318" spans="2:11" ht="52.8" customHeight="1" x14ac:dyDescent="0.35">
      <c r="B318" s="431" t="s">
        <v>15</v>
      </c>
      <c r="C318" s="467" t="s">
        <v>641</v>
      </c>
      <c r="D318" s="433">
        <v>1</v>
      </c>
      <c r="E318" s="434" t="s">
        <v>113</v>
      </c>
      <c r="F318" s="435">
        <v>198600</v>
      </c>
      <c r="G318" s="468">
        <f t="shared" si="5"/>
        <v>198600</v>
      </c>
    </row>
    <row r="319" spans="2:11" ht="37.799999999999997" customHeight="1" x14ac:dyDescent="0.35">
      <c r="B319" s="431" t="s">
        <v>16</v>
      </c>
      <c r="C319" s="467" t="s">
        <v>642</v>
      </c>
      <c r="D319" s="433">
        <v>8</v>
      </c>
      <c r="E319" s="434" t="s">
        <v>113</v>
      </c>
      <c r="F319" s="435">
        <v>82700</v>
      </c>
      <c r="G319" s="468">
        <f t="shared" si="5"/>
        <v>661600</v>
      </c>
    </row>
    <row r="320" spans="2:11" ht="37.799999999999997" customHeight="1" x14ac:dyDescent="0.35">
      <c r="B320" s="431"/>
      <c r="C320" s="467"/>
      <c r="D320" s="433"/>
      <c r="E320" s="434"/>
      <c r="F320" s="435"/>
      <c r="G320" s="468"/>
    </row>
    <row r="321" spans="2:11" ht="21.4" customHeight="1" x14ac:dyDescent="0.35">
      <c r="B321" s="431"/>
      <c r="C321" s="467"/>
      <c r="D321" s="433"/>
      <c r="E321" s="434"/>
      <c r="F321" s="435"/>
      <c r="G321" s="468"/>
    </row>
    <row r="322" spans="2:11" ht="51" x14ac:dyDescent="0.35">
      <c r="B322" s="431" t="s">
        <v>31</v>
      </c>
      <c r="C322" s="467" t="s">
        <v>643</v>
      </c>
      <c r="D322" s="433">
        <v>2</v>
      </c>
      <c r="E322" s="434" t="s">
        <v>113</v>
      </c>
      <c r="F322" s="435">
        <v>5959450</v>
      </c>
      <c r="G322" s="468">
        <f t="shared" ref="G322:G325" si="6">F322*D322</f>
        <v>11918900</v>
      </c>
    </row>
    <row r="323" spans="2:11" ht="68.45" customHeight="1" x14ac:dyDescent="0.35">
      <c r="B323" s="431" t="s">
        <v>32</v>
      </c>
      <c r="C323" s="467" t="s">
        <v>644</v>
      </c>
      <c r="D323" s="433">
        <v>2</v>
      </c>
      <c r="E323" s="434" t="s">
        <v>113</v>
      </c>
      <c r="F323" s="435">
        <v>1059450</v>
      </c>
      <c r="G323" s="468">
        <f t="shared" si="6"/>
        <v>2118900</v>
      </c>
    </row>
    <row r="324" spans="2:11" ht="66.599999999999994" customHeight="1" x14ac:dyDescent="0.35">
      <c r="B324" s="431" t="s">
        <v>33</v>
      </c>
      <c r="C324" s="467" t="s">
        <v>645</v>
      </c>
      <c r="D324" s="433">
        <v>2</v>
      </c>
      <c r="E324" s="434" t="s">
        <v>113</v>
      </c>
      <c r="F324" s="435">
        <v>744900</v>
      </c>
      <c r="G324" s="468">
        <f t="shared" si="6"/>
        <v>1489800</v>
      </c>
    </row>
    <row r="325" spans="2:11" ht="51.6" customHeight="1" x14ac:dyDescent="0.35">
      <c r="B325" s="431" t="s">
        <v>34</v>
      </c>
      <c r="C325" s="467" t="s">
        <v>646</v>
      </c>
      <c r="D325" s="433">
        <v>2</v>
      </c>
      <c r="E325" s="434" t="s">
        <v>113</v>
      </c>
      <c r="F325" s="435">
        <v>645600</v>
      </c>
      <c r="G325" s="468">
        <f t="shared" si="6"/>
        <v>1291200</v>
      </c>
    </row>
    <row r="326" spans="2:11" ht="21.95" customHeight="1" x14ac:dyDescent="0.35">
      <c r="B326" s="431"/>
      <c r="C326" s="437" t="s">
        <v>647</v>
      </c>
      <c r="D326" s="433"/>
      <c r="E326" s="434"/>
      <c r="F326" s="435"/>
      <c r="G326" s="468"/>
      <c r="J326" s="451"/>
      <c r="K326" s="452"/>
    </row>
    <row r="327" spans="2:11" ht="85.8" customHeight="1" x14ac:dyDescent="0.35">
      <c r="B327" s="431"/>
      <c r="C327" s="437" t="s">
        <v>648</v>
      </c>
      <c r="D327" s="433"/>
      <c r="E327" s="434"/>
      <c r="F327" s="466"/>
      <c r="G327" s="468"/>
    </row>
    <row r="328" spans="2:11" ht="22.05" customHeight="1" x14ac:dyDescent="0.35">
      <c r="B328" s="431" t="s">
        <v>35</v>
      </c>
      <c r="C328" s="467" t="s">
        <v>649</v>
      </c>
      <c r="D328" s="433">
        <v>8</v>
      </c>
      <c r="E328" s="434" t="s">
        <v>112</v>
      </c>
      <c r="F328" s="435">
        <v>115800</v>
      </c>
      <c r="G328" s="468">
        <f t="shared" ref="G328:G344" si="7">F328*D328</f>
        <v>926400</v>
      </c>
    </row>
    <row r="329" spans="2:11" ht="22.05" customHeight="1" x14ac:dyDescent="0.35">
      <c r="B329" s="431" t="s">
        <v>36</v>
      </c>
      <c r="C329" s="467" t="s">
        <v>650</v>
      </c>
      <c r="D329" s="433">
        <v>2</v>
      </c>
      <c r="E329" s="434" t="s">
        <v>113</v>
      </c>
      <c r="F329" s="435">
        <v>43000</v>
      </c>
      <c r="G329" s="468">
        <f t="shared" si="7"/>
        <v>86000</v>
      </c>
    </row>
    <row r="330" spans="2:11" ht="22.05" customHeight="1" x14ac:dyDescent="0.35">
      <c r="B330" s="431" t="s">
        <v>114</v>
      </c>
      <c r="C330" s="467" t="s">
        <v>651</v>
      </c>
      <c r="D330" s="433">
        <v>12</v>
      </c>
      <c r="E330" s="434" t="s">
        <v>112</v>
      </c>
      <c r="F330" s="435">
        <v>43000</v>
      </c>
      <c r="G330" s="468">
        <f t="shared" si="7"/>
        <v>516000</v>
      </c>
    </row>
    <row r="331" spans="2:11" ht="22.05" customHeight="1" x14ac:dyDescent="0.35">
      <c r="B331" s="431" t="s">
        <v>39</v>
      </c>
      <c r="C331" s="467" t="s">
        <v>652</v>
      </c>
      <c r="D331" s="433">
        <v>12</v>
      </c>
      <c r="E331" s="434" t="s">
        <v>112</v>
      </c>
      <c r="F331" s="435">
        <v>36400</v>
      </c>
      <c r="G331" s="468">
        <f t="shared" si="7"/>
        <v>436800</v>
      </c>
    </row>
    <row r="332" spans="2:11" ht="22.05" customHeight="1" x14ac:dyDescent="0.35">
      <c r="B332" s="431" t="s">
        <v>40</v>
      </c>
      <c r="C332" s="467" t="s">
        <v>653</v>
      </c>
      <c r="D332" s="433">
        <v>48</v>
      </c>
      <c r="E332" s="434" t="s">
        <v>112</v>
      </c>
      <c r="F332" s="435">
        <v>43000</v>
      </c>
      <c r="G332" s="468">
        <f t="shared" si="7"/>
        <v>2064000</v>
      </c>
    </row>
    <row r="333" spans="2:11" ht="22.05" customHeight="1" x14ac:dyDescent="0.35">
      <c r="B333" s="431" t="s">
        <v>15</v>
      </c>
      <c r="C333" s="467" t="s">
        <v>654</v>
      </c>
      <c r="D333" s="433">
        <v>60</v>
      </c>
      <c r="E333" s="434" t="s">
        <v>112</v>
      </c>
      <c r="F333" s="435">
        <v>36400</v>
      </c>
      <c r="G333" s="468">
        <f t="shared" si="7"/>
        <v>2184000</v>
      </c>
    </row>
    <row r="334" spans="2:11" ht="22.05" customHeight="1" x14ac:dyDescent="0.35">
      <c r="B334" s="431" t="s">
        <v>16</v>
      </c>
      <c r="C334" s="467" t="s">
        <v>655</v>
      </c>
      <c r="D334" s="433">
        <v>54</v>
      </c>
      <c r="E334" s="434" t="s">
        <v>112</v>
      </c>
      <c r="F334" s="435">
        <v>29700</v>
      </c>
      <c r="G334" s="468">
        <f t="shared" si="7"/>
        <v>1603800</v>
      </c>
    </row>
    <row r="335" spans="2:11" ht="22.05" customHeight="1" x14ac:dyDescent="0.35">
      <c r="B335" s="431" t="s">
        <v>89</v>
      </c>
      <c r="C335" s="467" t="s">
        <v>656</v>
      </c>
      <c r="D335" s="433">
        <v>48</v>
      </c>
      <c r="E335" s="434" t="s">
        <v>112</v>
      </c>
      <c r="F335" s="435">
        <v>23100</v>
      </c>
      <c r="G335" s="468">
        <f t="shared" si="7"/>
        <v>1108800</v>
      </c>
    </row>
    <row r="336" spans="2:11" ht="22.05" customHeight="1" x14ac:dyDescent="0.35">
      <c r="B336" s="431" t="s">
        <v>17</v>
      </c>
      <c r="C336" s="467" t="s">
        <v>657</v>
      </c>
      <c r="D336" s="433">
        <v>60</v>
      </c>
      <c r="E336" s="434" t="s">
        <v>112</v>
      </c>
      <c r="F336" s="435">
        <v>13200</v>
      </c>
      <c r="G336" s="468">
        <f t="shared" si="7"/>
        <v>792000</v>
      </c>
    </row>
    <row r="337" spans="2:11" ht="22.05" customHeight="1" x14ac:dyDescent="0.35">
      <c r="B337" s="431" t="s">
        <v>90</v>
      </c>
      <c r="C337" s="467" t="s">
        <v>658</v>
      </c>
      <c r="D337" s="433">
        <v>2</v>
      </c>
      <c r="E337" s="434" t="s">
        <v>113</v>
      </c>
      <c r="F337" s="435">
        <v>165500</v>
      </c>
      <c r="G337" s="468">
        <f t="shared" si="7"/>
        <v>331000</v>
      </c>
    </row>
    <row r="338" spans="2:11" ht="22.05" customHeight="1" x14ac:dyDescent="0.35">
      <c r="B338" s="431" t="s">
        <v>88</v>
      </c>
      <c r="C338" s="467" t="s">
        <v>659</v>
      </c>
      <c r="D338" s="433">
        <v>2</v>
      </c>
      <c r="E338" s="434" t="s">
        <v>113</v>
      </c>
      <c r="F338" s="435">
        <v>109250</v>
      </c>
      <c r="G338" s="468">
        <f t="shared" si="7"/>
        <v>218500</v>
      </c>
    </row>
    <row r="339" spans="2:11" ht="22.05" customHeight="1" x14ac:dyDescent="0.35">
      <c r="B339" s="431" t="s">
        <v>251</v>
      </c>
      <c r="C339" s="467" t="s">
        <v>660</v>
      </c>
      <c r="D339" s="433">
        <v>4</v>
      </c>
      <c r="E339" s="434" t="s">
        <v>113</v>
      </c>
      <c r="F339" s="435">
        <v>165500</v>
      </c>
      <c r="G339" s="468">
        <f t="shared" si="7"/>
        <v>662000</v>
      </c>
    </row>
    <row r="340" spans="2:11" ht="22.05" customHeight="1" x14ac:dyDescent="0.35">
      <c r="B340" s="431" t="s">
        <v>255</v>
      </c>
      <c r="C340" s="467" t="s">
        <v>661</v>
      </c>
      <c r="D340" s="433">
        <v>2</v>
      </c>
      <c r="E340" s="434" t="s">
        <v>113</v>
      </c>
      <c r="F340" s="435">
        <v>109250</v>
      </c>
      <c r="G340" s="468">
        <f t="shared" si="7"/>
        <v>218500</v>
      </c>
    </row>
    <row r="341" spans="2:11" ht="22.05" customHeight="1" x14ac:dyDescent="0.35">
      <c r="B341" s="431" t="s">
        <v>510</v>
      </c>
      <c r="C341" s="467" t="s">
        <v>662</v>
      </c>
      <c r="D341" s="433">
        <v>4</v>
      </c>
      <c r="E341" s="434" t="s">
        <v>113</v>
      </c>
      <c r="F341" s="435">
        <v>66200</v>
      </c>
      <c r="G341" s="468">
        <f t="shared" si="7"/>
        <v>264800</v>
      </c>
    </row>
    <row r="342" spans="2:11" ht="22.05" customHeight="1" x14ac:dyDescent="0.35">
      <c r="B342" s="431" t="s">
        <v>511</v>
      </c>
      <c r="C342" s="467" t="s">
        <v>663</v>
      </c>
      <c r="D342" s="433">
        <v>8</v>
      </c>
      <c r="E342" s="434" t="s">
        <v>113</v>
      </c>
      <c r="F342" s="435">
        <v>39700</v>
      </c>
      <c r="G342" s="468">
        <f t="shared" si="7"/>
        <v>317600</v>
      </c>
    </row>
    <row r="343" spans="2:11" ht="22.05" customHeight="1" x14ac:dyDescent="0.35">
      <c r="B343" s="431" t="s">
        <v>512</v>
      </c>
      <c r="C343" s="467" t="s">
        <v>664</v>
      </c>
      <c r="D343" s="433">
        <v>20</v>
      </c>
      <c r="E343" s="434" t="s">
        <v>113</v>
      </c>
      <c r="F343" s="435">
        <v>16550</v>
      </c>
      <c r="G343" s="468">
        <f t="shared" si="7"/>
        <v>331000</v>
      </c>
    </row>
    <row r="344" spans="2:11" ht="37.25" customHeight="1" x14ac:dyDescent="0.35">
      <c r="B344" s="431" t="s">
        <v>513</v>
      </c>
      <c r="C344" s="467" t="s">
        <v>665</v>
      </c>
      <c r="D344" s="433">
        <v>20</v>
      </c>
      <c r="E344" s="434" t="s">
        <v>113</v>
      </c>
      <c r="F344" s="435">
        <v>16550</v>
      </c>
      <c r="G344" s="468">
        <f t="shared" si="7"/>
        <v>331000</v>
      </c>
    </row>
    <row r="345" spans="2:11" ht="22.05" customHeight="1" x14ac:dyDescent="0.35">
      <c r="B345" s="431"/>
      <c r="C345" s="467"/>
      <c r="D345" s="433"/>
      <c r="E345" s="434"/>
      <c r="F345" s="435"/>
      <c r="G345" s="468"/>
    </row>
    <row r="346" spans="2:11" ht="22.05" customHeight="1" x14ac:dyDescent="0.35">
      <c r="B346" s="431"/>
      <c r="C346" s="467"/>
      <c r="D346" s="433"/>
      <c r="E346" s="434"/>
      <c r="F346" s="435"/>
      <c r="G346" s="468"/>
    </row>
    <row r="347" spans="2:11" ht="22.05" customHeight="1" x14ac:dyDescent="0.35">
      <c r="B347" s="431"/>
      <c r="C347" s="467"/>
      <c r="D347" s="433"/>
      <c r="E347" s="434"/>
      <c r="F347" s="435"/>
      <c r="G347" s="468"/>
    </row>
    <row r="348" spans="2:11" ht="21.95" customHeight="1" x14ac:dyDescent="0.35">
      <c r="B348" s="431"/>
      <c r="C348" s="437" t="s">
        <v>666</v>
      </c>
      <c r="D348" s="433"/>
      <c r="E348" s="434"/>
      <c r="F348" s="435"/>
      <c r="G348" s="468"/>
      <c r="J348" s="451"/>
      <c r="K348" s="452"/>
    </row>
    <row r="349" spans="2:11" ht="85.8" customHeight="1" x14ac:dyDescent="0.35">
      <c r="B349" s="431"/>
      <c r="C349" s="437" t="s">
        <v>667</v>
      </c>
      <c r="D349" s="433"/>
      <c r="E349" s="434"/>
      <c r="F349" s="466"/>
      <c r="G349" s="468"/>
    </row>
    <row r="350" spans="2:11" ht="22.05" customHeight="1" x14ac:dyDescent="0.35">
      <c r="B350" s="431" t="s">
        <v>31</v>
      </c>
      <c r="C350" s="467" t="s">
        <v>668</v>
      </c>
      <c r="D350" s="433">
        <v>18</v>
      </c>
      <c r="E350" s="434" t="s">
        <v>112</v>
      </c>
      <c r="F350" s="435">
        <v>82700</v>
      </c>
      <c r="G350" s="468">
        <f t="shared" ref="G350:G354" si="8">F350*D350</f>
        <v>1488600</v>
      </c>
    </row>
    <row r="351" spans="2:11" ht="22.05" customHeight="1" x14ac:dyDescent="0.35">
      <c r="B351" s="431" t="s">
        <v>32</v>
      </c>
      <c r="C351" s="467" t="s">
        <v>669</v>
      </c>
      <c r="D351" s="433">
        <v>28</v>
      </c>
      <c r="E351" s="434" t="s">
        <v>112</v>
      </c>
      <c r="F351" s="435">
        <v>59500</v>
      </c>
      <c r="G351" s="468">
        <f t="shared" si="8"/>
        <v>1666000</v>
      </c>
    </row>
    <row r="352" spans="2:11" x14ac:dyDescent="0.35">
      <c r="B352" s="431" t="s">
        <v>33</v>
      </c>
      <c r="C352" s="467" t="s">
        <v>670</v>
      </c>
      <c r="D352" s="433">
        <v>48</v>
      </c>
      <c r="E352" s="434" t="s">
        <v>112</v>
      </c>
      <c r="F352" s="435">
        <v>26400</v>
      </c>
      <c r="G352" s="468">
        <f t="shared" si="8"/>
        <v>1267200</v>
      </c>
    </row>
    <row r="353" spans="2:7" x14ac:dyDescent="0.35">
      <c r="B353" s="431" t="s">
        <v>34</v>
      </c>
      <c r="C353" s="467" t="s">
        <v>671</v>
      </c>
      <c r="D353" s="433">
        <v>24</v>
      </c>
      <c r="E353" s="434" t="s">
        <v>112</v>
      </c>
      <c r="F353" s="435">
        <v>16550</v>
      </c>
      <c r="G353" s="468">
        <f t="shared" si="8"/>
        <v>397200</v>
      </c>
    </row>
    <row r="354" spans="2:7" ht="22.05" customHeight="1" x14ac:dyDescent="0.35">
      <c r="B354" s="431" t="s">
        <v>35</v>
      </c>
      <c r="C354" s="467" t="s">
        <v>672</v>
      </c>
      <c r="D354" s="433">
        <v>10</v>
      </c>
      <c r="E354" s="434" t="s">
        <v>113</v>
      </c>
      <c r="F354" s="435">
        <v>82700</v>
      </c>
      <c r="G354" s="468">
        <f t="shared" si="8"/>
        <v>827000</v>
      </c>
    </row>
    <row r="355" spans="2:7" ht="25.05" customHeight="1" x14ac:dyDescent="0.35">
      <c r="B355" s="431"/>
      <c r="C355" s="467"/>
      <c r="D355" s="433"/>
      <c r="E355" s="434"/>
      <c r="F355" s="435"/>
      <c r="G355" s="468"/>
    </row>
    <row r="356" spans="2:7" ht="25.05" customHeight="1" x14ac:dyDescent="0.35">
      <c r="B356" s="431"/>
      <c r="C356" s="467"/>
      <c r="D356" s="433"/>
      <c r="E356" s="434"/>
      <c r="F356" s="435"/>
      <c r="G356" s="468"/>
    </row>
    <row r="357" spans="2:7" ht="25.05" customHeight="1" x14ac:dyDescent="0.35">
      <c r="B357" s="431"/>
      <c r="C357" s="467"/>
      <c r="D357" s="433"/>
      <c r="E357" s="434"/>
      <c r="F357" s="435"/>
      <c r="G357" s="468"/>
    </row>
    <row r="358" spans="2:7" ht="25.05" customHeight="1" x14ac:dyDescent="0.35">
      <c r="B358" s="431"/>
      <c r="C358" s="467"/>
      <c r="D358" s="433"/>
      <c r="E358" s="434"/>
      <c r="F358" s="435"/>
      <c r="G358" s="468"/>
    </row>
    <row r="359" spans="2:7" ht="25.05" customHeight="1" x14ac:dyDescent="0.35">
      <c r="B359" s="431"/>
      <c r="C359" s="467"/>
      <c r="D359" s="433"/>
      <c r="E359" s="434"/>
      <c r="F359" s="435"/>
      <c r="G359" s="468"/>
    </row>
    <row r="360" spans="2:7" ht="25.05" customHeight="1" x14ac:dyDescent="0.35">
      <c r="B360" s="431"/>
      <c r="C360" s="467"/>
      <c r="D360" s="433"/>
      <c r="E360" s="434"/>
      <c r="F360" s="435"/>
      <c r="G360" s="468"/>
    </row>
    <row r="361" spans="2:7" ht="25.05" customHeight="1" x14ac:dyDescent="0.35">
      <c r="B361" s="431"/>
      <c r="C361" s="467"/>
      <c r="D361" s="433"/>
      <c r="E361" s="434"/>
      <c r="F361" s="435"/>
      <c r="G361" s="468"/>
    </row>
    <row r="362" spans="2:7" ht="25.05" customHeight="1" x14ac:dyDescent="0.35">
      <c r="B362" s="431"/>
      <c r="C362" s="467"/>
      <c r="D362" s="433"/>
      <c r="E362" s="434"/>
      <c r="F362" s="435"/>
      <c r="G362" s="468"/>
    </row>
    <row r="363" spans="2:7" ht="25.05" customHeight="1" x14ac:dyDescent="0.35">
      <c r="B363" s="431"/>
      <c r="C363" s="467"/>
      <c r="D363" s="433"/>
      <c r="E363" s="434"/>
      <c r="F363" s="435"/>
      <c r="G363" s="468"/>
    </row>
    <row r="364" spans="2:7" ht="25.05" customHeight="1" x14ac:dyDescent="0.35">
      <c r="B364" s="431"/>
      <c r="C364" s="467"/>
      <c r="D364" s="433"/>
      <c r="E364" s="434"/>
      <c r="F364" s="435"/>
      <c r="G364" s="468"/>
    </row>
    <row r="365" spans="2:7" ht="25.05" customHeight="1" x14ac:dyDescent="0.35">
      <c r="B365" s="431"/>
      <c r="C365" s="467"/>
      <c r="D365" s="433"/>
      <c r="E365" s="434"/>
      <c r="F365" s="435"/>
      <c r="G365" s="468"/>
    </row>
    <row r="366" spans="2:7" ht="25.05" customHeight="1" x14ac:dyDescent="0.35">
      <c r="B366" s="431"/>
      <c r="C366" s="467"/>
      <c r="D366" s="433"/>
      <c r="E366" s="434"/>
      <c r="F366" s="435"/>
      <c r="G366" s="468"/>
    </row>
    <row r="367" spans="2:7" ht="25.05" customHeight="1" x14ac:dyDescent="0.35">
      <c r="B367" s="431"/>
      <c r="C367" s="467"/>
      <c r="D367" s="433"/>
      <c r="E367" s="434"/>
      <c r="F367" s="435"/>
      <c r="G367" s="468"/>
    </row>
    <row r="368" spans="2:7" ht="25.05" customHeight="1" x14ac:dyDescent="0.35">
      <c r="B368" s="431"/>
      <c r="C368" s="467"/>
      <c r="D368" s="433"/>
      <c r="E368" s="434"/>
      <c r="F368" s="435"/>
      <c r="G368" s="468"/>
    </row>
    <row r="369" spans="2:11" ht="25.05" customHeight="1" x14ac:dyDescent="0.35">
      <c r="B369" s="431"/>
      <c r="C369" s="467"/>
      <c r="D369" s="433"/>
      <c r="E369" s="434"/>
      <c r="F369" s="435"/>
      <c r="G369" s="468"/>
    </row>
    <row r="370" spans="2:11" ht="25.05" customHeight="1" x14ac:dyDescent="0.35">
      <c r="B370" s="431"/>
      <c r="C370" s="467"/>
      <c r="D370" s="433"/>
      <c r="E370" s="434"/>
      <c r="F370" s="435"/>
      <c r="G370" s="468"/>
    </row>
    <row r="371" spans="2:11" ht="20.45" customHeight="1" x14ac:dyDescent="0.35">
      <c r="B371" s="431"/>
      <c r="C371" s="467"/>
      <c r="D371" s="433"/>
      <c r="E371" s="434"/>
      <c r="F371" s="435"/>
      <c r="G371" s="468"/>
    </row>
    <row r="372" spans="2:11" ht="25.05" customHeight="1" x14ac:dyDescent="0.35">
      <c r="B372" s="431"/>
      <c r="C372" s="467"/>
      <c r="D372" s="433"/>
      <c r="E372" s="434"/>
      <c r="F372" s="435"/>
      <c r="G372" s="468"/>
    </row>
    <row r="373" spans="2:11" ht="25.05" customHeight="1" x14ac:dyDescent="0.35">
      <c r="B373" s="431"/>
      <c r="C373" s="467"/>
      <c r="D373" s="433"/>
      <c r="E373" s="434"/>
      <c r="F373" s="435"/>
      <c r="G373" s="468"/>
    </row>
    <row r="374" spans="2:11" ht="25.05" customHeight="1" x14ac:dyDescent="0.35">
      <c r="B374" s="431"/>
      <c r="C374" s="467"/>
      <c r="D374" s="433"/>
      <c r="E374" s="434"/>
      <c r="F374" s="435"/>
      <c r="G374" s="468"/>
    </row>
    <row r="375" spans="2:11" ht="25.05" customHeight="1" x14ac:dyDescent="0.35">
      <c r="B375" s="431"/>
      <c r="C375" s="467"/>
      <c r="D375" s="433"/>
      <c r="E375" s="434"/>
      <c r="F375" s="435"/>
      <c r="G375" s="468"/>
    </row>
    <row r="376" spans="2:11" ht="25.05" customHeight="1" x14ac:dyDescent="0.35">
      <c r="B376" s="431"/>
      <c r="C376" s="467"/>
      <c r="D376" s="433"/>
      <c r="E376" s="434"/>
      <c r="F376" s="435"/>
      <c r="G376" s="468"/>
    </row>
    <row r="377" spans="2:11" ht="25.05" customHeight="1" x14ac:dyDescent="0.35">
      <c r="B377" s="431"/>
      <c r="C377" s="467"/>
      <c r="D377" s="433"/>
      <c r="E377" s="434"/>
      <c r="F377" s="435"/>
      <c r="G377" s="468"/>
    </row>
    <row r="378" spans="2:11" s="444" customFormat="1" ht="30" customHeight="1" thickBot="1" x14ac:dyDescent="0.4">
      <c r="B378" s="445"/>
      <c r="C378" s="453" t="s">
        <v>55</v>
      </c>
      <c r="D378" s="447"/>
      <c r="E378" s="448"/>
      <c r="F378" s="454"/>
      <c r="G378" s="455">
        <f>SUM(G309:G356)</f>
        <v>66339600</v>
      </c>
      <c r="H378" s="418"/>
      <c r="J378" s="451"/>
      <c r="K378" s="452"/>
    </row>
    <row r="379" spans="2:11" s="456" customFormat="1" ht="30" customHeight="1" thickTop="1" x14ac:dyDescent="0.35">
      <c r="B379" s="457"/>
      <c r="C379" s="458" t="s">
        <v>962</v>
      </c>
      <c r="D379" s="459"/>
      <c r="E379" s="459"/>
      <c r="F379" s="460"/>
      <c r="G379" s="461"/>
      <c r="H379" s="418"/>
      <c r="J379" s="451"/>
      <c r="K379" s="452"/>
    </row>
    <row r="380" spans="2:11" ht="22.05" customHeight="1" x14ac:dyDescent="0.35">
      <c r="B380" s="431"/>
      <c r="C380" s="432" t="s">
        <v>523</v>
      </c>
      <c r="D380" s="433"/>
      <c r="E380" s="434"/>
      <c r="F380" s="466"/>
      <c r="G380" s="436"/>
    </row>
    <row r="381" spans="2:11" ht="22.05" customHeight="1" x14ac:dyDescent="0.35">
      <c r="B381" s="431"/>
      <c r="C381" s="432" t="s">
        <v>524</v>
      </c>
      <c r="D381" s="433"/>
      <c r="E381" s="434"/>
      <c r="F381" s="466"/>
      <c r="G381" s="436"/>
    </row>
    <row r="382" spans="2:11" ht="22.05" customHeight="1" x14ac:dyDescent="0.35">
      <c r="B382" s="431"/>
      <c r="C382" s="432" t="s">
        <v>520</v>
      </c>
      <c r="D382" s="433"/>
      <c r="E382" s="434"/>
      <c r="F382" s="466"/>
      <c r="G382" s="436"/>
    </row>
    <row r="383" spans="2:11" ht="22.05" customHeight="1" x14ac:dyDescent="0.35">
      <c r="B383" s="431"/>
      <c r="C383" s="432" t="s">
        <v>1235</v>
      </c>
      <c r="D383" s="433"/>
      <c r="E383" s="434"/>
      <c r="F383" s="466"/>
      <c r="G383" s="436"/>
    </row>
    <row r="384" spans="2:11" ht="21.95" customHeight="1" x14ac:dyDescent="0.35">
      <c r="B384" s="431"/>
      <c r="C384" s="437" t="s">
        <v>632</v>
      </c>
      <c r="D384" s="433"/>
      <c r="E384" s="434"/>
      <c r="F384" s="435"/>
      <c r="G384" s="468"/>
      <c r="J384" s="451"/>
      <c r="K384" s="452"/>
    </row>
    <row r="385" spans="2:7" ht="80.45" customHeight="1" x14ac:dyDescent="0.35">
      <c r="B385" s="431" t="s">
        <v>31</v>
      </c>
      <c r="C385" s="467" t="s">
        <v>633</v>
      </c>
      <c r="D385" s="433">
        <v>12</v>
      </c>
      <c r="E385" s="434" t="s">
        <v>113</v>
      </c>
      <c r="F385" s="435">
        <v>678700</v>
      </c>
      <c r="G385" s="468">
        <f>F385*D385</f>
        <v>8144400</v>
      </c>
    </row>
    <row r="386" spans="2:7" ht="83.45" customHeight="1" x14ac:dyDescent="0.35">
      <c r="B386" s="431" t="s">
        <v>32</v>
      </c>
      <c r="C386" s="467" t="s">
        <v>634</v>
      </c>
      <c r="D386" s="433">
        <v>12</v>
      </c>
      <c r="E386" s="434" t="s">
        <v>113</v>
      </c>
      <c r="F386" s="435">
        <v>595900</v>
      </c>
      <c r="G386" s="468">
        <f t="shared" ref="G386:G395" si="9">F386*D386</f>
        <v>7150800</v>
      </c>
    </row>
    <row r="387" spans="2:7" ht="38.25" x14ac:dyDescent="0.35">
      <c r="B387" s="431" t="s">
        <v>33</v>
      </c>
      <c r="C387" s="467" t="s">
        <v>635</v>
      </c>
      <c r="D387" s="433">
        <v>10</v>
      </c>
      <c r="E387" s="434" t="s">
        <v>113</v>
      </c>
      <c r="F387" s="435">
        <v>678700</v>
      </c>
      <c r="G387" s="468">
        <f t="shared" si="9"/>
        <v>6787000</v>
      </c>
    </row>
    <row r="388" spans="2:7" ht="82.25" customHeight="1" x14ac:dyDescent="0.35">
      <c r="B388" s="431" t="s">
        <v>34</v>
      </c>
      <c r="C388" s="467" t="s">
        <v>674</v>
      </c>
      <c r="D388" s="433">
        <v>10</v>
      </c>
      <c r="E388" s="434" t="s">
        <v>113</v>
      </c>
      <c r="F388" s="435">
        <v>678700</v>
      </c>
      <c r="G388" s="468">
        <f t="shared" si="9"/>
        <v>6787000</v>
      </c>
    </row>
    <row r="389" spans="2:7" ht="66.599999999999994" customHeight="1" x14ac:dyDescent="0.35">
      <c r="B389" s="431" t="s">
        <v>35</v>
      </c>
      <c r="C389" s="467" t="s">
        <v>636</v>
      </c>
      <c r="D389" s="433">
        <v>10</v>
      </c>
      <c r="E389" s="434" t="s">
        <v>113</v>
      </c>
      <c r="F389" s="435">
        <v>347600</v>
      </c>
      <c r="G389" s="468">
        <f t="shared" si="9"/>
        <v>3476000</v>
      </c>
    </row>
    <row r="390" spans="2:7" ht="51.6" customHeight="1" x14ac:dyDescent="0.35">
      <c r="B390" s="431" t="s">
        <v>36</v>
      </c>
      <c r="C390" s="467" t="s">
        <v>637</v>
      </c>
      <c r="D390" s="433">
        <v>10</v>
      </c>
      <c r="E390" s="434" t="s">
        <v>113</v>
      </c>
      <c r="F390" s="435">
        <v>264800</v>
      </c>
      <c r="G390" s="468">
        <f t="shared" si="9"/>
        <v>2648000</v>
      </c>
    </row>
    <row r="391" spans="2:7" ht="52.8" customHeight="1" x14ac:dyDescent="0.35">
      <c r="B391" s="431" t="s">
        <v>114</v>
      </c>
      <c r="C391" s="467" t="s">
        <v>638</v>
      </c>
      <c r="D391" s="433">
        <v>12</v>
      </c>
      <c r="E391" s="434" t="s">
        <v>113</v>
      </c>
      <c r="F391" s="435">
        <v>82700</v>
      </c>
      <c r="G391" s="468">
        <f t="shared" si="9"/>
        <v>992400</v>
      </c>
    </row>
    <row r="392" spans="2:7" ht="66.599999999999994" customHeight="1" x14ac:dyDescent="0.35">
      <c r="B392" s="431" t="s">
        <v>39</v>
      </c>
      <c r="C392" s="467" t="s">
        <v>639</v>
      </c>
      <c r="D392" s="433">
        <v>2</v>
      </c>
      <c r="E392" s="434" t="s">
        <v>113</v>
      </c>
      <c r="F392" s="435">
        <v>314500</v>
      </c>
      <c r="G392" s="468">
        <f t="shared" si="9"/>
        <v>629000</v>
      </c>
    </row>
    <row r="393" spans="2:7" ht="54" customHeight="1" x14ac:dyDescent="0.35">
      <c r="B393" s="431" t="s">
        <v>40</v>
      </c>
      <c r="C393" s="467" t="s">
        <v>673</v>
      </c>
      <c r="D393" s="433">
        <v>2</v>
      </c>
      <c r="E393" s="434" t="s">
        <v>113</v>
      </c>
      <c r="F393" s="435">
        <v>331000</v>
      </c>
      <c r="G393" s="468">
        <f t="shared" si="9"/>
        <v>662000</v>
      </c>
    </row>
    <row r="394" spans="2:7" ht="52.8" customHeight="1" x14ac:dyDescent="0.35">
      <c r="B394" s="431" t="s">
        <v>15</v>
      </c>
      <c r="C394" s="467" t="s">
        <v>641</v>
      </c>
      <c r="D394" s="433">
        <v>2</v>
      </c>
      <c r="E394" s="434" t="s">
        <v>113</v>
      </c>
      <c r="F394" s="435">
        <v>198600</v>
      </c>
      <c r="G394" s="468">
        <f t="shared" si="9"/>
        <v>397200</v>
      </c>
    </row>
    <row r="395" spans="2:7" ht="37.799999999999997" customHeight="1" x14ac:dyDescent="0.35">
      <c r="B395" s="431" t="s">
        <v>16</v>
      </c>
      <c r="C395" s="467" t="s">
        <v>642</v>
      </c>
      <c r="D395" s="433">
        <v>10</v>
      </c>
      <c r="E395" s="434" t="s">
        <v>113</v>
      </c>
      <c r="F395" s="435">
        <v>82700</v>
      </c>
      <c r="G395" s="468">
        <f t="shared" si="9"/>
        <v>827000</v>
      </c>
    </row>
    <row r="396" spans="2:7" ht="37.799999999999997" customHeight="1" x14ac:dyDescent="0.35">
      <c r="B396" s="431"/>
      <c r="C396" s="467"/>
      <c r="D396" s="433"/>
      <c r="E396" s="434"/>
      <c r="F396" s="435"/>
      <c r="G396" s="468"/>
    </row>
    <row r="397" spans="2:7" ht="37.799999999999997" customHeight="1" x14ac:dyDescent="0.35">
      <c r="B397" s="431"/>
      <c r="C397" s="467"/>
      <c r="D397" s="433"/>
      <c r="E397" s="434"/>
      <c r="F397" s="435"/>
      <c r="G397" s="468"/>
    </row>
    <row r="398" spans="2:7" ht="55.15" customHeight="1" x14ac:dyDescent="0.35">
      <c r="B398" s="431" t="s">
        <v>31</v>
      </c>
      <c r="C398" s="467" t="s">
        <v>643</v>
      </c>
      <c r="D398" s="433">
        <v>2</v>
      </c>
      <c r="E398" s="434" t="s">
        <v>113</v>
      </c>
      <c r="F398" s="435">
        <v>5959450</v>
      </c>
      <c r="G398" s="468">
        <f t="shared" ref="G398:G401" si="10">F398*D398</f>
        <v>11918900</v>
      </c>
    </row>
    <row r="399" spans="2:7" ht="47.65" customHeight="1" x14ac:dyDescent="0.35">
      <c r="B399" s="431" t="s">
        <v>32</v>
      </c>
      <c r="C399" s="467" t="s">
        <v>644</v>
      </c>
      <c r="D399" s="433">
        <v>2</v>
      </c>
      <c r="E399" s="434" t="s">
        <v>113</v>
      </c>
      <c r="F399" s="435">
        <v>1059450</v>
      </c>
      <c r="G399" s="468">
        <f t="shared" si="10"/>
        <v>2118900</v>
      </c>
    </row>
    <row r="400" spans="2:7" ht="48" customHeight="1" x14ac:dyDescent="0.35">
      <c r="B400" s="431" t="s">
        <v>33</v>
      </c>
      <c r="C400" s="467" t="s">
        <v>645</v>
      </c>
      <c r="D400" s="433">
        <v>2</v>
      </c>
      <c r="E400" s="434" t="s">
        <v>113</v>
      </c>
      <c r="F400" s="435">
        <v>744900</v>
      </c>
      <c r="G400" s="468">
        <f t="shared" si="10"/>
        <v>1489800</v>
      </c>
    </row>
    <row r="401" spans="2:11" ht="30.75" customHeight="1" x14ac:dyDescent="0.35">
      <c r="B401" s="431" t="s">
        <v>34</v>
      </c>
      <c r="C401" s="467" t="s">
        <v>646</v>
      </c>
      <c r="D401" s="433">
        <v>2</v>
      </c>
      <c r="E401" s="434" t="s">
        <v>113</v>
      </c>
      <c r="F401" s="435">
        <v>645600</v>
      </c>
      <c r="G401" s="468">
        <f t="shared" si="10"/>
        <v>1291200</v>
      </c>
    </row>
    <row r="402" spans="2:11" ht="21.95" customHeight="1" x14ac:dyDescent="0.35">
      <c r="B402" s="431"/>
      <c r="C402" s="437" t="s">
        <v>647</v>
      </c>
      <c r="D402" s="433"/>
      <c r="E402" s="434"/>
      <c r="F402" s="435"/>
      <c r="G402" s="468"/>
      <c r="J402" s="451"/>
      <c r="K402" s="452"/>
    </row>
    <row r="403" spans="2:11" ht="48.4" customHeight="1" x14ac:dyDescent="0.35">
      <c r="B403" s="431"/>
      <c r="C403" s="437" t="s">
        <v>648</v>
      </c>
      <c r="D403" s="433"/>
      <c r="E403" s="434"/>
      <c r="F403" s="466"/>
      <c r="G403" s="468"/>
    </row>
    <row r="404" spans="2:11" ht="18.850000000000001" customHeight="1" x14ac:dyDescent="0.35">
      <c r="B404" s="431" t="s">
        <v>35</v>
      </c>
      <c r="C404" s="467" t="s">
        <v>649</v>
      </c>
      <c r="D404" s="433">
        <v>8</v>
      </c>
      <c r="E404" s="434" t="s">
        <v>112</v>
      </c>
      <c r="F404" s="435">
        <v>115800</v>
      </c>
      <c r="G404" s="468">
        <f t="shared" ref="G404:G420" si="11">F404*D404</f>
        <v>926400</v>
      </c>
    </row>
    <row r="405" spans="2:11" ht="18.850000000000001" customHeight="1" x14ac:dyDescent="0.35">
      <c r="B405" s="431" t="s">
        <v>36</v>
      </c>
      <c r="C405" s="467" t="s">
        <v>650</v>
      </c>
      <c r="D405" s="433">
        <v>2</v>
      </c>
      <c r="E405" s="434" t="s">
        <v>113</v>
      </c>
      <c r="F405" s="435">
        <v>43000</v>
      </c>
      <c r="G405" s="468">
        <f t="shared" si="11"/>
        <v>86000</v>
      </c>
    </row>
    <row r="406" spans="2:11" ht="18.850000000000001" customHeight="1" x14ac:dyDescent="0.35">
      <c r="B406" s="431" t="s">
        <v>114</v>
      </c>
      <c r="C406" s="467" t="s">
        <v>651</v>
      </c>
      <c r="D406" s="433">
        <v>12</v>
      </c>
      <c r="E406" s="434" t="s">
        <v>112</v>
      </c>
      <c r="F406" s="435">
        <v>43000</v>
      </c>
      <c r="G406" s="468">
        <f t="shared" si="11"/>
        <v>516000</v>
      </c>
    </row>
    <row r="407" spans="2:11" ht="18.850000000000001" customHeight="1" x14ac:dyDescent="0.35">
      <c r="B407" s="431" t="s">
        <v>39</v>
      </c>
      <c r="C407" s="467" t="s">
        <v>652</v>
      </c>
      <c r="D407" s="433">
        <v>12</v>
      </c>
      <c r="E407" s="434" t="s">
        <v>112</v>
      </c>
      <c r="F407" s="435">
        <v>36400</v>
      </c>
      <c r="G407" s="468">
        <f t="shared" si="11"/>
        <v>436800</v>
      </c>
    </row>
    <row r="408" spans="2:11" ht="18.850000000000001" customHeight="1" x14ac:dyDescent="0.35">
      <c r="B408" s="431" t="s">
        <v>40</v>
      </c>
      <c r="C408" s="467" t="s">
        <v>653</v>
      </c>
      <c r="D408" s="433">
        <v>48</v>
      </c>
      <c r="E408" s="434" t="s">
        <v>112</v>
      </c>
      <c r="F408" s="435">
        <v>43000</v>
      </c>
      <c r="G408" s="468">
        <f t="shared" si="11"/>
        <v>2064000</v>
      </c>
    </row>
    <row r="409" spans="2:11" ht="18.850000000000001" customHeight="1" x14ac:dyDescent="0.35">
      <c r="B409" s="431" t="s">
        <v>15</v>
      </c>
      <c r="C409" s="467" t="s">
        <v>654</v>
      </c>
      <c r="D409" s="433">
        <v>60</v>
      </c>
      <c r="E409" s="434" t="s">
        <v>112</v>
      </c>
      <c r="F409" s="435">
        <v>36400</v>
      </c>
      <c r="G409" s="468">
        <f t="shared" si="11"/>
        <v>2184000</v>
      </c>
    </row>
    <row r="410" spans="2:11" ht="18.850000000000001" customHeight="1" x14ac:dyDescent="0.35">
      <c r="B410" s="431" t="s">
        <v>16</v>
      </c>
      <c r="C410" s="467" t="s">
        <v>655</v>
      </c>
      <c r="D410" s="433">
        <v>54</v>
      </c>
      <c r="E410" s="434" t="s">
        <v>112</v>
      </c>
      <c r="F410" s="435">
        <v>29700</v>
      </c>
      <c r="G410" s="468">
        <f t="shared" si="11"/>
        <v>1603800</v>
      </c>
    </row>
    <row r="411" spans="2:11" ht="18.850000000000001" customHeight="1" x14ac:dyDescent="0.35">
      <c r="B411" s="431" t="s">
        <v>89</v>
      </c>
      <c r="C411" s="467" t="s">
        <v>656</v>
      </c>
      <c r="D411" s="433">
        <v>48</v>
      </c>
      <c r="E411" s="434" t="s">
        <v>112</v>
      </c>
      <c r="F411" s="435">
        <v>23100</v>
      </c>
      <c r="G411" s="468">
        <f t="shared" si="11"/>
        <v>1108800</v>
      </c>
    </row>
    <row r="412" spans="2:11" ht="18.850000000000001" customHeight="1" x14ac:dyDescent="0.35">
      <c r="B412" s="431" t="s">
        <v>17</v>
      </c>
      <c r="C412" s="467" t="s">
        <v>657</v>
      </c>
      <c r="D412" s="433">
        <v>60</v>
      </c>
      <c r="E412" s="434" t="s">
        <v>112</v>
      </c>
      <c r="F412" s="435">
        <v>13200</v>
      </c>
      <c r="G412" s="468">
        <f t="shared" si="11"/>
        <v>792000</v>
      </c>
    </row>
    <row r="413" spans="2:11" ht="18.850000000000001" customHeight="1" x14ac:dyDescent="0.35">
      <c r="B413" s="431" t="s">
        <v>90</v>
      </c>
      <c r="C413" s="467" t="s">
        <v>658</v>
      </c>
      <c r="D413" s="433">
        <v>2</v>
      </c>
      <c r="E413" s="434" t="s">
        <v>113</v>
      </c>
      <c r="F413" s="435">
        <v>165500</v>
      </c>
      <c r="G413" s="468">
        <f t="shared" si="11"/>
        <v>331000</v>
      </c>
    </row>
    <row r="414" spans="2:11" ht="18.850000000000001" customHeight="1" x14ac:dyDescent="0.35">
      <c r="B414" s="431" t="s">
        <v>88</v>
      </c>
      <c r="C414" s="467" t="s">
        <v>659</v>
      </c>
      <c r="D414" s="433">
        <v>2</v>
      </c>
      <c r="E414" s="434" t="s">
        <v>113</v>
      </c>
      <c r="F414" s="435">
        <v>109250</v>
      </c>
      <c r="G414" s="468">
        <f t="shared" si="11"/>
        <v>218500</v>
      </c>
    </row>
    <row r="415" spans="2:11" ht="18.850000000000001" customHeight="1" x14ac:dyDescent="0.35">
      <c r="B415" s="431" t="s">
        <v>251</v>
      </c>
      <c r="C415" s="467" t="s">
        <v>660</v>
      </c>
      <c r="D415" s="433">
        <v>4</v>
      </c>
      <c r="E415" s="434" t="s">
        <v>113</v>
      </c>
      <c r="F415" s="435">
        <v>165500</v>
      </c>
      <c r="G415" s="468">
        <f t="shared" si="11"/>
        <v>662000</v>
      </c>
    </row>
    <row r="416" spans="2:11" ht="18.850000000000001" customHeight="1" x14ac:dyDescent="0.35">
      <c r="B416" s="431" t="s">
        <v>255</v>
      </c>
      <c r="C416" s="467" t="s">
        <v>661</v>
      </c>
      <c r="D416" s="433">
        <v>2</v>
      </c>
      <c r="E416" s="434" t="s">
        <v>113</v>
      </c>
      <c r="F416" s="435">
        <v>109250</v>
      </c>
      <c r="G416" s="468">
        <f t="shared" si="11"/>
        <v>218500</v>
      </c>
    </row>
    <row r="417" spans="2:11" ht="18.850000000000001" customHeight="1" x14ac:dyDescent="0.35">
      <c r="B417" s="431" t="s">
        <v>510</v>
      </c>
      <c r="C417" s="467" t="s">
        <v>662</v>
      </c>
      <c r="D417" s="433">
        <v>4</v>
      </c>
      <c r="E417" s="434" t="s">
        <v>113</v>
      </c>
      <c r="F417" s="435">
        <v>66200</v>
      </c>
      <c r="G417" s="468">
        <f t="shared" si="11"/>
        <v>264800</v>
      </c>
    </row>
    <row r="418" spans="2:11" ht="18.850000000000001" customHeight="1" x14ac:dyDescent="0.35">
      <c r="B418" s="431" t="s">
        <v>511</v>
      </c>
      <c r="C418" s="467" t="s">
        <v>663</v>
      </c>
      <c r="D418" s="433">
        <v>8</v>
      </c>
      <c r="E418" s="434" t="s">
        <v>113</v>
      </c>
      <c r="F418" s="435">
        <v>39700</v>
      </c>
      <c r="G418" s="468">
        <f t="shared" si="11"/>
        <v>317600</v>
      </c>
    </row>
    <row r="419" spans="2:11" ht="18.850000000000001" customHeight="1" x14ac:dyDescent="0.35">
      <c r="B419" s="431" t="s">
        <v>512</v>
      </c>
      <c r="C419" s="467" t="s">
        <v>664</v>
      </c>
      <c r="D419" s="433">
        <v>20</v>
      </c>
      <c r="E419" s="434" t="s">
        <v>113</v>
      </c>
      <c r="F419" s="435">
        <v>16550</v>
      </c>
      <c r="G419" s="468">
        <f t="shared" si="11"/>
        <v>331000</v>
      </c>
    </row>
    <row r="420" spans="2:11" ht="37.25" customHeight="1" x14ac:dyDescent="0.35">
      <c r="B420" s="431" t="s">
        <v>513</v>
      </c>
      <c r="C420" s="467" t="s">
        <v>665</v>
      </c>
      <c r="D420" s="433">
        <v>20</v>
      </c>
      <c r="E420" s="434" t="s">
        <v>113</v>
      </c>
      <c r="F420" s="435">
        <v>16550</v>
      </c>
      <c r="G420" s="468">
        <f t="shared" si="11"/>
        <v>331000</v>
      </c>
    </row>
    <row r="421" spans="2:11" ht="21.95" customHeight="1" x14ac:dyDescent="0.35">
      <c r="B421" s="431"/>
      <c r="C421" s="437" t="s">
        <v>666</v>
      </c>
      <c r="D421" s="433"/>
      <c r="E421" s="434"/>
      <c r="F421" s="435"/>
      <c r="G421" s="468"/>
      <c r="J421" s="451"/>
      <c r="K421" s="452"/>
    </row>
    <row r="422" spans="2:11" ht="63.4" customHeight="1" x14ac:dyDescent="0.35">
      <c r="B422" s="431"/>
      <c r="C422" s="437" t="s">
        <v>667</v>
      </c>
      <c r="D422" s="433"/>
      <c r="E422" s="434"/>
      <c r="F422" s="466"/>
      <c r="G422" s="468"/>
    </row>
    <row r="423" spans="2:11" ht="22.05" customHeight="1" x14ac:dyDescent="0.35">
      <c r="B423" s="431" t="s">
        <v>31</v>
      </c>
      <c r="C423" s="467" t="s">
        <v>668</v>
      </c>
      <c r="D423" s="433">
        <v>18</v>
      </c>
      <c r="E423" s="434" t="s">
        <v>112</v>
      </c>
      <c r="F423" s="435">
        <v>82700</v>
      </c>
      <c r="G423" s="468">
        <f t="shared" ref="G423:G427" si="12">F423*D423</f>
        <v>1488600</v>
      </c>
    </row>
    <row r="424" spans="2:11" ht="22.05" customHeight="1" x14ac:dyDescent="0.35">
      <c r="B424" s="431" t="s">
        <v>32</v>
      </c>
      <c r="C424" s="467" t="s">
        <v>669</v>
      </c>
      <c r="D424" s="433">
        <v>28</v>
      </c>
      <c r="E424" s="434" t="s">
        <v>112</v>
      </c>
      <c r="F424" s="435">
        <v>59500</v>
      </c>
      <c r="G424" s="468">
        <f t="shared" si="12"/>
        <v>1666000</v>
      </c>
    </row>
    <row r="425" spans="2:11" x14ac:dyDescent="0.35">
      <c r="B425" s="431" t="s">
        <v>33</v>
      </c>
      <c r="C425" s="467" t="s">
        <v>670</v>
      </c>
      <c r="D425" s="433">
        <v>48</v>
      </c>
      <c r="E425" s="434" t="s">
        <v>112</v>
      </c>
      <c r="F425" s="435">
        <v>26400</v>
      </c>
      <c r="G425" s="468">
        <f t="shared" si="12"/>
        <v>1267200</v>
      </c>
    </row>
    <row r="426" spans="2:11" x14ac:dyDescent="0.35">
      <c r="B426" s="431" t="s">
        <v>34</v>
      </c>
      <c r="C426" s="467" t="s">
        <v>671</v>
      </c>
      <c r="D426" s="433">
        <v>24</v>
      </c>
      <c r="E426" s="434" t="s">
        <v>112</v>
      </c>
      <c r="F426" s="435">
        <v>16550</v>
      </c>
      <c r="G426" s="468">
        <f t="shared" si="12"/>
        <v>397200</v>
      </c>
    </row>
    <row r="427" spans="2:11" ht="22.05" customHeight="1" x14ac:dyDescent="0.35">
      <c r="B427" s="431" t="s">
        <v>35</v>
      </c>
      <c r="C427" s="467" t="s">
        <v>672</v>
      </c>
      <c r="D427" s="433">
        <v>10</v>
      </c>
      <c r="E427" s="434" t="s">
        <v>113</v>
      </c>
      <c r="F427" s="435">
        <v>82700</v>
      </c>
      <c r="G427" s="468">
        <f t="shared" si="12"/>
        <v>827000</v>
      </c>
    </row>
    <row r="428" spans="2:11" ht="25.05" customHeight="1" x14ac:dyDescent="0.35">
      <c r="B428" s="431"/>
      <c r="C428" s="467"/>
      <c r="D428" s="433"/>
      <c r="E428" s="434"/>
      <c r="F428" s="435"/>
      <c r="G428" s="468"/>
    </row>
    <row r="429" spans="2:11" s="444" customFormat="1" ht="30" customHeight="1" thickBot="1" x14ac:dyDescent="0.4">
      <c r="B429" s="445"/>
      <c r="C429" s="453" t="s">
        <v>55</v>
      </c>
      <c r="D429" s="447"/>
      <c r="E429" s="448"/>
      <c r="F429" s="454"/>
      <c r="G429" s="455">
        <f>SUM(G385:G427)</f>
        <v>73357800</v>
      </c>
      <c r="H429" s="418"/>
      <c r="J429" s="451"/>
      <c r="K429" s="452"/>
    </row>
    <row r="430" spans="2:11" s="456" customFormat="1" ht="30" customHeight="1" thickTop="1" x14ac:dyDescent="0.35">
      <c r="B430" s="457"/>
      <c r="C430" s="458" t="s">
        <v>962</v>
      </c>
      <c r="D430" s="459"/>
      <c r="E430" s="459"/>
      <c r="F430" s="460"/>
      <c r="G430" s="461"/>
      <c r="H430" s="418"/>
      <c r="J430" s="451"/>
      <c r="K430" s="452"/>
    </row>
    <row r="431" spans="2:11" ht="22.05" customHeight="1" x14ac:dyDescent="0.35">
      <c r="B431" s="431"/>
      <c r="C431" s="432" t="s">
        <v>523</v>
      </c>
      <c r="D431" s="433"/>
      <c r="E431" s="434"/>
      <c r="F431" s="466"/>
      <c r="G431" s="436"/>
    </row>
    <row r="432" spans="2:11" ht="22.05" customHeight="1" x14ac:dyDescent="0.35">
      <c r="B432" s="431"/>
      <c r="C432" s="432" t="s">
        <v>524</v>
      </c>
      <c r="D432" s="433"/>
      <c r="E432" s="434"/>
      <c r="F432" s="466"/>
      <c r="G432" s="436"/>
    </row>
    <row r="433" spans="2:7" ht="22.05" customHeight="1" x14ac:dyDescent="0.35">
      <c r="B433" s="431"/>
      <c r="C433" s="432" t="s">
        <v>174</v>
      </c>
      <c r="D433" s="433"/>
      <c r="E433" s="434"/>
      <c r="F433" s="466"/>
      <c r="G433" s="436"/>
    </row>
    <row r="434" spans="2:7" ht="22.05" customHeight="1" x14ac:dyDescent="0.35">
      <c r="B434" s="431"/>
      <c r="C434" s="432" t="s">
        <v>963</v>
      </c>
      <c r="D434" s="433"/>
      <c r="E434" s="434"/>
      <c r="F434" s="466"/>
      <c r="G434" s="436"/>
    </row>
    <row r="435" spans="2:7" ht="51" customHeight="1" x14ac:dyDescent="0.35">
      <c r="B435" s="431" t="s">
        <v>31</v>
      </c>
      <c r="C435" s="467" t="s">
        <v>676</v>
      </c>
      <c r="D435" s="433">
        <v>1</v>
      </c>
      <c r="E435" s="434" t="s">
        <v>113</v>
      </c>
      <c r="F435" s="435">
        <v>84000000</v>
      </c>
      <c r="G435" s="468">
        <f>F435*D435</f>
        <v>84000000</v>
      </c>
    </row>
    <row r="436" spans="2:7" ht="65.25" customHeight="1" x14ac:dyDescent="0.35">
      <c r="B436" s="431" t="s">
        <v>32</v>
      </c>
      <c r="C436" s="467" t="s">
        <v>677</v>
      </c>
      <c r="D436" s="433">
        <v>1</v>
      </c>
      <c r="E436" s="434" t="s">
        <v>535</v>
      </c>
      <c r="F436" s="435">
        <v>38000000</v>
      </c>
      <c r="G436" s="468">
        <f t="shared" ref="G436:G442" si="13">F436*D436</f>
        <v>38000000</v>
      </c>
    </row>
    <row r="437" spans="2:7" ht="29.75" customHeight="1" x14ac:dyDescent="0.35">
      <c r="B437" s="431" t="s">
        <v>33</v>
      </c>
      <c r="C437" s="467" t="s">
        <v>678</v>
      </c>
      <c r="D437" s="433">
        <v>80</v>
      </c>
      <c r="E437" s="434" t="s">
        <v>112</v>
      </c>
      <c r="F437" s="435">
        <v>84000</v>
      </c>
      <c r="G437" s="468">
        <f t="shared" si="13"/>
        <v>6720000</v>
      </c>
    </row>
    <row r="438" spans="2:7" ht="29.75" customHeight="1" x14ac:dyDescent="0.35">
      <c r="B438" s="431" t="s">
        <v>34</v>
      </c>
      <c r="C438" s="467" t="s">
        <v>679</v>
      </c>
      <c r="D438" s="433">
        <v>80</v>
      </c>
      <c r="E438" s="434" t="s">
        <v>112</v>
      </c>
      <c r="F438" s="435">
        <v>84000</v>
      </c>
      <c r="G438" s="468">
        <f t="shared" si="13"/>
        <v>6720000</v>
      </c>
    </row>
    <row r="439" spans="2:7" ht="29.75" customHeight="1" x14ac:dyDescent="0.35">
      <c r="B439" s="431" t="s">
        <v>35</v>
      </c>
      <c r="C439" s="467" t="s">
        <v>680</v>
      </c>
      <c r="D439" s="433">
        <v>4</v>
      </c>
      <c r="E439" s="434" t="s">
        <v>113</v>
      </c>
      <c r="F439" s="435">
        <v>420000</v>
      </c>
      <c r="G439" s="468">
        <f t="shared" si="13"/>
        <v>1680000</v>
      </c>
    </row>
    <row r="440" spans="2:7" ht="29.75" customHeight="1" x14ac:dyDescent="0.35">
      <c r="B440" s="431" t="s">
        <v>36</v>
      </c>
      <c r="C440" s="467" t="s">
        <v>681</v>
      </c>
      <c r="D440" s="433">
        <v>4</v>
      </c>
      <c r="E440" s="434" t="s">
        <v>113</v>
      </c>
      <c r="F440" s="435">
        <v>1050000</v>
      </c>
      <c r="G440" s="468">
        <f t="shared" si="13"/>
        <v>4200000</v>
      </c>
    </row>
    <row r="441" spans="2:7" ht="29.75" customHeight="1" x14ac:dyDescent="0.35">
      <c r="B441" s="431" t="s">
        <v>114</v>
      </c>
      <c r="C441" s="467" t="s">
        <v>682</v>
      </c>
      <c r="D441" s="433">
        <v>2</v>
      </c>
      <c r="E441" s="434" t="s">
        <v>113</v>
      </c>
      <c r="F441" s="435">
        <v>630000</v>
      </c>
      <c r="G441" s="468">
        <f t="shared" si="13"/>
        <v>1260000</v>
      </c>
    </row>
    <row r="442" spans="2:7" ht="29.75" customHeight="1" x14ac:dyDescent="0.35">
      <c r="B442" s="431" t="s">
        <v>39</v>
      </c>
      <c r="C442" s="467" t="s">
        <v>683</v>
      </c>
      <c r="D442" s="433">
        <v>2</v>
      </c>
      <c r="E442" s="434" t="s">
        <v>113</v>
      </c>
      <c r="F442" s="435">
        <v>980000</v>
      </c>
      <c r="G442" s="468">
        <f t="shared" si="13"/>
        <v>1960000</v>
      </c>
    </row>
    <row r="443" spans="2:7" ht="25.05" customHeight="1" x14ac:dyDescent="0.35">
      <c r="B443" s="431" t="s">
        <v>40</v>
      </c>
      <c r="C443" s="467" t="s">
        <v>1242</v>
      </c>
      <c r="D443" s="433">
        <v>2</v>
      </c>
      <c r="E443" s="434" t="s">
        <v>113</v>
      </c>
      <c r="F443" s="435">
        <v>2980000</v>
      </c>
      <c r="G443" s="468">
        <f t="shared" ref="G443" si="14">F443*D443</f>
        <v>5960000</v>
      </c>
    </row>
    <row r="444" spans="2:7" ht="25.05" customHeight="1" x14ac:dyDescent="0.35">
      <c r="B444" s="431"/>
      <c r="C444" s="467"/>
      <c r="D444" s="433"/>
      <c r="E444" s="434"/>
      <c r="F444" s="435"/>
      <c r="G444" s="468"/>
    </row>
    <row r="445" spans="2:7" ht="25.05" customHeight="1" x14ac:dyDescent="0.35">
      <c r="B445" s="431"/>
      <c r="C445" s="467"/>
      <c r="D445" s="433"/>
      <c r="E445" s="434"/>
      <c r="F445" s="435"/>
      <c r="G445" s="468"/>
    </row>
    <row r="446" spans="2:7" ht="25.05" customHeight="1" x14ac:dyDescent="0.35">
      <c r="B446" s="431"/>
      <c r="C446" s="467"/>
      <c r="D446" s="433"/>
      <c r="E446" s="434"/>
      <c r="F446" s="435"/>
      <c r="G446" s="468"/>
    </row>
    <row r="447" spans="2:7" ht="31.25" customHeight="1" x14ac:dyDescent="0.35">
      <c r="B447" s="431"/>
      <c r="C447" s="467"/>
      <c r="D447" s="433"/>
      <c r="E447" s="434"/>
      <c r="F447" s="435"/>
      <c r="G447" s="468"/>
    </row>
    <row r="448" spans="2:7" ht="25.05" customHeight="1" x14ac:dyDescent="0.35">
      <c r="B448" s="431"/>
      <c r="C448" s="467"/>
      <c r="D448" s="433"/>
      <c r="E448" s="434"/>
      <c r="F448" s="435"/>
      <c r="G448" s="468"/>
    </row>
    <row r="449" spans="2:11" ht="30.6" customHeight="1" x14ac:dyDescent="0.35">
      <c r="B449" s="431"/>
      <c r="C449" s="467"/>
      <c r="D449" s="433"/>
      <c r="E449" s="434"/>
      <c r="F449" s="435"/>
      <c r="G449" s="468"/>
    </row>
    <row r="450" spans="2:11" ht="25.05" customHeight="1" x14ac:dyDescent="0.35">
      <c r="B450" s="431"/>
      <c r="C450" s="467"/>
      <c r="D450" s="433"/>
      <c r="E450" s="434"/>
      <c r="F450" s="435"/>
      <c r="G450" s="468"/>
    </row>
    <row r="451" spans="2:11" ht="25.05" customHeight="1" x14ac:dyDescent="0.35">
      <c r="B451" s="431"/>
      <c r="C451" s="467"/>
      <c r="D451" s="433"/>
      <c r="E451" s="434"/>
      <c r="F451" s="435"/>
      <c r="G451" s="468"/>
    </row>
    <row r="452" spans="2:11" s="444" customFormat="1" ht="30" customHeight="1" thickBot="1" x14ac:dyDescent="0.4">
      <c r="B452" s="445"/>
      <c r="C452" s="453" t="s">
        <v>55</v>
      </c>
      <c r="D452" s="447"/>
      <c r="E452" s="448"/>
      <c r="F452" s="454"/>
      <c r="G452" s="455">
        <f>SUM(G435:G451)</f>
        <v>150500000</v>
      </c>
      <c r="H452" s="418"/>
      <c r="J452" s="451"/>
      <c r="K452" s="452"/>
    </row>
    <row r="453" spans="2:11" s="456" customFormat="1" ht="30" customHeight="1" thickTop="1" x14ac:dyDescent="0.35">
      <c r="B453" s="457"/>
      <c r="C453" s="458" t="s">
        <v>964</v>
      </c>
      <c r="D453" s="459"/>
      <c r="E453" s="459"/>
      <c r="F453" s="460"/>
      <c r="G453" s="461"/>
      <c r="H453" s="418"/>
      <c r="J453" s="451"/>
      <c r="K453" s="452"/>
    </row>
    <row r="454" spans="2:11" ht="22.05" customHeight="1" x14ac:dyDescent="0.35">
      <c r="B454" s="431"/>
      <c r="C454" s="432" t="s">
        <v>523</v>
      </c>
      <c r="D454" s="433"/>
      <c r="E454" s="434"/>
      <c r="F454" s="466"/>
      <c r="G454" s="436"/>
    </row>
    <row r="455" spans="2:11" ht="22.05" customHeight="1" x14ac:dyDescent="0.35">
      <c r="B455" s="431"/>
      <c r="C455" s="432" t="s">
        <v>524</v>
      </c>
      <c r="D455" s="433"/>
      <c r="E455" s="434"/>
      <c r="F455" s="466"/>
      <c r="G455" s="436"/>
    </row>
    <row r="456" spans="2:11" ht="22.05" customHeight="1" x14ac:dyDescent="0.35">
      <c r="B456" s="431"/>
      <c r="C456" s="432" t="s">
        <v>84</v>
      </c>
      <c r="D456" s="433"/>
      <c r="E456" s="434"/>
      <c r="F456" s="466"/>
      <c r="G456" s="436"/>
    </row>
    <row r="457" spans="2:11" ht="22.05" customHeight="1" x14ac:dyDescent="0.35">
      <c r="B457" s="431"/>
      <c r="C457" s="432" t="s">
        <v>965</v>
      </c>
      <c r="D457" s="433"/>
      <c r="E457" s="434"/>
      <c r="F457" s="466"/>
      <c r="G457" s="436"/>
    </row>
    <row r="458" spans="2:11" ht="34.799999999999997" customHeight="1" x14ac:dyDescent="0.35">
      <c r="B458" s="431" t="s">
        <v>31</v>
      </c>
      <c r="C458" s="467" t="s">
        <v>684</v>
      </c>
      <c r="D458" s="433">
        <v>20</v>
      </c>
      <c r="E458" s="434" t="s">
        <v>112</v>
      </c>
      <c r="F458" s="435">
        <v>82700</v>
      </c>
      <c r="G458" s="468">
        <f>F458*D458</f>
        <v>1654000</v>
      </c>
    </row>
    <row r="459" spans="2:11" ht="40.799999999999997" customHeight="1" x14ac:dyDescent="0.35">
      <c r="B459" s="431" t="s">
        <v>32</v>
      </c>
      <c r="C459" s="467" t="s">
        <v>685</v>
      </c>
      <c r="D459" s="433">
        <v>30</v>
      </c>
      <c r="E459" s="434" t="s">
        <v>112</v>
      </c>
      <c r="F459" s="435">
        <v>182000</v>
      </c>
      <c r="G459" s="468">
        <f t="shared" ref="G459:G465" si="15">F459*D459</f>
        <v>5460000</v>
      </c>
    </row>
    <row r="460" spans="2:11" ht="141.75" customHeight="1" x14ac:dyDescent="0.35">
      <c r="B460" s="431" t="s">
        <v>33</v>
      </c>
      <c r="C460" s="467" t="s">
        <v>686</v>
      </c>
      <c r="D460" s="433">
        <v>8</v>
      </c>
      <c r="E460" s="434" t="s">
        <v>113</v>
      </c>
      <c r="F460" s="435">
        <v>1137500</v>
      </c>
      <c r="G460" s="468">
        <f t="shared" si="15"/>
        <v>9100000</v>
      </c>
    </row>
    <row r="461" spans="2:11" ht="89.25" x14ac:dyDescent="0.35">
      <c r="B461" s="431" t="s">
        <v>34</v>
      </c>
      <c r="C461" s="467" t="s">
        <v>687</v>
      </c>
      <c r="D461" s="433">
        <v>4</v>
      </c>
      <c r="E461" s="434" t="s">
        <v>113</v>
      </c>
      <c r="F461" s="435">
        <v>1260000</v>
      </c>
      <c r="G461" s="468">
        <f t="shared" si="15"/>
        <v>5040000</v>
      </c>
    </row>
    <row r="462" spans="2:11" ht="21.95" customHeight="1" x14ac:dyDescent="0.35">
      <c r="B462" s="431"/>
      <c r="C462" s="437" t="s">
        <v>688</v>
      </c>
      <c r="D462" s="433"/>
      <c r="E462" s="434"/>
      <c r="F462" s="435"/>
      <c r="G462" s="468"/>
      <c r="J462" s="451"/>
      <c r="K462" s="452"/>
    </row>
    <row r="463" spans="2:11" ht="63.75" x14ac:dyDescent="0.35">
      <c r="B463" s="431" t="s">
        <v>35</v>
      </c>
      <c r="C463" s="467" t="s">
        <v>689</v>
      </c>
      <c r="D463" s="433">
        <v>1</v>
      </c>
      <c r="E463" s="434" t="s">
        <v>113</v>
      </c>
      <c r="F463" s="435">
        <v>26750000</v>
      </c>
      <c r="G463" s="468">
        <f t="shared" si="15"/>
        <v>26750000</v>
      </c>
    </row>
    <row r="464" spans="2:11" ht="25.5" x14ac:dyDescent="0.35">
      <c r="B464" s="431" t="s">
        <v>36</v>
      </c>
      <c r="C464" s="467" t="s">
        <v>690</v>
      </c>
      <c r="D464" s="433">
        <v>1</v>
      </c>
      <c r="E464" s="434" t="s">
        <v>113</v>
      </c>
      <c r="F464" s="435">
        <v>16250000</v>
      </c>
      <c r="G464" s="468">
        <f t="shared" si="15"/>
        <v>16250000</v>
      </c>
    </row>
    <row r="465" spans="2:11" ht="22.05" customHeight="1" x14ac:dyDescent="0.35">
      <c r="B465" s="431" t="s">
        <v>114</v>
      </c>
      <c r="C465" s="467" t="s">
        <v>691</v>
      </c>
      <c r="D465" s="433">
        <v>1</v>
      </c>
      <c r="E465" s="434" t="s">
        <v>113</v>
      </c>
      <c r="F465" s="435">
        <v>2625000</v>
      </c>
      <c r="G465" s="468">
        <f t="shared" si="15"/>
        <v>2625000</v>
      </c>
    </row>
    <row r="466" spans="2:11" ht="25.05" customHeight="1" x14ac:dyDescent="0.35">
      <c r="B466" s="431"/>
      <c r="C466" s="467"/>
      <c r="D466" s="433"/>
      <c r="E466" s="434"/>
      <c r="F466" s="435"/>
      <c r="G466" s="468"/>
    </row>
    <row r="467" spans="2:11" ht="25.05" customHeight="1" x14ac:dyDescent="0.35">
      <c r="B467" s="431"/>
      <c r="C467" s="467"/>
      <c r="D467" s="433"/>
      <c r="E467" s="434"/>
      <c r="F467" s="435"/>
      <c r="G467" s="468"/>
    </row>
    <row r="468" spans="2:11" ht="25.05" customHeight="1" x14ac:dyDescent="0.35">
      <c r="B468" s="431"/>
      <c r="C468" s="467"/>
      <c r="D468" s="433"/>
      <c r="E468" s="434"/>
      <c r="F468" s="435"/>
      <c r="G468" s="468"/>
    </row>
    <row r="469" spans="2:11" s="444" customFormat="1" ht="30" customHeight="1" thickBot="1" x14ac:dyDescent="0.4">
      <c r="B469" s="445"/>
      <c r="C469" s="453" t="s">
        <v>55</v>
      </c>
      <c r="D469" s="447"/>
      <c r="E469" s="448"/>
      <c r="F469" s="454"/>
      <c r="G469" s="455">
        <f>SUM(G458:G468)</f>
        <v>66879000</v>
      </c>
      <c r="H469" s="418"/>
      <c r="J469" s="451"/>
      <c r="K469" s="452"/>
    </row>
    <row r="470" spans="2:11" s="456" customFormat="1" ht="30" customHeight="1" thickTop="1" x14ac:dyDescent="0.35">
      <c r="B470" s="457"/>
      <c r="C470" s="458" t="s">
        <v>966</v>
      </c>
      <c r="D470" s="459"/>
      <c r="E470" s="459"/>
      <c r="F470" s="460"/>
      <c r="G470" s="461"/>
      <c r="H470" s="418"/>
      <c r="J470" s="451"/>
      <c r="K470" s="452"/>
    </row>
    <row r="471" spans="2:11" ht="22.05" customHeight="1" x14ac:dyDescent="0.35">
      <c r="B471" s="431"/>
      <c r="C471" s="432" t="s">
        <v>523</v>
      </c>
      <c r="D471" s="433"/>
      <c r="E471" s="434"/>
      <c r="F471" s="466"/>
      <c r="G471" s="436"/>
    </row>
    <row r="472" spans="2:11" ht="22.05" customHeight="1" x14ac:dyDescent="0.35">
      <c r="B472" s="431"/>
      <c r="C472" s="432" t="s">
        <v>524</v>
      </c>
      <c r="D472" s="433"/>
      <c r="E472" s="434"/>
      <c r="F472" s="466"/>
      <c r="G472" s="436"/>
    </row>
    <row r="473" spans="2:11" ht="22.05" customHeight="1" x14ac:dyDescent="0.35">
      <c r="B473" s="431"/>
      <c r="C473" s="432" t="s">
        <v>223</v>
      </c>
      <c r="D473" s="433"/>
      <c r="E473" s="434"/>
      <c r="F473" s="466"/>
      <c r="G473" s="436"/>
    </row>
    <row r="474" spans="2:11" ht="22.05" customHeight="1" x14ac:dyDescent="0.35">
      <c r="B474" s="431"/>
      <c r="C474" s="432" t="s">
        <v>967</v>
      </c>
      <c r="D474" s="433"/>
      <c r="E474" s="434"/>
      <c r="F474" s="466"/>
      <c r="G474" s="436"/>
    </row>
    <row r="475" spans="2:11" ht="22.05" customHeight="1" x14ac:dyDescent="0.35">
      <c r="B475" s="431" t="s">
        <v>31</v>
      </c>
      <c r="C475" s="467" t="s">
        <v>692</v>
      </c>
      <c r="D475" s="433">
        <v>20</v>
      </c>
      <c r="E475" s="434" t="s">
        <v>112</v>
      </c>
      <c r="F475" s="435">
        <v>82700</v>
      </c>
      <c r="G475" s="468">
        <f>F475*D475</f>
        <v>1654000</v>
      </c>
    </row>
    <row r="476" spans="2:11" ht="22.05" customHeight="1" x14ac:dyDescent="0.35">
      <c r="B476" s="431" t="s">
        <v>32</v>
      </c>
      <c r="C476" s="467" t="s">
        <v>693</v>
      </c>
      <c r="D476" s="433">
        <v>120</v>
      </c>
      <c r="E476" s="434" t="s">
        <v>112</v>
      </c>
      <c r="F476" s="435">
        <v>148900</v>
      </c>
      <c r="G476" s="468">
        <f t="shared" ref="G476:G480" si="16">F476*D476</f>
        <v>17868000</v>
      </c>
    </row>
    <row r="477" spans="2:11" ht="22.05" customHeight="1" x14ac:dyDescent="0.35">
      <c r="B477" s="431" t="s">
        <v>33</v>
      </c>
      <c r="C477" s="467" t="s">
        <v>694</v>
      </c>
      <c r="D477" s="433">
        <v>8</v>
      </c>
      <c r="E477" s="434" t="s">
        <v>113</v>
      </c>
      <c r="F477" s="435">
        <v>198600</v>
      </c>
      <c r="G477" s="468">
        <f t="shared" si="16"/>
        <v>1588800</v>
      </c>
    </row>
    <row r="478" spans="2:11" ht="35.450000000000003" customHeight="1" x14ac:dyDescent="0.35">
      <c r="B478" s="431" t="s">
        <v>34</v>
      </c>
      <c r="C478" s="467" t="s">
        <v>695</v>
      </c>
      <c r="D478" s="433">
        <v>30</v>
      </c>
      <c r="E478" s="434" t="s">
        <v>112</v>
      </c>
      <c r="F478" s="435">
        <v>182000</v>
      </c>
      <c r="G478" s="468">
        <f t="shared" si="16"/>
        <v>5460000</v>
      </c>
    </row>
    <row r="479" spans="2:11" ht="37.25" customHeight="1" x14ac:dyDescent="0.35">
      <c r="B479" s="431" t="s">
        <v>35</v>
      </c>
      <c r="C479" s="467" t="s">
        <v>696</v>
      </c>
      <c r="D479" s="433">
        <v>20</v>
      </c>
      <c r="E479" s="434" t="s">
        <v>112</v>
      </c>
      <c r="F479" s="435">
        <v>297900</v>
      </c>
      <c r="G479" s="468">
        <f t="shared" si="16"/>
        <v>5958000</v>
      </c>
    </row>
    <row r="480" spans="2:11" ht="89.25" x14ac:dyDescent="0.35">
      <c r="B480" s="431" t="s">
        <v>36</v>
      </c>
      <c r="C480" s="467" t="s">
        <v>686</v>
      </c>
      <c r="D480" s="433">
        <v>6</v>
      </c>
      <c r="E480" s="434" t="s">
        <v>113</v>
      </c>
      <c r="F480" s="435">
        <v>1260000</v>
      </c>
      <c r="G480" s="468">
        <f t="shared" si="16"/>
        <v>7560000</v>
      </c>
    </row>
    <row r="481" spans="2:11" ht="21.95" customHeight="1" x14ac:dyDescent="0.35">
      <c r="B481" s="431"/>
      <c r="C481" s="437"/>
      <c r="D481" s="433"/>
      <c r="E481" s="434"/>
      <c r="F481" s="435"/>
      <c r="G481" s="468"/>
      <c r="J481" s="451"/>
      <c r="K481" s="452"/>
    </row>
    <row r="482" spans="2:11" x14ac:dyDescent="0.35">
      <c r="B482" s="431"/>
      <c r="C482" s="467"/>
      <c r="D482" s="433"/>
      <c r="E482" s="434"/>
      <c r="F482" s="435"/>
      <c r="G482" s="468"/>
    </row>
    <row r="483" spans="2:11" ht="21.95" customHeight="1" x14ac:dyDescent="0.35">
      <c r="B483" s="431"/>
      <c r="C483" s="437"/>
      <c r="D483" s="433"/>
      <c r="E483" s="434"/>
      <c r="F483" s="435"/>
      <c r="G483" s="468"/>
      <c r="J483" s="451"/>
      <c r="K483" s="452"/>
    </row>
    <row r="484" spans="2:11" x14ac:dyDescent="0.35">
      <c r="B484" s="431"/>
      <c r="C484" s="467"/>
      <c r="D484" s="433"/>
      <c r="E484" s="434"/>
      <c r="F484" s="435"/>
      <c r="G484" s="468"/>
    </row>
    <row r="485" spans="2:11" x14ac:dyDescent="0.35">
      <c r="B485" s="431"/>
      <c r="C485" s="467"/>
      <c r="D485" s="433"/>
      <c r="E485" s="434"/>
      <c r="F485" s="435"/>
      <c r="G485" s="468"/>
    </row>
    <row r="486" spans="2:11" ht="25.05" customHeight="1" x14ac:dyDescent="0.35">
      <c r="B486" s="431"/>
      <c r="C486" s="467"/>
      <c r="D486" s="433"/>
      <c r="E486" s="434"/>
      <c r="F486" s="435"/>
      <c r="G486" s="468"/>
    </row>
    <row r="487" spans="2:11" ht="25.05" customHeight="1" x14ac:dyDescent="0.35">
      <c r="B487" s="431"/>
      <c r="C487" s="467"/>
      <c r="D487" s="433"/>
      <c r="E487" s="434"/>
      <c r="F487" s="435"/>
      <c r="G487" s="468"/>
    </row>
    <row r="488" spans="2:11" ht="25.05" customHeight="1" x14ac:dyDescent="0.35">
      <c r="B488" s="431"/>
      <c r="C488" s="467"/>
      <c r="D488" s="433"/>
      <c r="E488" s="434"/>
      <c r="F488" s="435"/>
      <c r="G488" s="468"/>
    </row>
    <row r="489" spans="2:11" ht="25.05" customHeight="1" x14ac:dyDescent="0.35">
      <c r="B489" s="431"/>
      <c r="C489" s="467"/>
      <c r="D489" s="433"/>
      <c r="E489" s="434"/>
      <c r="F489" s="435"/>
      <c r="G489" s="468"/>
    </row>
    <row r="490" spans="2:11" ht="25.05" customHeight="1" x14ac:dyDescent="0.35">
      <c r="B490" s="431"/>
      <c r="C490" s="467"/>
      <c r="D490" s="433"/>
      <c r="E490" s="434"/>
      <c r="F490" s="435"/>
      <c r="G490" s="468"/>
    </row>
    <row r="491" spans="2:11" s="444" customFormat="1" ht="30" customHeight="1" thickBot="1" x14ac:dyDescent="0.4">
      <c r="B491" s="445"/>
      <c r="C491" s="453" t="s">
        <v>55</v>
      </c>
      <c r="D491" s="447"/>
      <c r="E491" s="448"/>
      <c r="F491" s="454"/>
      <c r="G491" s="455">
        <f>SUM(G475:G490)</f>
        <v>40088800</v>
      </c>
      <c r="H491" s="418"/>
      <c r="J491" s="451"/>
      <c r="K491" s="452"/>
    </row>
    <row r="492" spans="2:11" s="456" customFormat="1" ht="30" customHeight="1" thickTop="1" x14ac:dyDescent="0.35">
      <c r="B492" s="457"/>
      <c r="C492" s="458" t="s">
        <v>968</v>
      </c>
      <c r="D492" s="459"/>
      <c r="E492" s="459"/>
      <c r="F492" s="460"/>
      <c r="G492" s="461"/>
      <c r="H492" s="418"/>
      <c r="J492" s="451"/>
      <c r="K492" s="452"/>
    </row>
  </sheetData>
  <printOptions horizontalCentered="1"/>
  <pageMargins left="0.118110236220472" right="0.118110236220472" top="0.27559055118110198" bottom="0.27559055118110198" header="0.118110236220472" footer="0.15748031496063"/>
  <pageSetup paperSize="9" scale="88" fitToHeight="0" orientation="portrait" r:id="rId1"/>
  <headerFooter>
    <oddHeader>&amp;R&amp;"Arial,Italic"&amp;8&amp;F</oddHeader>
    <oddFooter>&amp;L&amp;"Arial,Italic"&amp;8&amp;A</oddFooter>
  </headerFooter>
  <rowBreaks count="18" manualBreakCount="18">
    <brk id="37" max="6" man="1"/>
    <brk id="72" max="16383" man="1"/>
    <brk id="88" max="16383" man="1"/>
    <brk id="116" max="16383" man="1"/>
    <brk id="148" max="16383" man="1"/>
    <brk id="165" max="16383" man="1"/>
    <brk id="193" max="16383" man="1"/>
    <brk id="227" max="16383" man="1"/>
    <brk id="244" max="16383" man="1"/>
    <brk id="270" max="16383" man="1"/>
    <brk id="303" max="16383" man="1"/>
    <brk id="320" max="16383" man="1"/>
    <brk id="346" max="16383" man="1"/>
    <brk id="379" max="16383" man="1"/>
    <brk id="396" max="16383" man="1"/>
    <brk id="430" max="16383" man="1"/>
    <brk id="453" max="16383" man="1"/>
    <brk id="47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B4"/>
  <sheetViews>
    <sheetView view="pageBreakPreview" zoomScaleNormal="100" workbookViewId="0">
      <selection activeCell="M12" sqref="M12"/>
    </sheetView>
  </sheetViews>
  <sheetFormatPr defaultColWidth="9.1328125" defaultRowHeight="20.65" x14ac:dyDescent="0.35"/>
  <cols>
    <col min="1" max="1" width="6.33203125" style="287" customWidth="1"/>
    <col min="2" max="2" width="69.86328125" style="291" customWidth="1"/>
    <col min="3" max="16384" width="9.1328125" style="287"/>
  </cols>
  <sheetData>
    <row r="1" spans="2:2" x14ac:dyDescent="0.35">
      <c r="B1" s="288"/>
    </row>
    <row r="2" spans="2:2" ht="30" customHeight="1" x14ac:dyDescent="0.35">
      <c r="B2" s="289" t="s">
        <v>969</v>
      </c>
    </row>
    <row r="3" spans="2:2" ht="40.5" customHeight="1" x14ac:dyDescent="0.35">
      <c r="B3" s="290" t="s">
        <v>970</v>
      </c>
    </row>
    <row r="4" spans="2:2" x14ac:dyDescent="0.35">
      <c r="B4" s="288"/>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27"/>
  <sheetViews>
    <sheetView view="pageBreakPreview" topLeftCell="A5" zoomScale="90" zoomScaleNormal="100" zoomScaleSheetLayoutView="90" workbookViewId="0">
      <selection activeCell="E13" sqref="E13"/>
    </sheetView>
  </sheetViews>
  <sheetFormatPr defaultColWidth="9.1328125" defaultRowHeight="15.4" x14ac:dyDescent="0.35"/>
  <cols>
    <col min="1" max="1" width="0.6640625" style="273" customWidth="1"/>
    <col min="2" max="2" width="11.33203125" style="274" customWidth="1"/>
    <col min="3" max="3" width="56.6640625" style="273" customWidth="1"/>
    <col min="4" max="4" width="15.6640625" style="274" customWidth="1"/>
    <col min="5" max="5" width="16.6640625" style="266" customWidth="1"/>
    <col min="6" max="6" width="1.33203125" style="268" customWidth="1"/>
    <col min="7" max="7" width="12.86328125" style="274" bestFit="1" customWidth="1"/>
    <col min="8" max="8" width="11.1328125" style="274" customWidth="1"/>
    <col min="9" max="12" width="9.1328125" style="274"/>
    <col min="13" max="13" width="14" style="274" bestFit="1" customWidth="1"/>
    <col min="14" max="16384" width="9.1328125" style="274"/>
  </cols>
  <sheetData>
    <row r="1" spans="2:13" s="265" customFormat="1" ht="6" customHeight="1" x14ac:dyDescent="0.35">
      <c r="B1" s="264"/>
      <c r="D1" s="264"/>
      <c r="E1" s="266"/>
      <c r="F1" s="267"/>
    </row>
    <row r="2" spans="2:13" s="322" customFormat="1" ht="30.75" x14ac:dyDescent="0.35">
      <c r="B2" s="328" t="s">
        <v>50</v>
      </c>
      <c r="C2" s="329" t="s">
        <v>38</v>
      </c>
      <c r="D2" s="329" t="s">
        <v>30</v>
      </c>
      <c r="E2" s="330" t="s">
        <v>532</v>
      </c>
      <c r="F2" s="321"/>
    </row>
    <row r="3" spans="2:13" s="265" customFormat="1" x14ac:dyDescent="0.35">
      <c r="B3" s="276"/>
      <c r="C3" s="277"/>
      <c r="D3" s="278"/>
      <c r="E3" s="279"/>
      <c r="F3" s="268"/>
    </row>
    <row r="4" spans="2:13" s="265" customFormat="1" ht="30" customHeight="1" x14ac:dyDescent="0.35">
      <c r="B4" s="276"/>
      <c r="C4" s="280" t="str">
        <f>'Fly Sht. Bill No.6'!B2</f>
        <v>BILL NO.6</v>
      </c>
      <c r="D4" s="278"/>
      <c r="E4" s="279"/>
      <c r="F4" s="268"/>
    </row>
    <row r="5" spans="2:13" s="265" customFormat="1" ht="30" customHeight="1" x14ac:dyDescent="0.35">
      <c r="B5" s="276"/>
      <c r="C5" s="280" t="str">
        <f>'Fly Sht. Bill No.6'!B3</f>
        <v>FIRE FIGHTING INSTALLATIONS</v>
      </c>
      <c r="D5" s="278"/>
      <c r="E5" s="279"/>
      <c r="F5" s="268"/>
    </row>
    <row r="6" spans="2:13" s="265" customFormat="1" ht="30" customHeight="1" x14ac:dyDescent="0.35">
      <c r="B6" s="276"/>
      <c r="C6" s="280" t="s">
        <v>52</v>
      </c>
      <c r="D6" s="278"/>
      <c r="E6" s="279"/>
      <c r="F6" s="268"/>
    </row>
    <row r="7" spans="2:13" s="265" customFormat="1" ht="30" customHeight="1" x14ac:dyDescent="0.35">
      <c r="B7" s="281">
        <v>1</v>
      </c>
      <c r="C7" s="282" t="str">
        <f>'Bill No.6 Fire fighting Inst.'!C8</f>
        <v>UPPER GROUND FLOOR</v>
      </c>
      <c r="D7" s="283" t="str">
        <f>'Bill No.6 Fire fighting Inst.'!C35</f>
        <v>6/1/2</v>
      </c>
      <c r="E7" s="325">
        <f>'Bill No.6 Fire fighting Inst.'!G34</f>
        <v>38979500</v>
      </c>
      <c r="F7" s="268"/>
      <c r="G7" s="269"/>
      <c r="H7" s="323"/>
      <c r="M7" s="270"/>
    </row>
    <row r="8" spans="2:13" s="265" customFormat="1" ht="33.6" customHeight="1" x14ac:dyDescent="0.35">
      <c r="B8" s="281">
        <v>2</v>
      </c>
      <c r="C8" s="282" t="str">
        <f>'Bill No.6 Fire fighting Inst.'!C39</f>
        <v>FIRST FLOOR</v>
      </c>
      <c r="D8" s="283" t="str">
        <f>'Bill No.6 Fire fighting Inst.'!C64</f>
        <v>6/2/1</v>
      </c>
      <c r="E8" s="325">
        <f>'Bill No.6 Fire fighting Inst.'!G63</f>
        <v>38979500</v>
      </c>
      <c r="F8" s="268"/>
      <c r="G8" s="269"/>
      <c r="M8" s="270"/>
    </row>
    <row r="9" spans="2:13" s="265" customFormat="1" ht="30" customHeight="1" x14ac:dyDescent="0.35">
      <c r="B9" s="281">
        <v>3</v>
      </c>
      <c r="C9" s="277" t="str">
        <f>'Bill No.6 Fire fighting Inst.'!C68</f>
        <v>SECOND FLOOR</v>
      </c>
      <c r="D9" s="283" t="str">
        <f>'Bill No.6 Fire fighting Inst.'!C93</f>
        <v>6/3/1</v>
      </c>
      <c r="E9" s="325">
        <f>'Bill No.6 Fire fighting Inst.'!G92</f>
        <v>38979500</v>
      </c>
      <c r="F9" s="268"/>
      <c r="G9" s="269"/>
      <c r="M9" s="270"/>
    </row>
    <row r="10" spans="2:13" s="265" customFormat="1" ht="30" customHeight="1" x14ac:dyDescent="0.35">
      <c r="B10" s="281">
        <v>4</v>
      </c>
      <c r="C10" s="277" t="str">
        <f>'Bill No.6 Fire fighting Inst.'!C97</f>
        <v>THIRD FLOOR</v>
      </c>
      <c r="D10" s="283" t="str">
        <f>'Bill No.6 Fire fighting Inst.'!C122</f>
        <v>6/4/1</v>
      </c>
      <c r="E10" s="325">
        <f>'Bill No.6 Fire fighting Inst.'!G121</f>
        <v>38979500</v>
      </c>
      <c r="F10" s="268"/>
      <c r="G10" s="269"/>
      <c r="M10" s="270"/>
    </row>
    <row r="11" spans="2:13" s="265" customFormat="1" ht="30" customHeight="1" x14ac:dyDescent="0.35">
      <c r="B11" s="281"/>
      <c r="C11" s="277" t="s">
        <v>1234</v>
      </c>
      <c r="D11" s="283"/>
      <c r="E11" s="325">
        <f>'Bill No.6 Fire fighting Inst.'!G150</f>
        <v>38979500</v>
      </c>
      <c r="F11" s="268"/>
      <c r="G11" s="269"/>
      <c r="M11" s="270"/>
    </row>
    <row r="12" spans="2:13" s="265" customFormat="1" ht="30" customHeight="1" x14ac:dyDescent="0.35">
      <c r="B12" s="281"/>
      <c r="C12" s="277" t="s">
        <v>1235</v>
      </c>
      <c r="D12" s="283"/>
      <c r="E12" s="325">
        <f>'Bill No.6 Fire fighting Inst.'!G179</f>
        <v>38979500</v>
      </c>
      <c r="F12" s="268"/>
      <c r="G12" s="269"/>
      <c r="M12" s="270"/>
    </row>
    <row r="13" spans="2:13" s="265" customFormat="1" ht="30" customHeight="1" x14ac:dyDescent="0.35">
      <c r="B13" s="281">
        <v>5</v>
      </c>
      <c r="C13" s="277" t="str">
        <f>'Bill No.6 Fire fighting Inst.'!C184</f>
        <v>ROOF</v>
      </c>
      <c r="D13" s="283" t="str">
        <f>'Bill No.6 Fire fighting Inst.'!C205</f>
        <v>6/5/1</v>
      </c>
      <c r="E13" s="325">
        <f>'Bill No.6 Fire fighting Inst.'!G204</f>
        <v>8442000</v>
      </c>
      <c r="F13" s="268"/>
      <c r="G13" s="269"/>
      <c r="M13" s="270"/>
    </row>
    <row r="14" spans="2:13" s="265" customFormat="1" ht="30" customHeight="1" x14ac:dyDescent="0.35">
      <c r="B14" s="281">
        <v>6</v>
      </c>
      <c r="C14" s="277" t="str">
        <f>'Bill No.6 Fire fighting Inst.'!C209</f>
        <v>FIRE FIGHTING EQUIPMENT</v>
      </c>
      <c r="D14" s="283" t="str">
        <f>'Bill No.6 Fire fighting Inst.'!C250</f>
        <v>6/6/1</v>
      </c>
      <c r="E14" s="325">
        <f>'Bill No.6 Fire fighting Inst.'!G249</f>
        <v>119320000</v>
      </c>
      <c r="F14" s="268"/>
      <c r="G14" s="269"/>
      <c r="M14" s="270"/>
    </row>
    <row r="15" spans="2:13" s="265" customFormat="1" ht="30" customHeight="1" x14ac:dyDescent="0.35">
      <c r="B15" s="281">
        <v>7</v>
      </c>
      <c r="C15" s="285" t="str">
        <f>'Bill No.6 Fire fighting Inst.'!C254</f>
        <v>MISCELLANEOUS</v>
      </c>
      <c r="D15" s="283" t="str">
        <f>'Bill No.6 Fire fighting Inst.'!C322</f>
        <v>6/7/1</v>
      </c>
      <c r="E15" s="325">
        <f>'Bill No.6 Fire fighting Inst.'!G321</f>
        <v>33832000</v>
      </c>
      <c r="F15" s="268"/>
      <c r="G15" s="269"/>
      <c r="M15" s="270"/>
    </row>
    <row r="16" spans="2:13" s="265" customFormat="1" ht="30" customHeight="1" x14ac:dyDescent="0.35">
      <c r="B16" s="281"/>
      <c r="C16" s="277"/>
      <c r="D16" s="283"/>
      <c r="E16" s="284"/>
      <c r="F16" s="268"/>
      <c r="G16" s="269"/>
      <c r="M16" s="270"/>
    </row>
    <row r="17" spans="2:11" s="265" customFormat="1" ht="30" customHeight="1" x14ac:dyDescent="0.35">
      <c r="B17" s="281"/>
      <c r="C17" s="277"/>
      <c r="D17" s="283"/>
      <c r="E17" s="284"/>
      <c r="F17" s="268"/>
      <c r="G17" s="269"/>
    </row>
    <row r="18" spans="2:11" s="265" customFormat="1" ht="30" customHeight="1" x14ac:dyDescent="0.35">
      <c r="B18" s="281"/>
      <c r="C18" s="277"/>
      <c r="D18" s="283"/>
      <c r="E18" s="284"/>
      <c r="F18" s="268"/>
      <c r="G18" s="269"/>
    </row>
    <row r="19" spans="2:11" s="265" customFormat="1" ht="30" customHeight="1" x14ac:dyDescent="0.35">
      <c r="B19" s="281"/>
      <c r="C19" s="277"/>
      <c r="D19" s="283"/>
      <c r="E19" s="284"/>
      <c r="F19" s="268"/>
      <c r="G19" s="269"/>
    </row>
    <row r="20" spans="2:11" s="265" customFormat="1" ht="30" customHeight="1" x14ac:dyDescent="0.35">
      <c r="B20" s="281"/>
      <c r="C20" s="277"/>
      <c r="D20" s="283"/>
      <c r="E20" s="286"/>
      <c r="F20" s="268"/>
      <c r="G20" s="271"/>
    </row>
    <row r="21" spans="2:11" s="265" customFormat="1" ht="30" customHeight="1" x14ac:dyDescent="0.35">
      <c r="B21" s="281"/>
      <c r="C21" s="277"/>
      <c r="D21" s="283"/>
      <c r="E21" s="286"/>
      <c r="F21" s="268"/>
      <c r="G21" s="271"/>
    </row>
    <row r="22" spans="2:11" s="265" customFormat="1" ht="30" customHeight="1" x14ac:dyDescent="0.35">
      <c r="B22" s="281"/>
      <c r="C22" s="277"/>
      <c r="D22" s="283"/>
      <c r="E22" s="286"/>
      <c r="F22" s="268"/>
      <c r="G22" s="271"/>
    </row>
    <row r="23" spans="2:11" s="265" customFormat="1" ht="33.75" customHeight="1" x14ac:dyDescent="0.35">
      <c r="B23" s="281"/>
      <c r="C23" s="277"/>
      <c r="D23" s="283"/>
      <c r="E23" s="286"/>
      <c r="F23" s="268"/>
      <c r="G23" s="271"/>
    </row>
    <row r="24" spans="2:11" s="265" customFormat="1" ht="30" customHeight="1" x14ac:dyDescent="0.35">
      <c r="B24" s="281"/>
      <c r="C24" s="277"/>
      <c r="D24" s="283"/>
      <c r="E24" s="286"/>
      <c r="F24" s="268"/>
      <c r="G24" s="271"/>
    </row>
    <row r="25" spans="2:11" s="265" customFormat="1" ht="30" customHeight="1" x14ac:dyDescent="0.35">
      <c r="B25" s="281"/>
      <c r="C25" s="277"/>
      <c r="D25" s="283"/>
      <c r="E25" s="286"/>
      <c r="F25" s="268"/>
      <c r="G25" s="271"/>
    </row>
    <row r="26" spans="2:11" s="265" customFormat="1" ht="30" customHeight="1" thickBot="1" x14ac:dyDescent="0.4">
      <c r="B26" s="276"/>
      <c r="C26" s="326" t="s">
        <v>979</v>
      </c>
      <c r="D26" s="278"/>
      <c r="E26" s="327">
        <f>SUM(E7:E25)</f>
        <v>395471000</v>
      </c>
      <c r="F26" s="268"/>
      <c r="G26" s="272"/>
    </row>
    <row r="27" spans="2:11" ht="30" customHeight="1" thickTop="1" x14ac:dyDescent="0.35">
      <c r="C27" s="292" t="s">
        <v>980</v>
      </c>
      <c r="E27" s="275"/>
      <c r="H27" s="265"/>
      <c r="I27" s="265"/>
      <c r="J27" s="265"/>
      <c r="K27" s="265"/>
    </row>
  </sheetData>
  <printOptions horizontalCentered="1"/>
  <pageMargins left="0.19685039370078741" right="0.15748031496062992" top="0.43307086614173229" bottom="0.39370078740157483" header="0.19685039370078741" footer="0.19685039370078741"/>
  <pageSetup paperSize="9" orientation="portrait" r:id="rId1"/>
  <headerFooter>
    <oddHeader>&amp;R&amp;"Arial,Italic"&amp;8&amp;F</oddHeader>
    <oddFooter>&amp;L&amp;"Arial,Italic"&amp;8&amp;A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22"/>
  <sheetViews>
    <sheetView view="pageBreakPreview" topLeftCell="A214" zoomScale="90" zoomScaleNormal="90" zoomScaleSheetLayoutView="90" workbookViewId="0">
      <selection activeCell="B218" sqref="B218"/>
    </sheetView>
  </sheetViews>
  <sheetFormatPr defaultRowHeight="15.4" x14ac:dyDescent="0.35"/>
  <cols>
    <col min="1" max="1" width="0.53125" style="239" customWidth="1"/>
    <col min="2" max="2" width="7" style="254" customWidth="1"/>
    <col min="3" max="3" width="58.6640625" style="239" customWidth="1"/>
    <col min="4" max="4" width="8.796875" style="255" customWidth="1"/>
    <col min="5" max="5" width="8.796875" style="254" customWidth="1"/>
    <col min="6" max="6" width="12.796875" style="256" customWidth="1"/>
    <col min="7" max="7" width="14.796875" style="256" customWidth="1"/>
    <col min="8" max="8" width="0.86328125" style="239" customWidth="1"/>
    <col min="9" max="229" width="8.86328125" style="239"/>
    <col min="230" max="230" width="0.86328125" style="239" customWidth="1"/>
    <col min="231" max="231" width="7" style="239" customWidth="1"/>
    <col min="232" max="232" width="50.6640625" style="239" customWidth="1"/>
    <col min="233" max="234" width="7.6640625" style="239" customWidth="1"/>
    <col min="235" max="235" width="11.6640625" style="239" customWidth="1"/>
    <col min="236" max="236" width="12.6640625" style="239" customWidth="1"/>
    <col min="237" max="485" width="8.86328125" style="239"/>
    <col min="486" max="486" width="0.86328125" style="239" customWidth="1"/>
    <col min="487" max="487" width="7" style="239" customWidth="1"/>
    <col min="488" max="488" width="50.6640625" style="239" customWidth="1"/>
    <col min="489" max="490" width="7.6640625" style="239" customWidth="1"/>
    <col min="491" max="491" width="11.6640625" style="239" customWidth="1"/>
    <col min="492" max="492" width="12.6640625" style="239" customWidth="1"/>
    <col min="493" max="741" width="8.86328125" style="239"/>
    <col min="742" max="742" width="0.86328125" style="239" customWidth="1"/>
    <col min="743" max="743" width="7" style="239" customWidth="1"/>
    <col min="744" max="744" width="50.6640625" style="239" customWidth="1"/>
    <col min="745" max="746" width="7.6640625" style="239" customWidth="1"/>
    <col min="747" max="747" width="11.6640625" style="239" customWidth="1"/>
    <col min="748" max="748" width="12.6640625" style="239" customWidth="1"/>
    <col min="749" max="997" width="8.86328125" style="239"/>
    <col min="998" max="998" width="0.86328125" style="239" customWidth="1"/>
    <col min="999" max="999" width="7" style="239" customWidth="1"/>
    <col min="1000" max="1000" width="50.6640625" style="239" customWidth="1"/>
    <col min="1001" max="1002" width="7.6640625" style="239" customWidth="1"/>
    <col min="1003" max="1003" width="11.6640625" style="239" customWidth="1"/>
    <col min="1004" max="1004" width="12.6640625" style="239" customWidth="1"/>
    <col min="1005" max="1253" width="8.86328125" style="239"/>
    <col min="1254" max="1254" width="0.86328125" style="239" customWidth="1"/>
    <col min="1255" max="1255" width="7" style="239" customWidth="1"/>
    <col min="1256" max="1256" width="50.6640625" style="239" customWidth="1"/>
    <col min="1257" max="1258" width="7.6640625" style="239" customWidth="1"/>
    <col min="1259" max="1259" width="11.6640625" style="239" customWidth="1"/>
    <col min="1260" max="1260" width="12.6640625" style="239" customWidth="1"/>
    <col min="1261" max="1509" width="8.86328125" style="239"/>
    <col min="1510" max="1510" width="0.86328125" style="239" customWidth="1"/>
    <col min="1511" max="1511" width="7" style="239" customWidth="1"/>
    <col min="1512" max="1512" width="50.6640625" style="239" customWidth="1"/>
    <col min="1513" max="1514" width="7.6640625" style="239" customWidth="1"/>
    <col min="1515" max="1515" width="11.6640625" style="239" customWidth="1"/>
    <col min="1516" max="1516" width="12.6640625" style="239" customWidth="1"/>
    <col min="1517" max="1765" width="8.86328125" style="239"/>
    <col min="1766" max="1766" width="0.86328125" style="239" customWidth="1"/>
    <col min="1767" max="1767" width="7" style="239" customWidth="1"/>
    <col min="1768" max="1768" width="50.6640625" style="239" customWidth="1"/>
    <col min="1769" max="1770" width="7.6640625" style="239" customWidth="1"/>
    <col min="1771" max="1771" width="11.6640625" style="239" customWidth="1"/>
    <col min="1772" max="1772" width="12.6640625" style="239" customWidth="1"/>
    <col min="1773" max="2021" width="8.86328125" style="239"/>
    <col min="2022" max="2022" width="0.86328125" style="239" customWidth="1"/>
    <col min="2023" max="2023" width="7" style="239" customWidth="1"/>
    <col min="2024" max="2024" width="50.6640625" style="239" customWidth="1"/>
    <col min="2025" max="2026" width="7.6640625" style="239" customWidth="1"/>
    <col min="2027" max="2027" width="11.6640625" style="239" customWidth="1"/>
    <col min="2028" max="2028" width="12.6640625" style="239" customWidth="1"/>
    <col min="2029" max="2277" width="8.86328125" style="239"/>
    <col min="2278" max="2278" width="0.86328125" style="239" customWidth="1"/>
    <col min="2279" max="2279" width="7" style="239" customWidth="1"/>
    <col min="2280" max="2280" width="50.6640625" style="239" customWidth="1"/>
    <col min="2281" max="2282" width="7.6640625" style="239" customWidth="1"/>
    <col min="2283" max="2283" width="11.6640625" style="239" customWidth="1"/>
    <col min="2284" max="2284" width="12.6640625" style="239" customWidth="1"/>
    <col min="2285" max="2533" width="8.86328125" style="239"/>
    <col min="2534" max="2534" width="0.86328125" style="239" customWidth="1"/>
    <col min="2535" max="2535" width="7" style="239" customWidth="1"/>
    <col min="2536" max="2536" width="50.6640625" style="239" customWidth="1"/>
    <col min="2537" max="2538" width="7.6640625" style="239" customWidth="1"/>
    <col min="2539" max="2539" width="11.6640625" style="239" customWidth="1"/>
    <col min="2540" max="2540" width="12.6640625" style="239" customWidth="1"/>
    <col min="2541" max="2789" width="8.86328125" style="239"/>
    <col min="2790" max="2790" width="0.86328125" style="239" customWidth="1"/>
    <col min="2791" max="2791" width="7" style="239" customWidth="1"/>
    <col min="2792" max="2792" width="50.6640625" style="239" customWidth="1"/>
    <col min="2793" max="2794" width="7.6640625" style="239" customWidth="1"/>
    <col min="2795" max="2795" width="11.6640625" style="239" customWidth="1"/>
    <col min="2796" max="2796" width="12.6640625" style="239" customWidth="1"/>
    <col min="2797" max="3045" width="8.86328125" style="239"/>
    <col min="3046" max="3046" width="0.86328125" style="239" customWidth="1"/>
    <col min="3047" max="3047" width="7" style="239" customWidth="1"/>
    <col min="3048" max="3048" width="50.6640625" style="239" customWidth="1"/>
    <col min="3049" max="3050" width="7.6640625" style="239" customWidth="1"/>
    <col min="3051" max="3051" width="11.6640625" style="239" customWidth="1"/>
    <col min="3052" max="3052" width="12.6640625" style="239" customWidth="1"/>
    <col min="3053" max="3301" width="8.86328125" style="239"/>
    <col min="3302" max="3302" width="0.86328125" style="239" customWidth="1"/>
    <col min="3303" max="3303" width="7" style="239" customWidth="1"/>
    <col min="3304" max="3304" width="50.6640625" style="239" customWidth="1"/>
    <col min="3305" max="3306" width="7.6640625" style="239" customWidth="1"/>
    <col min="3307" max="3307" width="11.6640625" style="239" customWidth="1"/>
    <col min="3308" max="3308" width="12.6640625" style="239" customWidth="1"/>
    <col min="3309" max="3557" width="8.86328125" style="239"/>
    <col min="3558" max="3558" width="0.86328125" style="239" customWidth="1"/>
    <col min="3559" max="3559" width="7" style="239" customWidth="1"/>
    <col min="3560" max="3560" width="50.6640625" style="239" customWidth="1"/>
    <col min="3561" max="3562" width="7.6640625" style="239" customWidth="1"/>
    <col min="3563" max="3563" width="11.6640625" style="239" customWidth="1"/>
    <col min="3564" max="3564" width="12.6640625" style="239" customWidth="1"/>
    <col min="3565" max="3813" width="8.86328125" style="239"/>
    <col min="3814" max="3814" width="0.86328125" style="239" customWidth="1"/>
    <col min="3815" max="3815" width="7" style="239" customWidth="1"/>
    <col min="3816" max="3816" width="50.6640625" style="239" customWidth="1"/>
    <col min="3817" max="3818" width="7.6640625" style="239" customWidth="1"/>
    <col min="3819" max="3819" width="11.6640625" style="239" customWidth="1"/>
    <col min="3820" max="3820" width="12.6640625" style="239" customWidth="1"/>
    <col min="3821" max="4069" width="8.86328125" style="239"/>
    <col min="4070" max="4070" width="0.86328125" style="239" customWidth="1"/>
    <col min="4071" max="4071" width="7" style="239" customWidth="1"/>
    <col min="4072" max="4072" width="50.6640625" style="239" customWidth="1"/>
    <col min="4073" max="4074" width="7.6640625" style="239" customWidth="1"/>
    <col min="4075" max="4075" width="11.6640625" style="239" customWidth="1"/>
    <col min="4076" max="4076" width="12.6640625" style="239" customWidth="1"/>
    <col min="4077" max="4325" width="8.86328125" style="239"/>
    <col min="4326" max="4326" width="0.86328125" style="239" customWidth="1"/>
    <col min="4327" max="4327" width="7" style="239" customWidth="1"/>
    <col min="4328" max="4328" width="50.6640625" style="239" customWidth="1"/>
    <col min="4329" max="4330" width="7.6640625" style="239" customWidth="1"/>
    <col min="4331" max="4331" width="11.6640625" style="239" customWidth="1"/>
    <col min="4332" max="4332" width="12.6640625" style="239" customWidth="1"/>
    <col min="4333" max="4581" width="8.86328125" style="239"/>
    <col min="4582" max="4582" width="0.86328125" style="239" customWidth="1"/>
    <col min="4583" max="4583" width="7" style="239" customWidth="1"/>
    <col min="4584" max="4584" width="50.6640625" style="239" customWidth="1"/>
    <col min="4585" max="4586" width="7.6640625" style="239" customWidth="1"/>
    <col min="4587" max="4587" width="11.6640625" style="239" customWidth="1"/>
    <col min="4588" max="4588" width="12.6640625" style="239" customWidth="1"/>
    <col min="4589" max="4837" width="8.86328125" style="239"/>
    <col min="4838" max="4838" width="0.86328125" style="239" customWidth="1"/>
    <col min="4839" max="4839" width="7" style="239" customWidth="1"/>
    <col min="4840" max="4840" width="50.6640625" style="239" customWidth="1"/>
    <col min="4841" max="4842" width="7.6640625" style="239" customWidth="1"/>
    <col min="4843" max="4843" width="11.6640625" style="239" customWidth="1"/>
    <col min="4844" max="4844" width="12.6640625" style="239" customWidth="1"/>
    <col min="4845" max="5093" width="8.86328125" style="239"/>
    <col min="5094" max="5094" width="0.86328125" style="239" customWidth="1"/>
    <col min="5095" max="5095" width="7" style="239" customWidth="1"/>
    <col min="5096" max="5096" width="50.6640625" style="239" customWidth="1"/>
    <col min="5097" max="5098" width="7.6640625" style="239" customWidth="1"/>
    <col min="5099" max="5099" width="11.6640625" style="239" customWidth="1"/>
    <col min="5100" max="5100" width="12.6640625" style="239" customWidth="1"/>
    <col min="5101" max="5349" width="8.86328125" style="239"/>
    <col min="5350" max="5350" width="0.86328125" style="239" customWidth="1"/>
    <col min="5351" max="5351" width="7" style="239" customWidth="1"/>
    <col min="5352" max="5352" width="50.6640625" style="239" customWidth="1"/>
    <col min="5353" max="5354" width="7.6640625" style="239" customWidth="1"/>
    <col min="5355" max="5355" width="11.6640625" style="239" customWidth="1"/>
    <col min="5356" max="5356" width="12.6640625" style="239" customWidth="1"/>
    <col min="5357" max="5605" width="8.86328125" style="239"/>
    <col min="5606" max="5606" width="0.86328125" style="239" customWidth="1"/>
    <col min="5607" max="5607" width="7" style="239" customWidth="1"/>
    <col min="5608" max="5608" width="50.6640625" style="239" customWidth="1"/>
    <col min="5609" max="5610" width="7.6640625" style="239" customWidth="1"/>
    <col min="5611" max="5611" width="11.6640625" style="239" customWidth="1"/>
    <col min="5612" max="5612" width="12.6640625" style="239" customWidth="1"/>
    <col min="5613" max="5861" width="8.86328125" style="239"/>
    <col min="5862" max="5862" width="0.86328125" style="239" customWidth="1"/>
    <col min="5863" max="5863" width="7" style="239" customWidth="1"/>
    <col min="5864" max="5864" width="50.6640625" style="239" customWidth="1"/>
    <col min="5865" max="5866" width="7.6640625" style="239" customWidth="1"/>
    <col min="5867" max="5867" width="11.6640625" style="239" customWidth="1"/>
    <col min="5868" max="5868" width="12.6640625" style="239" customWidth="1"/>
    <col min="5869" max="6117" width="8.86328125" style="239"/>
    <col min="6118" max="6118" width="0.86328125" style="239" customWidth="1"/>
    <col min="6119" max="6119" width="7" style="239" customWidth="1"/>
    <col min="6120" max="6120" width="50.6640625" style="239" customWidth="1"/>
    <col min="6121" max="6122" width="7.6640625" style="239" customWidth="1"/>
    <col min="6123" max="6123" width="11.6640625" style="239" customWidth="1"/>
    <col min="6124" max="6124" width="12.6640625" style="239" customWidth="1"/>
    <col min="6125" max="6373" width="8.86328125" style="239"/>
    <col min="6374" max="6374" width="0.86328125" style="239" customWidth="1"/>
    <col min="6375" max="6375" width="7" style="239" customWidth="1"/>
    <col min="6376" max="6376" width="50.6640625" style="239" customWidth="1"/>
    <col min="6377" max="6378" width="7.6640625" style="239" customWidth="1"/>
    <col min="6379" max="6379" width="11.6640625" style="239" customWidth="1"/>
    <col min="6380" max="6380" width="12.6640625" style="239" customWidth="1"/>
    <col min="6381" max="6629" width="8.86328125" style="239"/>
    <col min="6630" max="6630" width="0.86328125" style="239" customWidth="1"/>
    <col min="6631" max="6631" width="7" style="239" customWidth="1"/>
    <col min="6632" max="6632" width="50.6640625" style="239" customWidth="1"/>
    <col min="6633" max="6634" width="7.6640625" style="239" customWidth="1"/>
    <col min="6635" max="6635" width="11.6640625" style="239" customWidth="1"/>
    <col min="6636" max="6636" width="12.6640625" style="239" customWidth="1"/>
    <col min="6637" max="6885" width="8.86328125" style="239"/>
    <col min="6886" max="6886" width="0.86328125" style="239" customWidth="1"/>
    <col min="6887" max="6887" width="7" style="239" customWidth="1"/>
    <col min="6888" max="6888" width="50.6640625" style="239" customWidth="1"/>
    <col min="6889" max="6890" width="7.6640625" style="239" customWidth="1"/>
    <col min="6891" max="6891" width="11.6640625" style="239" customWidth="1"/>
    <col min="6892" max="6892" width="12.6640625" style="239" customWidth="1"/>
    <col min="6893" max="7141" width="8.86328125" style="239"/>
    <col min="7142" max="7142" width="0.86328125" style="239" customWidth="1"/>
    <col min="7143" max="7143" width="7" style="239" customWidth="1"/>
    <col min="7144" max="7144" width="50.6640625" style="239" customWidth="1"/>
    <col min="7145" max="7146" width="7.6640625" style="239" customWidth="1"/>
    <col min="7147" max="7147" width="11.6640625" style="239" customWidth="1"/>
    <col min="7148" max="7148" width="12.6640625" style="239" customWidth="1"/>
    <col min="7149" max="7397" width="8.86328125" style="239"/>
    <col min="7398" max="7398" width="0.86328125" style="239" customWidth="1"/>
    <col min="7399" max="7399" width="7" style="239" customWidth="1"/>
    <col min="7400" max="7400" width="50.6640625" style="239" customWidth="1"/>
    <col min="7401" max="7402" width="7.6640625" style="239" customWidth="1"/>
    <col min="7403" max="7403" width="11.6640625" style="239" customWidth="1"/>
    <col min="7404" max="7404" width="12.6640625" style="239" customWidth="1"/>
    <col min="7405" max="7653" width="8.86328125" style="239"/>
    <col min="7654" max="7654" width="0.86328125" style="239" customWidth="1"/>
    <col min="7655" max="7655" width="7" style="239" customWidth="1"/>
    <col min="7656" max="7656" width="50.6640625" style="239" customWidth="1"/>
    <col min="7657" max="7658" width="7.6640625" style="239" customWidth="1"/>
    <col min="7659" max="7659" width="11.6640625" style="239" customWidth="1"/>
    <col min="7660" max="7660" width="12.6640625" style="239" customWidth="1"/>
    <col min="7661" max="7909" width="8.86328125" style="239"/>
    <col min="7910" max="7910" width="0.86328125" style="239" customWidth="1"/>
    <col min="7911" max="7911" width="7" style="239" customWidth="1"/>
    <col min="7912" max="7912" width="50.6640625" style="239" customWidth="1"/>
    <col min="7913" max="7914" width="7.6640625" style="239" customWidth="1"/>
    <col min="7915" max="7915" width="11.6640625" style="239" customWidth="1"/>
    <col min="7916" max="7916" width="12.6640625" style="239" customWidth="1"/>
    <col min="7917" max="8165" width="8.86328125" style="239"/>
    <col min="8166" max="8166" width="0.86328125" style="239" customWidth="1"/>
    <col min="8167" max="8167" width="7" style="239" customWidth="1"/>
    <col min="8168" max="8168" width="50.6640625" style="239" customWidth="1"/>
    <col min="8169" max="8170" width="7.6640625" style="239" customWidth="1"/>
    <col min="8171" max="8171" width="11.6640625" style="239" customWidth="1"/>
    <col min="8172" max="8172" width="12.6640625" style="239" customWidth="1"/>
    <col min="8173" max="8421" width="8.86328125" style="239"/>
    <col min="8422" max="8422" width="0.86328125" style="239" customWidth="1"/>
    <col min="8423" max="8423" width="7" style="239" customWidth="1"/>
    <col min="8424" max="8424" width="50.6640625" style="239" customWidth="1"/>
    <col min="8425" max="8426" width="7.6640625" style="239" customWidth="1"/>
    <col min="8427" max="8427" width="11.6640625" style="239" customWidth="1"/>
    <col min="8428" max="8428" width="12.6640625" style="239" customWidth="1"/>
    <col min="8429" max="8677" width="8.86328125" style="239"/>
    <col min="8678" max="8678" width="0.86328125" style="239" customWidth="1"/>
    <col min="8679" max="8679" width="7" style="239" customWidth="1"/>
    <col min="8680" max="8680" width="50.6640625" style="239" customWidth="1"/>
    <col min="8681" max="8682" width="7.6640625" style="239" customWidth="1"/>
    <col min="8683" max="8683" width="11.6640625" style="239" customWidth="1"/>
    <col min="8684" max="8684" width="12.6640625" style="239" customWidth="1"/>
    <col min="8685" max="8933" width="8.86328125" style="239"/>
    <col min="8934" max="8934" width="0.86328125" style="239" customWidth="1"/>
    <col min="8935" max="8935" width="7" style="239" customWidth="1"/>
    <col min="8936" max="8936" width="50.6640625" style="239" customWidth="1"/>
    <col min="8937" max="8938" width="7.6640625" style="239" customWidth="1"/>
    <col min="8939" max="8939" width="11.6640625" style="239" customWidth="1"/>
    <col min="8940" max="8940" width="12.6640625" style="239" customWidth="1"/>
    <col min="8941" max="9189" width="8.86328125" style="239"/>
    <col min="9190" max="9190" width="0.86328125" style="239" customWidth="1"/>
    <col min="9191" max="9191" width="7" style="239" customWidth="1"/>
    <col min="9192" max="9192" width="50.6640625" style="239" customWidth="1"/>
    <col min="9193" max="9194" width="7.6640625" style="239" customWidth="1"/>
    <col min="9195" max="9195" width="11.6640625" style="239" customWidth="1"/>
    <col min="9196" max="9196" width="12.6640625" style="239" customWidth="1"/>
    <col min="9197" max="9445" width="8.86328125" style="239"/>
    <col min="9446" max="9446" width="0.86328125" style="239" customWidth="1"/>
    <col min="9447" max="9447" width="7" style="239" customWidth="1"/>
    <col min="9448" max="9448" width="50.6640625" style="239" customWidth="1"/>
    <col min="9449" max="9450" width="7.6640625" style="239" customWidth="1"/>
    <col min="9451" max="9451" width="11.6640625" style="239" customWidth="1"/>
    <col min="9452" max="9452" width="12.6640625" style="239" customWidth="1"/>
    <col min="9453" max="9701" width="8.86328125" style="239"/>
    <col min="9702" max="9702" width="0.86328125" style="239" customWidth="1"/>
    <col min="9703" max="9703" width="7" style="239" customWidth="1"/>
    <col min="9704" max="9704" width="50.6640625" style="239" customWidth="1"/>
    <col min="9705" max="9706" width="7.6640625" style="239" customWidth="1"/>
    <col min="9707" max="9707" width="11.6640625" style="239" customWidth="1"/>
    <col min="9708" max="9708" width="12.6640625" style="239" customWidth="1"/>
    <col min="9709" max="9957" width="8.86328125" style="239"/>
    <col min="9958" max="9958" width="0.86328125" style="239" customWidth="1"/>
    <col min="9959" max="9959" width="7" style="239" customWidth="1"/>
    <col min="9960" max="9960" width="50.6640625" style="239" customWidth="1"/>
    <col min="9961" max="9962" width="7.6640625" style="239" customWidth="1"/>
    <col min="9963" max="9963" width="11.6640625" style="239" customWidth="1"/>
    <col min="9964" max="9964" width="12.6640625" style="239" customWidth="1"/>
    <col min="9965" max="10213" width="8.86328125" style="239"/>
    <col min="10214" max="10214" width="0.86328125" style="239" customWidth="1"/>
    <col min="10215" max="10215" width="7" style="239" customWidth="1"/>
    <col min="10216" max="10216" width="50.6640625" style="239" customWidth="1"/>
    <col min="10217" max="10218" width="7.6640625" style="239" customWidth="1"/>
    <col min="10219" max="10219" width="11.6640625" style="239" customWidth="1"/>
    <col min="10220" max="10220" width="12.6640625" style="239" customWidth="1"/>
    <col min="10221" max="10469" width="8.86328125" style="239"/>
    <col min="10470" max="10470" width="0.86328125" style="239" customWidth="1"/>
    <col min="10471" max="10471" width="7" style="239" customWidth="1"/>
    <col min="10472" max="10472" width="50.6640625" style="239" customWidth="1"/>
    <col min="10473" max="10474" width="7.6640625" style="239" customWidth="1"/>
    <col min="10475" max="10475" width="11.6640625" style="239" customWidth="1"/>
    <col min="10476" max="10476" width="12.6640625" style="239" customWidth="1"/>
    <col min="10477" max="10725" width="8.86328125" style="239"/>
    <col min="10726" max="10726" width="0.86328125" style="239" customWidth="1"/>
    <col min="10727" max="10727" width="7" style="239" customWidth="1"/>
    <col min="10728" max="10728" width="50.6640625" style="239" customWidth="1"/>
    <col min="10729" max="10730" width="7.6640625" style="239" customWidth="1"/>
    <col min="10731" max="10731" width="11.6640625" style="239" customWidth="1"/>
    <col min="10732" max="10732" width="12.6640625" style="239" customWidth="1"/>
    <col min="10733" max="10981" width="8.86328125" style="239"/>
    <col min="10982" max="10982" width="0.86328125" style="239" customWidth="1"/>
    <col min="10983" max="10983" width="7" style="239" customWidth="1"/>
    <col min="10984" max="10984" width="50.6640625" style="239" customWidth="1"/>
    <col min="10985" max="10986" width="7.6640625" style="239" customWidth="1"/>
    <col min="10987" max="10987" width="11.6640625" style="239" customWidth="1"/>
    <col min="10988" max="10988" width="12.6640625" style="239" customWidth="1"/>
    <col min="10989" max="11237" width="8.86328125" style="239"/>
    <col min="11238" max="11238" width="0.86328125" style="239" customWidth="1"/>
    <col min="11239" max="11239" width="7" style="239" customWidth="1"/>
    <col min="11240" max="11240" width="50.6640625" style="239" customWidth="1"/>
    <col min="11241" max="11242" width="7.6640625" style="239" customWidth="1"/>
    <col min="11243" max="11243" width="11.6640625" style="239" customWidth="1"/>
    <col min="11244" max="11244" width="12.6640625" style="239" customWidth="1"/>
    <col min="11245" max="11493" width="8.86328125" style="239"/>
    <col min="11494" max="11494" width="0.86328125" style="239" customWidth="1"/>
    <col min="11495" max="11495" width="7" style="239" customWidth="1"/>
    <col min="11496" max="11496" width="50.6640625" style="239" customWidth="1"/>
    <col min="11497" max="11498" width="7.6640625" style="239" customWidth="1"/>
    <col min="11499" max="11499" width="11.6640625" style="239" customWidth="1"/>
    <col min="11500" max="11500" width="12.6640625" style="239" customWidth="1"/>
    <col min="11501" max="11749" width="8.86328125" style="239"/>
    <col min="11750" max="11750" width="0.86328125" style="239" customWidth="1"/>
    <col min="11751" max="11751" width="7" style="239" customWidth="1"/>
    <col min="11752" max="11752" width="50.6640625" style="239" customWidth="1"/>
    <col min="11753" max="11754" width="7.6640625" style="239" customWidth="1"/>
    <col min="11755" max="11755" width="11.6640625" style="239" customWidth="1"/>
    <col min="11756" max="11756" width="12.6640625" style="239" customWidth="1"/>
    <col min="11757" max="12005" width="8.86328125" style="239"/>
    <col min="12006" max="12006" width="0.86328125" style="239" customWidth="1"/>
    <col min="12007" max="12007" width="7" style="239" customWidth="1"/>
    <col min="12008" max="12008" width="50.6640625" style="239" customWidth="1"/>
    <col min="12009" max="12010" width="7.6640625" style="239" customWidth="1"/>
    <col min="12011" max="12011" width="11.6640625" style="239" customWidth="1"/>
    <col min="12012" max="12012" width="12.6640625" style="239" customWidth="1"/>
    <col min="12013" max="12261" width="8.86328125" style="239"/>
    <col min="12262" max="12262" width="0.86328125" style="239" customWidth="1"/>
    <col min="12263" max="12263" width="7" style="239" customWidth="1"/>
    <col min="12264" max="12264" width="50.6640625" style="239" customWidth="1"/>
    <col min="12265" max="12266" width="7.6640625" style="239" customWidth="1"/>
    <col min="12267" max="12267" width="11.6640625" style="239" customWidth="1"/>
    <col min="12268" max="12268" width="12.6640625" style="239" customWidth="1"/>
    <col min="12269" max="12517" width="8.86328125" style="239"/>
    <col min="12518" max="12518" width="0.86328125" style="239" customWidth="1"/>
    <col min="12519" max="12519" width="7" style="239" customWidth="1"/>
    <col min="12520" max="12520" width="50.6640625" style="239" customWidth="1"/>
    <col min="12521" max="12522" width="7.6640625" style="239" customWidth="1"/>
    <col min="12523" max="12523" width="11.6640625" style="239" customWidth="1"/>
    <col min="12524" max="12524" width="12.6640625" style="239" customWidth="1"/>
    <col min="12525" max="12773" width="8.86328125" style="239"/>
    <col min="12774" max="12774" width="0.86328125" style="239" customWidth="1"/>
    <col min="12775" max="12775" width="7" style="239" customWidth="1"/>
    <col min="12776" max="12776" width="50.6640625" style="239" customWidth="1"/>
    <col min="12777" max="12778" width="7.6640625" style="239" customWidth="1"/>
    <col min="12779" max="12779" width="11.6640625" style="239" customWidth="1"/>
    <col min="12780" max="12780" width="12.6640625" style="239" customWidth="1"/>
    <col min="12781" max="13029" width="8.86328125" style="239"/>
    <col min="13030" max="13030" width="0.86328125" style="239" customWidth="1"/>
    <col min="13031" max="13031" width="7" style="239" customWidth="1"/>
    <col min="13032" max="13032" width="50.6640625" style="239" customWidth="1"/>
    <col min="13033" max="13034" width="7.6640625" style="239" customWidth="1"/>
    <col min="13035" max="13035" width="11.6640625" style="239" customWidth="1"/>
    <col min="13036" max="13036" width="12.6640625" style="239" customWidth="1"/>
    <col min="13037" max="13285" width="8.86328125" style="239"/>
    <col min="13286" max="13286" width="0.86328125" style="239" customWidth="1"/>
    <col min="13287" max="13287" width="7" style="239" customWidth="1"/>
    <col min="13288" max="13288" width="50.6640625" style="239" customWidth="1"/>
    <col min="13289" max="13290" width="7.6640625" style="239" customWidth="1"/>
    <col min="13291" max="13291" width="11.6640625" style="239" customWidth="1"/>
    <col min="13292" max="13292" width="12.6640625" style="239" customWidth="1"/>
    <col min="13293" max="13541" width="8.86328125" style="239"/>
    <col min="13542" max="13542" width="0.86328125" style="239" customWidth="1"/>
    <col min="13543" max="13543" width="7" style="239" customWidth="1"/>
    <col min="13544" max="13544" width="50.6640625" style="239" customWidth="1"/>
    <col min="13545" max="13546" width="7.6640625" style="239" customWidth="1"/>
    <col min="13547" max="13547" width="11.6640625" style="239" customWidth="1"/>
    <col min="13548" max="13548" width="12.6640625" style="239" customWidth="1"/>
    <col min="13549" max="13797" width="8.86328125" style="239"/>
    <col min="13798" max="13798" width="0.86328125" style="239" customWidth="1"/>
    <col min="13799" max="13799" width="7" style="239" customWidth="1"/>
    <col min="13800" max="13800" width="50.6640625" style="239" customWidth="1"/>
    <col min="13801" max="13802" width="7.6640625" style="239" customWidth="1"/>
    <col min="13803" max="13803" width="11.6640625" style="239" customWidth="1"/>
    <col min="13804" max="13804" width="12.6640625" style="239" customWidth="1"/>
    <col min="13805" max="14053" width="8.86328125" style="239"/>
    <col min="14054" max="14054" width="0.86328125" style="239" customWidth="1"/>
    <col min="14055" max="14055" width="7" style="239" customWidth="1"/>
    <col min="14056" max="14056" width="50.6640625" style="239" customWidth="1"/>
    <col min="14057" max="14058" width="7.6640625" style="239" customWidth="1"/>
    <col min="14059" max="14059" width="11.6640625" style="239" customWidth="1"/>
    <col min="14060" max="14060" width="12.6640625" style="239" customWidth="1"/>
    <col min="14061" max="14309" width="8.86328125" style="239"/>
    <col min="14310" max="14310" width="0.86328125" style="239" customWidth="1"/>
    <col min="14311" max="14311" width="7" style="239" customWidth="1"/>
    <col min="14312" max="14312" width="50.6640625" style="239" customWidth="1"/>
    <col min="14313" max="14314" width="7.6640625" style="239" customWidth="1"/>
    <col min="14315" max="14315" width="11.6640625" style="239" customWidth="1"/>
    <col min="14316" max="14316" width="12.6640625" style="239" customWidth="1"/>
    <col min="14317" max="14565" width="8.86328125" style="239"/>
    <col min="14566" max="14566" width="0.86328125" style="239" customWidth="1"/>
    <col min="14567" max="14567" width="7" style="239" customWidth="1"/>
    <col min="14568" max="14568" width="50.6640625" style="239" customWidth="1"/>
    <col min="14569" max="14570" width="7.6640625" style="239" customWidth="1"/>
    <col min="14571" max="14571" width="11.6640625" style="239" customWidth="1"/>
    <col min="14572" max="14572" width="12.6640625" style="239" customWidth="1"/>
    <col min="14573" max="14821" width="8.86328125" style="239"/>
    <col min="14822" max="14822" width="0.86328125" style="239" customWidth="1"/>
    <col min="14823" max="14823" width="7" style="239" customWidth="1"/>
    <col min="14824" max="14824" width="50.6640625" style="239" customWidth="1"/>
    <col min="14825" max="14826" width="7.6640625" style="239" customWidth="1"/>
    <col min="14827" max="14827" width="11.6640625" style="239" customWidth="1"/>
    <col min="14828" max="14828" width="12.6640625" style="239" customWidth="1"/>
    <col min="14829" max="15077" width="8.86328125" style="239"/>
    <col min="15078" max="15078" width="0.86328125" style="239" customWidth="1"/>
    <col min="15079" max="15079" width="7" style="239" customWidth="1"/>
    <col min="15080" max="15080" width="50.6640625" style="239" customWidth="1"/>
    <col min="15081" max="15082" width="7.6640625" style="239" customWidth="1"/>
    <col min="15083" max="15083" width="11.6640625" style="239" customWidth="1"/>
    <col min="15084" max="15084" width="12.6640625" style="239" customWidth="1"/>
    <col min="15085" max="15333" width="8.86328125" style="239"/>
    <col min="15334" max="15334" width="0.86328125" style="239" customWidth="1"/>
    <col min="15335" max="15335" width="7" style="239" customWidth="1"/>
    <col min="15336" max="15336" width="50.6640625" style="239" customWidth="1"/>
    <col min="15337" max="15338" width="7.6640625" style="239" customWidth="1"/>
    <col min="15339" max="15339" width="11.6640625" style="239" customWidth="1"/>
    <col min="15340" max="15340" width="12.6640625" style="239" customWidth="1"/>
    <col min="15341" max="15589" width="8.86328125" style="239"/>
    <col min="15590" max="15590" width="0.86328125" style="239" customWidth="1"/>
    <col min="15591" max="15591" width="7" style="239" customWidth="1"/>
    <col min="15592" max="15592" width="50.6640625" style="239" customWidth="1"/>
    <col min="15593" max="15594" width="7.6640625" style="239" customWidth="1"/>
    <col min="15595" max="15595" width="11.6640625" style="239" customWidth="1"/>
    <col min="15596" max="15596" width="12.6640625" style="239" customWidth="1"/>
    <col min="15597" max="15845" width="8.86328125" style="239"/>
    <col min="15846" max="15846" width="0.86328125" style="239" customWidth="1"/>
    <col min="15847" max="15847" width="7" style="239" customWidth="1"/>
    <col min="15848" max="15848" width="50.6640625" style="239" customWidth="1"/>
    <col min="15849" max="15850" width="7.6640625" style="239" customWidth="1"/>
    <col min="15851" max="15851" width="11.6640625" style="239" customWidth="1"/>
    <col min="15852" max="15852" width="12.6640625" style="239" customWidth="1"/>
    <col min="15853" max="16101" width="8.86328125" style="239"/>
    <col min="16102" max="16102" width="0.86328125" style="239" customWidth="1"/>
    <col min="16103" max="16103" width="7" style="239" customWidth="1"/>
    <col min="16104" max="16104" width="50.6640625" style="239" customWidth="1"/>
    <col min="16105" max="16106" width="7.6640625" style="239" customWidth="1"/>
    <col min="16107" max="16107" width="11.6640625" style="239" customWidth="1"/>
    <col min="16108" max="16108" width="12.6640625" style="239" customWidth="1"/>
    <col min="16109" max="16384" width="8.86328125" style="239"/>
  </cols>
  <sheetData>
    <row r="1" spans="1:11" ht="3.75" customHeight="1" x14ac:dyDescent="0.35"/>
    <row r="2" spans="1:11" s="257" customFormat="1" ht="30.75" x14ac:dyDescent="0.35">
      <c r="A2" s="238"/>
      <c r="B2" s="245" t="s">
        <v>37</v>
      </c>
      <c r="C2" s="246" t="s">
        <v>38</v>
      </c>
      <c r="D2" s="247" t="s">
        <v>73</v>
      </c>
      <c r="E2" s="246" t="s">
        <v>54</v>
      </c>
      <c r="F2" s="248" t="s">
        <v>533</v>
      </c>
      <c r="G2" s="249" t="s">
        <v>534</v>
      </c>
    </row>
    <row r="3" spans="1:11" ht="22.05" customHeight="1" x14ac:dyDescent="0.35">
      <c r="B3" s="242"/>
      <c r="C3" s="259" t="s">
        <v>969</v>
      </c>
      <c r="D3" s="260"/>
      <c r="E3" s="261"/>
      <c r="F3" s="262"/>
      <c r="G3" s="244"/>
    </row>
    <row r="4" spans="1:11" ht="22.05" customHeight="1" x14ac:dyDescent="0.35">
      <c r="B4" s="242"/>
      <c r="C4" s="259" t="s">
        <v>970</v>
      </c>
      <c r="D4" s="260"/>
      <c r="E4" s="261"/>
      <c r="F4" s="262"/>
      <c r="G4" s="244"/>
    </row>
    <row r="5" spans="1:11" ht="31.15" customHeight="1" x14ac:dyDescent="0.35">
      <c r="B5" s="242"/>
      <c r="C5" s="311" t="s">
        <v>543</v>
      </c>
      <c r="D5" s="260"/>
      <c r="E5" s="261"/>
      <c r="F5" s="262"/>
      <c r="G5" s="244"/>
    </row>
    <row r="6" spans="1:11" ht="64.150000000000006" customHeight="1" x14ac:dyDescent="0.35">
      <c r="B6" s="242"/>
      <c r="C6" s="311" t="s">
        <v>544</v>
      </c>
      <c r="D6" s="260"/>
      <c r="E6" s="261"/>
      <c r="F6" s="262"/>
      <c r="G6" s="244"/>
    </row>
    <row r="7" spans="1:11" ht="22.05" customHeight="1" x14ac:dyDescent="0.35">
      <c r="B7" s="242"/>
      <c r="C7" s="259" t="s">
        <v>51</v>
      </c>
      <c r="D7" s="260"/>
      <c r="E7" s="261"/>
      <c r="F7" s="262"/>
      <c r="G7" s="244"/>
    </row>
    <row r="8" spans="1:11" ht="22.05" customHeight="1" x14ac:dyDescent="0.35">
      <c r="B8" s="242"/>
      <c r="C8" s="259" t="s">
        <v>1081</v>
      </c>
      <c r="D8" s="260"/>
      <c r="E8" s="261"/>
      <c r="F8" s="262"/>
      <c r="G8" s="244"/>
    </row>
    <row r="9" spans="1:11" ht="21.95" customHeight="1" x14ac:dyDescent="0.35">
      <c r="B9" s="242"/>
      <c r="C9" s="311" t="s">
        <v>675</v>
      </c>
      <c r="D9" s="260"/>
      <c r="E9" s="261"/>
      <c r="F9" s="253"/>
      <c r="G9" s="251"/>
      <c r="J9" s="320"/>
      <c r="K9" s="365"/>
    </row>
    <row r="10" spans="1:11" ht="21.95" customHeight="1" x14ac:dyDescent="0.35">
      <c r="B10" s="242"/>
      <c r="C10" s="311" t="s">
        <v>697</v>
      </c>
      <c r="D10" s="260"/>
      <c r="E10" s="261"/>
      <c r="F10" s="253"/>
      <c r="G10" s="251"/>
      <c r="J10" s="320"/>
      <c r="K10" s="365"/>
    </row>
    <row r="11" spans="1:11" ht="32.450000000000003" customHeight="1" x14ac:dyDescent="0.35">
      <c r="B11" s="242" t="s">
        <v>31</v>
      </c>
      <c r="C11" s="310" t="s">
        <v>698</v>
      </c>
      <c r="D11" s="260">
        <v>2</v>
      </c>
      <c r="E11" s="261" t="s">
        <v>113</v>
      </c>
      <c r="F11" s="253">
        <v>280000</v>
      </c>
      <c r="G11" s="313">
        <f>F11*D11</f>
        <v>560000</v>
      </c>
    </row>
    <row r="12" spans="1:11" ht="37.799999999999997" customHeight="1" x14ac:dyDescent="0.35">
      <c r="B12" s="242" t="s">
        <v>32</v>
      </c>
      <c r="C12" s="310" t="s">
        <v>699</v>
      </c>
      <c r="D12" s="260">
        <v>2</v>
      </c>
      <c r="E12" s="261" t="s">
        <v>113</v>
      </c>
      <c r="F12" s="253">
        <v>262500</v>
      </c>
      <c r="G12" s="313">
        <f t="shared" ref="G12:G31" si="0">F12*D12</f>
        <v>525000</v>
      </c>
    </row>
    <row r="13" spans="1:11" ht="21.95" customHeight="1" x14ac:dyDescent="0.35">
      <c r="B13" s="242"/>
      <c r="C13" s="311" t="s">
        <v>700</v>
      </c>
      <c r="D13" s="260"/>
      <c r="E13" s="261"/>
      <c r="F13" s="253">
        <v>0</v>
      </c>
      <c r="G13" s="313">
        <f t="shared" si="0"/>
        <v>0</v>
      </c>
      <c r="J13" s="320"/>
      <c r="K13" s="365"/>
    </row>
    <row r="14" spans="1:11" ht="37.25" customHeight="1" x14ac:dyDescent="0.35">
      <c r="B14" s="242" t="s">
        <v>33</v>
      </c>
      <c r="C14" s="310" t="s">
        <v>701</v>
      </c>
      <c r="D14" s="260">
        <v>6</v>
      </c>
      <c r="E14" s="261" t="s">
        <v>112</v>
      </c>
      <c r="F14" s="253">
        <v>192500</v>
      </c>
      <c r="G14" s="313">
        <f t="shared" si="0"/>
        <v>1155000</v>
      </c>
    </row>
    <row r="15" spans="1:11" ht="22.05" customHeight="1" x14ac:dyDescent="0.35">
      <c r="B15" s="242" t="s">
        <v>34</v>
      </c>
      <c r="C15" s="310" t="s">
        <v>702</v>
      </c>
      <c r="D15" s="260">
        <v>2</v>
      </c>
      <c r="E15" s="261" t="s">
        <v>113</v>
      </c>
      <c r="F15" s="253">
        <v>87500</v>
      </c>
      <c r="G15" s="313">
        <f t="shared" si="0"/>
        <v>175000</v>
      </c>
    </row>
    <row r="16" spans="1:11" ht="22.05" customHeight="1" x14ac:dyDescent="0.35">
      <c r="B16" s="242" t="s">
        <v>35</v>
      </c>
      <c r="C16" s="310" t="s">
        <v>703</v>
      </c>
      <c r="D16" s="260">
        <v>2</v>
      </c>
      <c r="E16" s="261" t="s">
        <v>113</v>
      </c>
      <c r="F16" s="253">
        <v>63000</v>
      </c>
      <c r="G16" s="313">
        <f t="shared" si="0"/>
        <v>126000</v>
      </c>
    </row>
    <row r="17" spans="2:11" ht="22.05" customHeight="1" x14ac:dyDescent="0.35">
      <c r="B17" s="242" t="s">
        <v>36</v>
      </c>
      <c r="C17" s="310" t="s">
        <v>660</v>
      </c>
      <c r="D17" s="260">
        <v>2</v>
      </c>
      <c r="E17" s="261" t="s">
        <v>113</v>
      </c>
      <c r="F17" s="253">
        <v>227500</v>
      </c>
      <c r="G17" s="313">
        <f t="shared" si="0"/>
        <v>455000</v>
      </c>
    </row>
    <row r="18" spans="2:11" ht="36.6" customHeight="1" x14ac:dyDescent="0.35">
      <c r="B18" s="242" t="s">
        <v>114</v>
      </c>
      <c r="C18" s="310" t="s">
        <v>704</v>
      </c>
      <c r="D18" s="260">
        <v>12</v>
      </c>
      <c r="E18" s="261" t="s">
        <v>112</v>
      </c>
      <c r="F18" s="253">
        <v>19250</v>
      </c>
      <c r="G18" s="313">
        <f t="shared" si="0"/>
        <v>231000</v>
      </c>
    </row>
    <row r="19" spans="2:11" ht="76.900000000000006" x14ac:dyDescent="0.35">
      <c r="B19" s="242" t="s">
        <v>39</v>
      </c>
      <c r="C19" s="310" t="s">
        <v>705</v>
      </c>
      <c r="D19" s="260">
        <v>2</v>
      </c>
      <c r="E19" s="261" t="s">
        <v>113</v>
      </c>
      <c r="F19" s="253">
        <v>1225000</v>
      </c>
      <c r="G19" s="313">
        <f t="shared" si="0"/>
        <v>2450000</v>
      </c>
    </row>
    <row r="20" spans="2:11" ht="21.95" customHeight="1" x14ac:dyDescent="0.35">
      <c r="B20" s="242"/>
      <c r="C20" s="311" t="s">
        <v>706</v>
      </c>
      <c r="D20" s="260"/>
      <c r="E20" s="261"/>
      <c r="F20" s="253"/>
      <c r="G20" s="313"/>
      <c r="J20" s="320"/>
      <c r="K20" s="365"/>
    </row>
    <row r="21" spans="2:11" ht="30.4" customHeight="1" x14ac:dyDescent="0.35">
      <c r="B21" s="242" t="s">
        <v>40</v>
      </c>
      <c r="C21" s="310" t="s">
        <v>707</v>
      </c>
      <c r="D21" s="260">
        <v>12</v>
      </c>
      <c r="E21" s="261" t="s">
        <v>112</v>
      </c>
      <c r="F21" s="253">
        <v>227500</v>
      </c>
      <c r="G21" s="313">
        <f t="shared" si="0"/>
        <v>2730000</v>
      </c>
    </row>
    <row r="22" spans="2:11" ht="30.4" customHeight="1" x14ac:dyDescent="0.35">
      <c r="B22" s="242" t="s">
        <v>15</v>
      </c>
      <c r="C22" s="310" t="s">
        <v>708</v>
      </c>
      <c r="D22" s="260">
        <v>45</v>
      </c>
      <c r="E22" s="261" t="s">
        <v>112</v>
      </c>
      <c r="F22" s="253">
        <v>192500</v>
      </c>
      <c r="G22" s="313">
        <f t="shared" si="0"/>
        <v>8662500</v>
      </c>
    </row>
    <row r="23" spans="2:11" ht="30.4" customHeight="1" x14ac:dyDescent="0.35">
      <c r="B23" s="242" t="s">
        <v>16</v>
      </c>
      <c r="C23" s="310" t="s">
        <v>709</v>
      </c>
      <c r="D23" s="260">
        <v>6</v>
      </c>
      <c r="E23" s="261" t="s">
        <v>112</v>
      </c>
      <c r="F23" s="253">
        <v>140000</v>
      </c>
      <c r="G23" s="313">
        <f t="shared" si="0"/>
        <v>840000</v>
      </c>
    </row>
    <row r="24" spans="2:11" ht="30.4" customHeight="1" x14ac:dyDescent="0.35">
      <c r="B24" s="242" t="s">
        <v>89</v>
      </c>
      <c r="C24" s="310" t="s">
        <v>710</v>
      </c>
      <c r="D24" s="260">
        <v>24</v>
      </c>
      <c r="E24" s="261" t="s">
        <v>112</v>
      </c>
      <c r="F24" s="253">
        <v>105000</v>
      </c>
      <c r="G24" s="313">
        <f t="shared" si="0"/>
        <v>2520000</v>
      </c>
    </row>
    <row r="25" spans="2:11" ht="30.4" customHeight="1" x14ac:dyDescent="0.35">
      <c r="B25" s="242" t="s">
        <v>17</v>
      </c>
      <c r="C25" s="310" t="s">
        <v>711</v>
      </c>
      <c r="D25" s="260">
        <v>48</v>
      </c>
      <c r="E25" s="261" t="s">
        <v>112</v>
      </c>
      <c r="F25" s="253">
        <v>98000</v>
      </c>
      <c r="G25" s="313">
        <f t="shared" si="0"/>
        <v>4704000</v>
      </c>
    </row>
    <row r="26" spans="2:11" ht="30.4" customHeight="1" x14ac:dyDescent="0.35">
      <c r="B26" s="242" t="s">
        <v>90</v>
      </c>
      <c r="C26" s="310" t="s">
        <v>712</v>
      </c>
      <c r="D26" s="260">
        <v>90</v>
      </c>
      <c r="E26" s="261" t="s">
        <v>112</v>
      </c>
      <c r="F26" s="253">
        <v>84000</v>
      </c>
      <c r="G26" s="313">
        <f t="shared" si="0"/>
        <v>7560000</v>
      </c>
    </row>
    <row r="27" spans="2:11" ht="15.85" customHeight="1" x14ac:dyDescent="0.35">
      <c r="B27" s="242" t="s">
        <v>31</v>
      </c>
      <c r="C27" s="310" t="s">
        <v>713</v>
      </c>
      <c r="D27" s="260">
        <v>4</v>
      </c>
      <c r="E27" s="261" t="s">
        <v>113</v>
      </c>
      <c r="F27" s="253">
        <v>122500</v>
      </c>
      <c r="G27" s="313">
        <f t="shared" si="0"/>
        <v>490000</v>
      </c>
    </row>
    <row r="28" spans="2:11" ht="15.85" customHeight="1" x14ac:dyDescent="0.35">
      <c r="B28" s="242" t="s">
        <v>32</v>
      </c>
      <c r="C28" s="310" t="s">
        <v>714</v>
      </c>
      <c r="D28" s="260">
        <v>60</v>
      </c>
      <c r="E28" s="261" t="s">
        <v>113</v>
      </c>
      <c r="F28" s="253">
        <v>7000</v>
      </c>
      <c r="G28" s="313">
        <f t="shared" si="0"/>
        <v>420000</v>
      </c>
    </row>
    <row r="29" spans="2:11" ht="15.85" customHeight="1" x14ac:dyDescent="0.35">
      <c r="B29" s="242" t="s">
        <v>33</v>
      </c>
      <c r="C29" s="310" t="s">
        <v>715</v>
      </c>
      <c r="D29" s="260">
        <v>4</v>
      </c>
      <c r="E29" s="261" t="s">
        <v>113</v>
      </c>
      <c r="F29" s="253">
        <v>490000</v>
      </c>
      <c r="G29" s="313">
        <f t="shared" si="0"/>
        <v>1960000</v>
      </c>
    </row>
    <row r="30" spans="2:11" ht="15.85" customHeight="1" x14ac:dyDescent="0.35">
      <c r="B30" s="242" t="s">
        <v>34</v>
      </c>
      <c r="C30" s="310" t="s">
        <v>660</v>
      </c>
      <c r="D30" s="260">
        <v>8</v>
      </c>
      <c r="E30" s="261" t="s">
        <v>113</v>
      </c>
      <c r="F30" s="253">
        <v>252000</v>
      </c>
      <c r="G30" s="313">
        <f t="shared" si="0"/>
        <v>2016000</v>
      </c>
    </row>
    <row r="31" spans="2:11" ht="15.85" customHeight="1" x14ac:dyDescent="0.35">
      <c r="B31" s="242" t="s">
        <v>35</v>
      </c>
      <c r="C31" s="310" t="s">
        <v>716</v>
      </c>
      <c r="D31" s="260">
        <v>40</v>
      </c>
      <c r="E31" s="261" t="s">
        <v>113</v>
      </c>
      <c r="F31" s="253">
        <v>35000</v>
      </c>
      <c r="G31" s="313">
        <f t="shared" si="0"/>
        <v>1400000</v>
      </c>
    </row>
    <row r="32" spans="2:11" ht="17.75" customHeight="1" x14ac:dyDescent="0.35">
      <c r="B32" s="242"/>
      <c r="C32" s="310"/>
      <c r="D32" s="260"/>
      <c r="E32" s="261"/>
      <c r="F32" s="253"/>
      <c r="G32" s="313"/>
    </row>
    <row r="33" spans="2:11" ht="17.75" customHeight="1" x14ac:dyDescent="0.35">
      <c r="B33" s="242"/>
      <c r="C33" s="310"/>
      <c r="D33" s="260"/>
      <c r="E33" s="261"/>
      <c r="F33" s="253"/>
      <c r="G33" s="313"/>
    </row>
    <row r="34" spans="2:11" s="241" customFormat="1" ht="17.75" customHeight="1" thickBot="1" x14ac:dyDescent="0.4">
      <c r="B34" s="252"/>
      <c r="C34" s="316" t="s">
        <v>55</v>
      </c>
      <c r="D34" s="263"/>
      <c r="E34" s="243"/>
      <c r="F34" s="250"/>
      <c r="G34" s="314">
        <f>SUM(G11:G32)</f>
        <v>38979500</v>
      </c>
      <c r="H34" s="239"/>
      <c r="J34" s="320"/>
      <c r="K34" s="365"/>
    </row>
    <row r="35" spans="2:11" s="258" customFormat="1" ht="17.75" customHeight="1" thickTop="1" x14ac:dyDescent="0.35">
      <c r="B35" s="317"/>
      <c r="C35" s="318" t="s">
        <v>971</v>
      </c>
      <c r="D35" s="319"/>
      <c r="E35" s="319"/>
      <c r="F35" s="312"/>
      <c r="G35" s="315"/>
      <c r="H35" s="239"/>
      <c r="J35" s="320"/>
      <c r="K35" s="365"/>
    </row>
    <row r="36" spans="2:11" ht="22.05" customHeight="1" x14ac:dyDescent="0.35">
      <c r="B36" s="242"/>
      <c r="C36" s="259" t="s">
        <v>969</v>
      </c>
      <c r="D36" s="260"/>
      <c r="E36" s="261"/>
      <c r="F36" s="262"/>
      <c r="G36" s="244"/>
    </row>
    <row r="37" spans="2:11" ht="22.05" customHeight="1" x14ac:dyDescent="0.35">
      <c r="B37" s="242"/>
      <c r="C37" s="259" t="s">
        <v>970</v>
      </c>
      <c r="D37" s="260"/>
      <c r="E37" s="261"/>
      <c r="F37" s="262"/>
      <c r="G37" s="244"/>
    </row>
    <row r="38" spans="2:11" ht="22.05" customHeight="1" x14ac:dyDescent="0.35">
      <c r="B38" s="242"/>
      <c r="C38" s="259" t="s">
        <v>71</v>
      </c>
      <c r="D38" s="260"/>
      <c r="E38" s="261"/>
      <c r="F38" s="262"/>
      <c r="G38" s="244"/>
    </row>
    <row r="39" spans="2:11" ht="22.05" customHeight="1" x14ac:dyDescent="0.35">
      <c r="B39" s="242"/>
      <c r="C39" s="259" t="s">
        <v>538</v>
      </c>
      <c r="D39" s="260"/>
      <c r="E39" s="261"/>
      <c r="F39" s="262"/>
      <c r="G39" s="244"/>
    </row>
    <row r="40" spans="2:11" ht="21.95" customHeight="1" x14ac:dyDescent="0.35">
      <c r="B40" s="242"/>
      <c r="C40" s="311" t="s">
        <v>675</v>
      </c>
      <c r="D40" s="260"/>
      <c r="E40" s="261"/>
      <c r="F40" s="253"/>
      <c r="G40" s="313"/>
      <c r="J40" s="320"/>
      <c r="K40" s="365"/>
    </row>
    <row r="41" spans="2:11" ht="21.95" customHeight="1" x14ac:dyDescent="0.35">
      <c r="B41" s="242"/>
      <c r="C41" s="311" t="s">
        <v>697</v>
      </c>
      <c r="D41" s="260"/>
      <c r="E41" s="261"/>
      <c r="F41" s="253"/>
      <c r="G41" s="313"/>
      <c r="J41" s="320"/>
      <c r="K41" s="365"/>
    </row>
    <row r="42" spans="2:11" ht="51.6" customHeight="1" x14ac:dyDescent="0.35">
      <c r="B42" s="242" t="s">
        <v>31</v>
      </c>
      <c r="C42" s="310" t="s">
        <v>698</v>
      </c>
      <c r="D42" s="260">
        <v>2</v>
      </c>
      <c r="E42" s="261" t="s">
        <v>113</v>
      </c>
      <c r="F42" s="253">
        <v>280000</v>
      </c>
      <c r="G42" s="313">
        <f>F42*D42</f>
        <v>560000</v>
      </c>
    </row>
    <row r="43" spans="2:11" ht="37.25" customHeight="1" x14ac:dyDescent="0.35">
      <c r="B43" s="242" t="s">
        <v>32</v>
      </c>
      <c r="C43" s="310" t="s">
        <v>699</v>
      </c>
      <c r="D43" s="260">
        <v>2</v>
      </c>
      <c r="E43" s="261" t="s">
        <v>113</v>
      </c>
      <c r="F43" s="253">
        <v>262500</v>
      </c>
      <c r="G43" s="313">
        <f t="shared" ref="G43:G62" si="1">F43*D43</f>
        <v>525000</v>
      </c>
    </row>
    <row r="44" spans="2:11" x14ac:dyDescent="0.35">
      <c r="B44" s="242"/>
      <c r="C44" s="311" t="s">
        <v>700</v>
      </c>
      <c r="D44" s="260"/>
      <c r="E44" s="261"/>
      <c r="F44" s="253"/>
      <c r="G44" s="313"/>
      <c r="J44" s="320"/>
      <c r="K44" s="365"/>
    </row>
    <row r="45" spans="2:11" ht="36" customHeight="1" x14ac:dyDescent="0.35">
      <c r="B45" s="242" t="s">
        <v>33</v>
      </c>
      <c r="C45" s="310" t="s">
        <v>717</v>
      </c>
      <c r="D45" s="260">
        <v>6</v>
      </c>
      <c r="E45" s="261" t="s">
        <v>112</v>
      </c>
      <c r="F45" s="253">
        <v>192500</v>
      </c>
      <c r="G45" s="313">
        <f t="shared" si="1"/>
        <v>1155000</v>
      </c>
    </row>
    <row r="46" spans="2:11" ht="22.05" customHeight="1" x14ac:dyDescent="0.35">
      <c r="B46" s="242" t="s">
        <v>34</v>
      </c>
      <c r="C46" s="310" t="s">
        <v>718</v>
      </c>
      <c r="D46" s="260">
        <v>2</v>
      </c>
      <c r="E46" s="261" t="s">
        <v>113</v>
      </c>
      <c r="F46" s="253">
        <v>87500</v>
      </c>
      <c r="G46" s="313">
        <f t="shared" si="1"/>
        <v>175000</v>
      </c>
    </row>
    <row r="47" spans="2:11" ht="22.05" customHeight="1" x14ac:dyDescent="0.35">
      <c r="B47" s="242" t="s">
        <v>35</v>
      </c>
      <c r="C47" s="310" t="s">
        <v>713</v>
      </c>
      <c r="D47" s="260">
        <v>2</v>
      </c>
      <c r="E47" s="261" t="s">
        <v>113</v>
      </c>
      <c r="F47" s="253">
        <v>63000</v>
      </c>
      <c r="G47" s="313">
        <f t="shared" si="1"/>
        <v>126000</v>
      </c>
    </row>
    <row r="48" spans="2:11" ht="22.05" customHeight="1" x14ac:dyDescent="0.35">
      <c r="B48" s="242" t="s">
        <v>36</v>
      </c>
      <c r="C48" s="310" t="s">
        <v>660</v>
      </c>
      <c r="D48" s="260">
        <v>2</v>
      </c>
      <c r="E48" s="261" t="s">
        <v>113</v>
      </c>
      <c r="F48" s="253">
        <v>227500</v>
      </c>
      <c r="G48" s="313">
        <f t="shared" si="1"/>
        <v>455000</v>
      </c>
    </row>
    <row r="49" spans="2:11" ht="35.450000000000003" customHeight="1" x14ac:dyDescent="0.35">
      <c r="B49" s="242" t="s">
        <v>114</v>
      </c>
      <c r="C49" s="310" t="s">
        <v>710</v>
      </c>
      <c r="D49" s="260">
        <v>12</v>
      </c>
      <c r="E49" s="261" t="s">
        <v>112</v>
      </c>
      <c r="F49" s="253">
        <v>19250</v>
      </c>
      <c r="G49" s="313">
        <f t="shared" si="1"/>
        <v>231000</v>
      </c>
    </row>
    <row r="50" spans="2:11" ht="76.900000000000006" x14ac:dyDescent="0.35">
      <c r="B50" s="242" t="s">
        <v>39</v>
      </c>
      <c r="C50" s="310" t="s">
        <v>719</v>
      </c>
      <c r="D50" s="260">
        <v>2</v>
      </c>
      <c r="E50" s="261" t="s">
        <v>113</v>
      </c>
      <c r="F50" s="253">
        <v>1225000</v>
      </c>
      <c r="G50" s="313">
        <f t="shared" si="1"/>
        <v>2450000</v>
      </c>
    </row>
    <row r="51" spans="2:11" x14ac:dyDescent="0.35">
      <c r="B51" s="242"/>
      <c r="C51" s="311" t="s">
        <v>706</v>
      </c>
      <c r="D51" s="260"/>
      <c r="E51" s="261"/>
      <c r="F51" s="253"/>
      <c r="G51" s="313"/>
      <c r="J51" s="320"/>
      <c r="K51" s="365"/>
    </row>
    <row r="52" spans="2:11" ht="36" customHeight="1" x14ac:dyDescent="0.35">
      <c r="B52" s="242" t="s">
        <v>40</v>
      </c>
      <c r="C52" s="310" t="s">
        <v>707</v>
      </c>
      <c r="D52" s="260">
        <v>12</v>
      </c>
      <c r="E52" s="261" t="s">
        <v>112</v>
      </c>
      <c r="F52" s="253">
        <v>227500</v>
      </c>
      <c r="G52" s="313">
        <f t="shared" si="1"/>
        <v>2730000</v>
      </c>
    </row>
    <row r="53" spans="2:11" ht="38.450000000000003" customHeight="1" x14ac:dyDescent="0.35">
      <c r="B53" s="242" t="s">
        <v>15</v>
      </c>
      <c r="C53" s="310" t="s">
        <v>708</v>
      </c>
      <c r="D53" s="260">
        <v>45</v>
      </c>
      <c r="E53" s="261" t="s">
        <v>112</v>
      </c>
      <c r="F53" s="253">
        <v>192500</v>
      </c>
      <c r="G53" s="313">
        <f t="shared" si="1"/>
        <v>8662500</v>
      </c>
    </row>
    <row r="54" spans="2:11" ht="36.6" customHeight="1" x14ac:dyDescent="0.35">
      <c r="B54" s="242" t="s">
        <v>16</v>
      </c>
      <c r="C54" s="310" t="s">
        <v>709</v>
      </c>
      <c r="D54" s="260">
        <v>6</v>
      </c>
      <c r="E54" s="261" t="s">
        <v>112</v>
      </c>
      <c r="F54" s="253">
        <v>140000</v>
      </c>
      <c r="G54" s="313">
        <f t="shared" si="1"/>
        <v>840000</v>
      </c>
    </row>
    <row r="55" spans="2:11" ht="36.6" customHeight="1" x14ac:dyDescent="0.35">
      <c r="B55" s="242" t="s">
        <v>89</v>
      </c>
      <c r="C55" s="310" t="s">
        <v>710</v>
      </c>
      <c r="D55" s="260">
        <v>24</v>
      </c>
      <c r="E55" s="261" t="s">
        <v>112</v>
      </c>
      <c r="F55" s="253">
        <v>105000</v>
      </c>
      <c r="G55" s="313">
        <f t="shared" si="1"/>
        <v>2520000</v>
      </c>
    </row>
    <row r="56" spans="2:11" ht="33" customHeight="1" x14ac:dyDescent="0.35">
      <c r="B56" s="242" t="s">
        <v>17</v>
      </c>
      <c r="C56" s="310" t="s">
        <v>711</v>
      </c>
      <c r="D56" s="260">
        <v>48</v>
      </c>
      <c r="E56" s="261" t="s">
        <v>112</v>
      </c>
      <c r="F56" s="253">
        <v>98000</v>
      </c>
      <c r="G56" s="313">
        <f t="shared" si="1"/>
        <v>4704000</v>
      </c>
    </row>
    <row r="57" spans="2:11" ht="35.450000000000003" customHeight="1" x14ac:dyDescent="0.35">
      <c r="B57" s="242" t="s">
        <v>90</v>
      </c>
      <c r="C57" s="310" t="s">
        <v>712</v>
      </c>
      <c r="D57" s="260">
        <v>90</v>
      </c>
      <c r="E57" s="261" t="s">
        <v>112</v>
      </c>
      <c r="F57" s="253">
        <v>84000</v>
      </c>
      <c r="G57" s="313">
        <f t="shared" si="1"/>
        <v>7560000</v>
      </c>
    </row>
    <row r="58" spans="2:11" ht="22.05" customHeight="1" x14ac:dyDescent="0.35">
      <c r="B58" s="242" t="s">
        <v>88</v>
      </c>
      <c r="C58" s="310" t="s">
        <v>713</v>
      </c>
      <c r="D58" s="260">
        <v>4</v>
      </c>
      <c r="E58" s="261" t="s">
        <v>113</v>
      </c>
      <c r="F58" s="253">
        <v>122500</v>
      </c>
      <c r="G58" s="313">
        <f t="shared" si="1"/>
        <v>490000</v>
      </c>
    </row>
    <row r="59" spans="2:11" ht="22.05" customHeight="1" x14ac:dyDescent="0.35">
      <c r="B59" s="242" t="s">
        <v>251</v>
      </c>
      <c r="C59" s="310" t="s">
        <v>714</v>
      </c>
      <c r="D59" s="260">
        <v>60</v>
      </c>
      <c r="E59" s="261" t="s">
        <v>113</v>
      </c>
      <c r="F59" s="253">
        <v>7000</v>
      </c>
      <c r="G59" s="313">
        <f t="shared" si="1"/>
        <v>420000</v>
      </c>
    </row>
    <row r="60" spans="2:11" ht="22.05" customHeight="1" x14ac:dyDescent="0.35">
      <c r="B60" s="242" t="s">
        <v>255</v>
      </c>
      <c r="C60" s="310" t="s">
        <v>715</v>
      </c>
      <c r="D60" s="260">
        <v>4</v>
      </c>
      <c r="E60" s="261" t="s">
        <v>113</v>
      </c>
      <c r="F60" s="253">
        <v>490000</v>
      </c>
      <c r="G60" s="313">
        <f t="shared" si="1"/>
        <v>1960000</v>
      </c>
    </row>
    <row r="61" spans="2:11" ht="22.05" customHeight="1" x14ac:dyDescent="0.35">
      <c r="B61" s="242" t="s">
        <v>510</v>
      </c>
      <c r="C61" s="310" t="s">
        <v>660</v>
      </c>
      <c r="D61" s="260">
        <v>8</v>
      </c>
      <c r="E61" s="261" t="s">
        <v>113</v>
      </c>
      <c r="F61" s="253">
        <v>252000</v>
      </c>
      <c r="G61" s="313">
        <f t="shared" si="1"/>
        <v>2016000</v>
      </c>
    </row>
    <row r="62" spans="2:11" ht="22.05" customHeight="1" x14ac:dyDescent="0.35">
      <c r="B62" s="242" t="s">
        <v>511</v>
      </c>
      <c r="C62" s="310" t="s">
        <v>716</v>
      </c>
      <c r="D62" s="260">
        <v>40</v>
      </c>
      <c r="E62" s="261" t="s">
        <v>113</v>
      </c>
      <c r="F62" s="253">
        <v>35000</v>
      </c>
      <c r="G62" s="313">
        <f t="shared" si="1"/>
        <v>1400000</v>
      </c>
    </row>
    <row r="63" spans="2:11" s="241" customFormat="1" ht="30" customHeight="1" thickBot="1" x14ac:dyDescent="0.4">
      <c r="B63" s="252"/>
      <c r="C63" s="316" t="s">
        <v>55</v>
      </c>
      <c r="D63" s="263"/>
      <c r="E63" s="243"/>
      <c r="F63" s="250"/>
      <c r="G63" s="314">
        <f>SUM(G42:G62)</f>
        <v>38979500</v>
      </c>
      <c r="H63" s="239"/>
      <c r="J63" s="320"/>
      <c r="K63" s="365"/>
    </row>
    <row r="64" spans="2:11" s="258" customFormat="1" ht="30" customHeight="1" thickTop="1" x14ac:dyDescent="0.35">
      <c r="B64" s="317"/>
      <c r="C64" s="318" t="s">
        <v>972</v>
      </c>
      <c r="D64" s="319"/>
      <c r="E64" s="319"/>
      <c r="F64" s="312"/>
      <c r="G64" s="315"/>
      <c r="H64" s="239"/>
      <c r="J64" s="320"/>
      <c r="K64" s="365"/>
    </row>
    <row r="65" spans="2:11" ht="22.05" customHeight="1" x14ac:dyDescent="0.35">
      <c r="B65" s="242"/>
      <c r="C65" s="259" t="s">
        <v>969</v>
      </c>
      <c r="D65" s="260"/>
      <c r="E65" s="261"/>
      <c r="F65" s="262"/>
      <c r="G65" s="244"/>
    </row>
    <row r="66" spans="2:11" ht="22.05" customHeight="1" x14ac:dyDescent="0.35">
      <c r="B66" s="242"/>
      <c r="C66" s="259" t="s">
        <v>970</v>
      </c>
      <c r="D66" s="260"/>
      <c r="E66" s="261"/>
      <c r="F66" s="262"/>
      <c r="G66" s="244"/>
    </row>
    <row r="67" spans="2:11" ht="22.05" customHeight="1" x14ac:dyDescent="0.35">
      <c r="B67" s="242"/>
      <c r="C67" s="259" t="s">
        <v>81</v>
      </c>
      <c r="D67" s="260"/>
      <c r="E67" s="261"/>
      <c r="F67" s="262"/>
      <c r="G67" s="244"/>
    </row>
    <row r="68" spans="2:11" ht="22.05" customHeight="1" x14ac:dyDescent="0.35">
      <c r="B68" s="242"/>
      <c r="C68" s="259" t="s">
        <v>539</v>
      </c>
      <c r="D68" s="260"/>
      <c r="E68" s="261"/>
      <c r="F68" s="262"/>
      <c r="G68" s="244"/>
    </row>
    <row r="69" spans="2:11" ht="21.95" customHeight="1" x14ac:dyDescent="0.35">
      <c r="B69" s="242"/>
      <c r="C69" s="311" t="s">
        <v>675</v>
      </c>
      <c r="D69" s="260"/>
      <c r="E69" s="261"/>
      <c r="F69" s="253"/>
      <c r="G69" s="313"/>
      <c r="J69" s="320"/>
      <c r="K69" s="365"/>
    </row>
    <row r="70" spans="2:11" ht="21.95" customHeight="1" x14ac:dyDescent="0.35">
      <c r="B70" s="242"/>
      <c r="C70" s="311" t="s">
        <v>697</v>
      </c>
      <c r="D70" s="260"/>
      <c r="E70" s="261"/>
      <c r="F70" s="253"/>
      <c r="G70" s="313"/>
      <c r="J70" s="320"/>
      <c r="K70" s="365"/>
    </row>
    <row r="71" spans="2:11" ht="52.25" customHeight="1" x14ac:dyDescent="0.35">
      <c r="B71" s="242" t="s">
        <v>31</v>
      </c>
      <c r="C71" s="310" t="s">
        <v>698</v>
      </c>
      <c r="D71" s="260">
        <v>2</v>
      </c>
      <c r="E71" s="261" t="s">
        <v>113</v>
      </c>
      <c r="F71" s="253">
        <v>280000</v>
      </c>
      <c r="G71" s="313">
        <f>F71*D71</f>
        <v>560000</v>
      </c>
    </row>
    <row r="72" spans="2:11" ht="36" customHeight="1" x14ac:dyDescent="0.35">
      <c r="B72" s="242" t="s">
        <v>32</v>
      </c>
      <c r="C72" s="310" t="s">
        <v>699</v>
      </c>
      <c r="D72" s="260">
        <v>2</v>
      </c>
      <c r="E72" s="261" t="s">
        <v>113</v>
      </c>
      <c r="F72" s="253">
        <v>262500</v>
      </c>
      <c r="G72" s="313">
        <f t="shared" ref="G72:G91" si="2">F72*D72</f>
        <v>525000</v>
      </c>
    </row>
    <row r="73" spans="2:11" ht="21.95" customHeight="1" x14ac:dyDescent="0.35">
      <c r="B73" s="242"/>
      <c r="C73" s="311" t="s">
        <v>700</v>
      </c>
      <c r="D73" s="260"/>
      <c r="E73" s="261"/>
      <c r="F73" s="253"/>
      <c r="G73" s="313"/>
      <c r="J73" s="320"/>
      <c r="K73" s="365"/>
    </row>
    <row r="74" spans="2:11" ht="34.799999999999997" customHeight="1" x14ac:dyDescent="0.35">
      <c r="B74" s="242" t="s">
        <v>33</v>
      </c>
      <c r="C74" s="310" t="s">
        <v>701</v>
      </c>
      <c r="D74" s="260">
        <v>6</v>
      </c>
      <c r="E74" s="261" t="s">
        <v>112</v>
      </c>
      <c r="F74" s="253">
        <v>192500</v>
      </c>
      <c r="G74" s="313">
        <f t="shared" si="2"/>
        <v>1155000</v>
      </c>
    </row>
    <row r="75" spans="2:11" ht="22.05" customHeight="1" x14ac:dyDescent="0.35">
      <c r="B75" s="242" t="s">
        <v>34</v>
      </c>
      <c r="C75" s="310" t="s">
        <v>702</v>
      </c>
      <c r="D75" s="260">
        <v>2</v>
      </c>
      <c r="E75" s="261" t="s">
        <v>113</v>
      </c>
      <c r="F75" s="253">
        <v>87500</v>
      </c>
      <c r="G75" s="313">
        <f t="shared" si="2"/>
        <v>175000</v>
      </c>
    </row>
    <row r="76" spans="2:11" ht="22.05" customHeight="1" x14ac:dyDescent="0.35">
      <c r="B76" s="242" t="s">
        <v>35</v>
      </c>
      <c r="C76" s="310" t="s">
        <v>703</v>
      </c>
      <c r="D76" s="260">
        <v>2</v>
      </c>
      <c r="E76" s="261" t="s">
        <v>113</v>
      </c>
      <c r="F76" s="253">
        <v>63000</v>
      </c>
      <c r="G76" s="313">
        <f t="shared" si="2"/>
        <v>126000</v>
      </c>
    </row>
    <row r="77" spans="2:11" ht="22.05" customHeight="1" x14ac:dyDescent="0.35">
      <c r="B77" s="242" t="s">
        <v>36</v>
      </c>
      <c r="C77" s="310" t="s">
        <v>660</v>
      </c>
      <c r="D77" s="260">
        <v>2</v>
      </c>
      <c r="E77" s="261" t="s">
        <v>113</v>
      </c>
      <c r="F77" s="253">
        <v>227500</v>
      </c>
      <c r="G77" s="313">
        <f t="shared" si="2"/>
        <v>455000</v>
      </c>
    </row>
    <row r="78" spans="2:11" ht="37.25" customHeight="1" x14ac:dyDescent="0.35">
      <c r="B78" s="242" t="s">
        <v>114</v>
      </c>
      <c r="C78" s="310" t="s">
        <v>704</v>
      </c>
      <c r="D78" s="260">
        <v>12</v>
      </c>
      <c r="E78" s="261" t="s">
        <v>112</v>
      </c>
      <c r="F78" s="253">
        <v>19250</v>
      </c>
      <c r="G78" s="313">
        <f t="shared" si="2"/>
        <v>231000</v>
      </c>
    </row>
    <row r="79" spans="2:11" ht="76.900000000000006" x14ac:dyDescent="0.35">
      <c r="B79" s="242" t="s">
        <v>39</v>
      </c>
      <c r="C79" s="310" t="s">
        <v>719</v>
      </c>
      <c r="D79" s="260">
        <v>2</v>
      </c>
      <c r="E79" s="261" t="s">
        <v>113</v>
      </c>
      <c r="F79" s="253">
        <v>1225000</v>
      </c>
      <c r="G79" s="313">
        <f t="shared" si="2"/>
        <v>2450000</v>
      </c>
    </row>
    <row r="80" spans="2:11" ht="21.95" customHeight="1" x14ac:dyDescent="0.35">
      <c r="B80" s="242"/>
      <c r="C80" s="311" t="s">
        <v>706</v>
      </c>
      <c r="D80" s="260"/>
      <c r="E80" s="261"/>
      <c r="F80" s="253"/>
      <c r="G80" s="313"/>
      <c r="J80" s="320"/>
      <c r="K80" s="365"/>
    </row>
    <row r="81" spans="2:11" ht="34.799999999999997" customHeight="1" x14ac:dyDescent="0.35">
      <c r="B81" s="242" t="s">
        <v>40</v>
      </c>
      <c r="C81" s="310" t="s">
        <v>707</v>
      </c>
      <c r="D81" s="260">
        <v>12</v>
      </c>
      <c r="E81" s="261" t="s">
        <v>112</v>
      </c>
      <c r="F81" s="253">
        <v>227500</v>
      </c>
      <c r="G81" s="313">
        <f t="shared" si="2"/>
        <v>2730000</v>
      </c>
    </row>
    <row r="82" spans="2:11" ht="33.6" customHeight="1" x14ac:dyDescent="0.35">
      <c r="B82" s="242" t="s">
        <v>15</v>
      </c>
      <c r="C82" s="310" t="s">
        <v>708</v>
      </c>
      <c r="D82" s="260">
        <v>45</v>
      </c>
      <c r="E82" s="261" t="s">
        <v>112</v>
      </c>
      <c r="F82" s="253">
        <v>192500</v>
      </c>
      <c r="G82" s="313">
        <f t="shared" si="2"/>
        <v>8662500</v>
      </c>
    </row>
    <row r="83" spans="2:11" ht="33.6" customHeight="1" x14ac:dyDescent="0.35">
      <c r="B83" s="242" t="s">
        <v>16</v>
      </c>
      <c r="C83" s="310" t="s">
        <v>709</v>
      </c>
      <c r="D83" s="260">
        <v>6</v>
      </c>
      <c r="E83" s="261" t="s">
        <v>112</v>
      </c>
      <c r="F83" s="253">
        <v>140000</v>
      </c>
      <c r="G83" s="313">
        <f t="shared" si="2"/>
        <v>840000</v>
      </c>
    </row>
    <row r="84" spans="2:11" ht="34.799999999999997" customHeight="1" x14ac:dyDescent="0.35">
      <c r="B84" s="242" t="s">
        <v>89</v>
      </c>
      <c r="C84" s="310" t="s">
        <v>710</v>
      </c>
      <c r="D84" s="260">
        <v>24</v>
      </c>
      <c r="E84" s="261" t="s">
        <v>112</v>
      </c>
      <c r="F84" s="253">
        <v>105000</v>
      </c>
      <c r="G84" s="313">
        <f t="shared" si="2"/>
        <v>2520000</v>
      </c>
    </row>
    <row r="85" spans="2:11" ht="36.6" customHeight="1" x14ac:dyDescent="0.35">
      <c r="B85" s="242" t="s">
        <v>17</v>
      </c>
      <c r="C85" s="310" t="s">
        <v>711</v>
      </c>
      <c r="D85" s="260">
        <v>48</v>
      </c>
      <c r="E85" s="261" t="s">
        <v>112</v>
      </c>
      <c r="F85" s="253">
        <v>98000</v>
      </c>
      <c r="G85" s="313">
        <f t="shared" si="2"/>
        <v>4704000</v>
      </c>
    </row>
    <row r="86" spans="2:11" ht="30.75" x14ac:dyDescent="0.35">
      <c r="B86" s="242" t="s">
        <v>90</v>
      </c>
      <c r="C86" s="310" t="s">
        <v>712</v>
      </c>
      <c r="D86" s="260">
        <v>90</v>
      </c>
      <c r="E86" s="261" t="s">
        <v>112</v>
      </c>
      <c r="F86" s="253">
        <v>84000</v>
      </c>
      <c r="G86" s="313">
        <f t="shared" si="2"/>
        <v>7560000</v>
      </c>
    </row>
    <row r="87" spans="2:11" ht="22.05" customHeight="1" x14ac:dyDescent="0.35">
      <c r="B87" s="242" t="s">
        <v>88</v>
      </c>
      <c r="C87" s="310" t="s">
        <v>713</v>
      </c>
      <c r="D87" s="260">
        <v>4</v>
      </c>
      <c r="E87" s="261" t="s">
        <v>113</v>
      </c>
      <c r="F87" s="253">
        <v>122500</v>
      </c>
      <c r="G87" s="313">
        <f t="shared" si="2"/>
        <v>490000</v>
      </c>
    </row>
    <row r="88" spans="2:11" ht="22.05" customHeight="1" x14ac:dyDescent="0.35">
      <c r="B88" s="242" t="s">
        <v>251</v>
      </c>
      <c r="C88" s="310" t="s">
        <v>714</v>
      </c>
      <c r="D88" s="260">
        <v>60</v>
      </c>
      <c r="E88" s="261" t="s">
        <v>113</v>
      </c>
      <c r="F88" s="253">
        <v>7000</v>
      </c>
      <c r="G88" s="313">
        <f t="shared" si="2"/>
        <v>420000</v>
      </c>
    </row>
    <row r="89" spans="2:11" ht="22.05" customHeight="1" x14ac:dyDescent="0.35">
      <c r="B89" s="242" t="s">
        <v>255</v>
      </c>
      <c r="C89" s="310" t="s">
        <v>715</v>
      </c>
      <c r="D89" s="260">
        <v>4</v>
      </c>
      <c r="E89" s="261" t="s">
        <v>113</v>
      </c>
      <c r="F89" s="253">
        <v>490000</v>
      </c>
      <c r="G89" s="313">
        <f t="shared" si="2"/>
        <v>1960000</v>
      </c>
    </row>
    <row r="90" spans="2:11" ht="22.05" customHeight="1" x14ac:dyDescent="0.35">
      <c r="B90" s="242" t="s">
        <v>510</v>
      </c>
      <c r="C90" s="310" t="s">
        <v>660</v>
      </c>
      <c r="D90" s="260">
        <v>8</v>
      </c>
      <c r="E90" s="261" t="s">
        <v>113</v>
      </c>
      <c r="F90" s="253">
        <v>252000</v>
      </c>
      <c r="G90" s="313">
        <f t="shared" si="2"/>
        <v>2016000</v>
      </c>
    </row>
    <row r="91" spans="2:11" ht="22.05" customHeight="1" x14ac:dyDescent="0.35">
      <c r="B91" s="242" t="s">
        <v>511</v>
      </c>
      <c r="C91" s="310" t="s">
        <v>716</v>
      </c>
      <c r="D91" s="260">
        <v>40</v>
      </c>
      <c r="E91" s="261" t="s">
        <v>113</v>
      </c>
      <c r="F91" s="253">
        <v>35000</v>
      </c>
      <c r="G91" s="313">
        <f t="shared" si="2"/>
        <v>1400000</v>
      </c>
    </row>
    <row r="92" spans="2:11" s="241" customFormat="1" ht="30" customHeight="1" thickBot="1" x14ac:dyDescent="0.4">
      <c r="B92" s="252"/>
      <c r="C92" s="316" t="s">
        <v>55</v>
      </c>
      <c r="D92" s="263"/>
      <c r="E92" s="243"/>
      <c r="F92" s="250"/>
      <c r="G92" s="314">
        <f>SUM(G71:G91)</f>
        <v>38979500</v>
      </c>
      <c r="H92" s="239"/>
      <c r="J92" s="320"/>
      <c r="K92" s="365"/>
    </row>
    <row r="93" spans="2:11" s="258" customFormat="1" ht="30" customHeight="1" thickTop="1" x14ac:dyDescent="0.35">
      <c r="B93" s="317"/>
      <c r="C93" s="318" t="s">
        <v>973</v>
      </c>
      <c r="D93" s="319"/>
      <c r="E93" s="319"/>
      <c r="F93" s="312"/>
      <c r="G93" s="315"/>
      <c r="H93" s="239"/>
      <c r="J93" s="320"/>
      <c r="K93" s="365"/>
    </row>
    <row r="94" spans="2:11" ht="22.05" customHeight="1" x14ac:dyDescent="0.35">
      <c r="B94" s="242"/>
      <c r="C94" s="259" t="s">
        <v>969</v>
      </c>
      <c r="D94" s="260"/>
      <c r="E94" s="261"/>
      <c r="F94" s="262"/>
      <c r="G94" s="244"/>
    </row>
    <row r="95" spans="2:11" ht="22.05" customHeight="1" x14ac:dyDescent="0.35">
      <c r="B95" s="242"/>
      <c r="C95" s="259" t="s">
        <v>970</v>
      </c>
      <c r="D95" s="260"/>
      <c r="E95" s="261"/>
      <c r="F95" s="262"/>
      <c r="G95" s="244"/>
    </row>
    <row r="96" spans="2:11" ht="22.05" customHeight="1" x14ac:dyDescent="0.35">
      <c r="B96" s="242"/>
      <c r="C96" s="259" t="s">
        <v>520</v>
      </c>
      <c r="D96" s="260"/>
      <c r="E96" s="261"/>
      <c r="F96" s="262"/>
      <c r="G96" s="244"/>
    </row>
    <row r="97" spans="2:11" ht="22.05" customHeight="1" x14ac:dyDescent="0.35">
      <c r="B97" s="242"/>
      <c r="C97" s="259" t="s">
        <v>540</v>
      </c>
      <c r="D97" s="260"/>
      <c r="E97" s="261"/>
      <c r="F97" s="262"/>
      <c r="G97" s="244"/>
    </row>
    <row r="98" spans="2:11" ht="21.95" customHeight="1" x14ac:dyDescent="0.35">
      <c r="B98" s="242"/>
      <c r="C98" s="311" t="s">
        <v>675</v>
      </c>
      <c r="D98" s="260"/>
      <c r="E98" s="261"/>
      <c r="F98" s="253"/>
      <c r="G98" s="313"/>
      <c r="J98" s="320"/>
      <c r="K98" s="365"/>
    </row>
    <row r="99" spans="2:11" ht="21.95" customHeight="1" x14ac:dyDescent="0.35">
      <c r="B99" s="242"/>
      <c r="C99" s="311" t="s">
        <v>697</v>
      </c>
      <c r="D99" s="260"/>
      <c r="E99" s="261"/>
      <c r="F99" s="253"/>
      <c r="G99" s="313"/>
      <c r="J99" s="320"/>
      <c r="K99" s="365"/>
    </row>
    <row r="100" spans="2:11" ht="52.25" customHeight="1" x14ac:dyDescent="0.35">
      <c r="B100" s="242" t="s">
        <v>31</v>
      </c>
      <c r="C100" s="310" t="s">
        <v>698</v>
      </c>
      <c r="D100" s="260">
        <v>2</v>
      </c>
      <c r="E100" s="261" t="s">
        <v>113</v>
      </c>
      <c r="F100" s="253">
        <v>280000</v>
      </c>
      <c r="G100" s="313">
        <f>F100*D100</f>
        <v>560000</v>
      </c>
    </row>
    <row r="101" spans="2:11" ht="36" customHeight="1" x14ac:dyDescent="0.35">
      <c r="B101" s="242" t="s">
        <v>32</v>
      </c>
      <c r="C101" s="310" t="s">
        <v>699</v>
      </c>
      <c r="D101" s="260">
        <v>2</v>
      </c>
      <c r="E101" s="261" t="s">
        <v>113</v>
      </c>
      <c r="F101" s="253">
        <v>262500</v>
      </c>
      <c r="G101" s="313">
        <f t="shared" ref="G101" si="3">F101*D101</f>
        <v>525000</v>
      </c>
    </row>
    <row r="102" spans="2:11" ht="21.95" customHeight="1" x14ac:dyDescent="0.35">
      <c r="B102" s="242"/>
      <c r="C102" s="311" t="s">
        <v>700</v>
      </c>
      <c r="D102" s="260"/>
      <c r="E102" s="261"/>
      <c r="F102" s="253"/>
      <c r="G102" s="313"/>
      <c r="J102" s="320"/>
      <c r="K102" s="365"/>
    </row>
    <row r="103" spans="2:11" ht="34.799999999999997" customHeight="1" x14ac:dyDescent="0.35">
      <c r="B103" s="242" t="s">
        <v>33</v>
      </c>
      <c r="C103" s="310" t="s">
        <v>701</v>
      </c>
      <c r="D103" s="260">
        <v>6</v>
      </c>
      <c r="E103" s="261" t="s">
        <v>112</v>
      </c>
      <c r="F103" s="253">
        <v>192500</v>
      </c>
      <c r="G103" s="313">
        <f t="shared" ref="G103:G108" si="4">F103*D103</f>
        <v>1155000</v>
      </c>
    </row>
    <row r="104" spans="2:11" ht="22.05" customHeight="1" x14ac:dyDescent="0.35">
      <c r="B104" s="242" t="s">
        <v>34</v>
      </c>
      <c r="C104" s="310" t="s">
        <v>702</v>
      </c>
      <c r="D104" s="260">
        <v>2</v>
      </c>
      <c r="E104" s="261" t="s">
        <v>113</v>
      </c>
      <c r="F104" s="253">
        <v>87500</v>
      </c>
      <c r="G104" s="313">
        <f t="shared" si="4"/>
        <v>175000</v>
      </c>
    </row>
    <row r="105" spans="2:11" ht="22.05" customHeight="1" x14ac:dyDescent="0.35">
      <c r="B105" s="242" t="s">
        <v>35</v>
      </c>
      <c r="C105" s="310" t="s">
        <v>703</v>
      </c>
      <c r="D105" s="260">
        <v>2</v>
      </c>
      <c r="E105" s="261" t="s">
        <v>113</v>
      </c>
      <c r="F105" s="253">
        <v>63000</v>
      </c>
      <c r="G105" s="313">
        <f t="shared" si="4"/>
        <v>126000</v>
      </c>
    </row>
    <row r="106" spans="2:11" ht="22.05" customHeight="1" x14ac:dyDescent="0.35">
      <c r="B106" s="242" t="s">
        <v>36</v>
      </c>
      <c r="C106" s="310" t="s">
        <v>660</v>
      </c>
      <c r="D106" s="260">
        <v>2</v>
      </c>
      <c r="E106" s="261" t="s">
        <v>113</v>
      </c>
      <c r="F106" s="253">
        <v>227500</v>
      </c>
      <c r="G106" s="313">
        <f t="shared" si="4"/>
        <v>455000</v>
      </c>
    </row>
    <row r="107" spans="2:11" ht="37.25" customHeight="1" x14ac:dyDescent="0.35">
      <c r="B107" s="242" t="s">
        <v>114</v>
      </c>
      <c r="C107" s="310" t="s">
        <v>704</v>
      </c>
      <c r="D107" s="260">
        <v>12</v>
      </c>
      <c r="E107" s="261" t="s">
        <v>112</v>
      </c>
      <c r="F107" s="253">
        <v>19250</v>
      </c>
      <c r="G107" s="313">
        <f t="shared" si="4"/>
        <v>231000</v>
      </c>
    </row>
    <row r="108" spans="2:11" ht="76.900000000000006" x14ac:dyDescent="0.35">
      <c r="B108" s="242" t="s">
        <v>39</v>
      </c>
      <c r="C108" s="310" t="s">
        <v>719</v>
      </c>
      <c r="D108" s="260">
        <v>2</v>
      </c>
      <c r="E108" s="261" t="s">
        <v>113</v>
      </c>
      <c r="F108" s="253">
        <v>1225000</v>
      </c>
      <c r="G108" s="313">
        <f t="shared" si="4"/>
        <v>2450000</v>
      </c>
    </row>
    <row r="109" spans="2:11" ht="21.95" customHeight="1" x14ac:dyDescent="0.35">
      <c r="B109" s="242"/>
      <c r="C109" s="311" t="s">
        <v>706</v>
      </c>
      <c r="D109" s="260"/>
      <c r="E109" s="261"/>
      <c r="F109" s="253"/>
      <c r="G109" s="313"/>
      <c r="J109" s="320"/>
      <c r="K109" s="365"/>
    </row>
    <row r="110" spans="2:11" ht="34.799999999999997" customHeight="1" x14ac:dyDescent="0.35">
      <c r="B110" s="242" t="s">
        <v>40</v>
      </c>
      <c r="C110" s="310" t="s">
        <v>707</v>
      </c>
      <c r="D110" s="260">
        <v>12</v>
      </c>
      <c r="E110" s="261" t="s">
        <v>112</v>
      </c>
      <c r="F110" s="253">
        <v>227500</v>
      </c>
      <c r="G110" s="313">
        <f t="shared" ref="G110:G120" si="5">F110*D110</f>
        <v>2730000</v>
      </c>
    </row>
    <row r="111" spans="2:11" ht="33.6" customHeight="1" x14ac:dyDescent="0.35">
      <c r="B111" s="242" t="s">
        <v>15</v>
      </c>
      <c r="C111" s="310" t="s">
        <v>708</v>
      </c>
      <c r="D111" s="260">
        <v>45</v>
      </c>
      <c r="E111" s="261" t="s">
        <v>112</v>
      </c>
      <c r="F111" s="253">
        <v>192500</v>
      </c>
      <c r="G111" s="313">
        <f t="shared" si="5"/>
        <v>8662500</v>
      </c>
    </row>
    <row r="112" spans="2:11" ht="33.6" customHeight="1" x14ac:dyDescent="0.35">
      <c r="B112" s="242" t="s">
        <v>16</v>
      </c>
      <c r="C112" s="310" t="s">
        <v>709</v>
      </c>
      <c r="D112" s="260">
        <v>6</v>
      </c>
      <c r="E112" s="261" t="s">
        <v>112</v>
      </c>
      <c r="F112" s="253">
        <v>140000</v>
      </c>
      <c r="G112" s="313">
        <f t="shared" si="5"/>
        <v>840000</v>
      </c>
    </row>
    <row r="113" spans="2:11" ht="34.799999999999997" customHeight="1" x14ac:dyDescent="0.35">
      <c r="B113" s="242" t="s">
        <v>89</v>
      </c>
      <c r="C113" s="310" t="s">
        <v>710</v>
      </c>
      <c r="D113" s="260">
        <v>24</v>
      </c>
      <c r="E113" s="261" t="s">
        <v>112</v>
      </c>
      <c r="F113" s="253">
        <v>105000</v>
      </c>
      <c r="G113" s="313">
        <f t="shared" si="5"/>
        <v>2520000</v>
      </c>
    </row>
    <row r="114" spans="2:11" ht="36.6" customHeight="1" x14ac:dyDescent="0.35">
      <c r="B114" s="242" t="s">
        <v>17</v>
      </c>
      <c r="C114" s="310" t="s">
        <v>711</v>
      </c>
      <c r="D114" s="260">
        <v>48</v>
      </c>
      <c r="E114" s="261" t="s">
        <v>112</v>
      </c>
      <c r="F114" s="253">
        <v>98000</v>
      </c>
      <c r="G114" s="313">
        <f t="shared" si="5"/>
        <v>4704000</v>
      </c>
    </row>
    <row r="115" spans="2:11" ht="30.75" x14ac:dyDescent="0.35">
      <c r="B115" s="242" t="s">
        <v>90</v>
      </c>
      <c r="C115" s="310" t="s">
        <v>712</v>
      </c>
      <c r="D115" s="260">
        <v>90</v>
      </c>
      <c r="E115" s="261" t="s">
        <v>112</v>
      </c>
      <c r="F115" s="253">
        <v>84000</v>
      </c>
      <c r="G115" s="313">
        <f t="shared" si="5"/>
        <v>7560000</v>
      </c>
    </row>
    <row r="116" spans="2:11" ht="22.05" customHeight="1" x14ac:dyDescent="0.35">
      <c r="B116" s="242" t="s">
        <v>88</v>
      </c>
      <c r="C116" s="310" t="s">
        <v>713</v>
      </c>
      <c r="D116" s="260">
        <v>4</v>
      </c>
      <c r="E116" s="261" t="s">
        <v>113</v>
      </c>
      <c r="F116" s="253">
        <v>122500</v>
      </c>
      <c r="G116" s="313">
        <f t="shared" si="5"/>
        <v>490000</v>
      </c>
    </row>
    <row r="117" spans="2:11" ht="22.05" customHeight="1" x14ac:dyDescent="0.35">
      <c r="B117" s="242" t="s">
        <v>251</v>
      </c>
      <c r="C117" s="310" t="s">
        <v>714</v>
      </c>
      <c r="D117" s="260">
        <v>60</v>
      </c>
      <c r="E117" s="261" t="s">
        <v>113</v>
      </c>
      <c r="F117" s="253">
        <v>7000</v>
      </c>
      <c r="G117" s="313">
        <f t="shared" si="5"/>
        <v>420000</v>
      </c>
    </row>
    <row r="118" spans="2:11" ht="22.05" customHeight="1" x14ac:dyDescent="0.35">
      <c r="B118" s="242" t="s">
        <v>255</v>
      </c>
      <c r="C118" s="310" t="s">
        <v>715</v>
      </c>
      <c r="D118" s="260">
        <v>4</v>
      </c>
      <c r="E118" s="261" t="s">
        <v>113</v>
      </c>
      <c r="F118" s="253">
        <v>490000</v>
      </c>
      <c r="G118" s="313">
        <f t="shared" si="5"/>
        <v>1960000</v>
      </c>
    </row>
    <row r="119" spans="2:11" ht="22.05" customHeight="1" x14ac:dyDescent="0.35">
      <c r="B119" s="242" t="s">
        <v>510</v>
      </c>
      <c r="C119" s="310" t="s">
        <v>660</v>
      </c>
      <c r="D119" s="260">
        <v>8</v>
      </c>
      <c r="E119" s="261" t="s">
        <v>113</v>
      </c>
      <c r="F119" s="253">
        <v>252000</v>
      </c>
      <c r="G119" s="313">
        <f t="shared" si="5"/>
        <v>2016000</v>
      </c>
    </row>
    <row r="120" spans="2:11" ht="22.05" customHeight="1" x14ac:dyDescent="0.35">
      <c r="B120" s="242" t="s">
        <v>511</v>
      </c>
      <c r="C120" s="310" t="s">
        <v>716</v>
      </c>
      <c r="D120" s="260">
        <v>40</v>
      </c>
      <c r="E120" s="261" t="s">
        <v>113</v>
      </c>
      <c r="F120" s="253">
        <v>35000</v>
      </c>
      <c r="G120" s="313">
        <f t="shared" si="5"/>
        <v>1400000</v>
      </c>
    </row>
    <row r="121" spans="2:11" s="241" customFormat="1" ht="30" customHeight="1" thickBot="1" x14ac:dyDescent="0.4">
      <c r="B121" s="252"/>
      <c r="C121" s="316" t="s">
        <v>55</v>
      </c>
      <c r="D121" s="263"/>
      <c r="E121" s="243"/>
      <c r="F121" s="250"/>
      <c r="G121" s="314">
        <f>SUM(G100:G120)</f>
        <v>38979500</v>
      </c>
      <c r="H121" s="239"/>
      <c r="J121" s="320"/>
      <c r="K121" s="365"/>
    </row>
    <row r="122" spans="2:11" s="258" customFormat="1" ht="30" customHeight="1" thickTop="1" x14ac:dyDescent="0.35">
      <c r="B122" s="317"/>
      <c r="C122" s="318" t="s">
        <v>974</v>
      </c>
      <c r="D122" s="319"/>
      <c r="E122" s="319"/>
      <c r="F122" s="312"/>
      <c r="G122" s="315"/>
      <c r="H122" s="239"/>
      <c r="J122" s="320"/>
      <c r="K122" s="365"/>
    </row>
    <row r="123" spans="2:11" ht="22.05" customHeight="1" x14ac:dyDescent="0.35">
      <c r="B123" s="242"/>
      <c r="C123" s="259" t="s">
        <v>969</v>
      </c>
      <c r="D123" s="260"/>
      <c r="E123" s="261"/>
      <c r="F123" s="262"/>
      <c r="G123" s="244"/>
    </row>
    <row r="124" spans="2:11" ht="22.05" customHeight="1" x14ac:dyDescent="0.35">
      <c r="B124" s="242"/>
      <c r="C124" s="259" t="s">
        <v>970</v>
      </c>
      <c r="D124" s="260"/>
      <c r="E124" s="261"/>
      <c r="F124" s="262"/>
      <c r="G124" s="244"/>
    </row>
    <row r="125" spans="2:11" ht="22.05" customHeight="1" x14ac:dyDescent="0.35">
      <c r="B125" s="242"/>
      <c r="C125" s="259" t="s">
        <v>520</v>
      </c>
      <c r="D125" s="260"/>
      <c r="E125" s="261"/>
      <c r="F125" s="262"/>
      <c r="G125" s="244"/>
    </row>
    <row r="126" spans="2:11" ht="22.05" customHeight="1" x14ac:dyDescent="0.35">
      <c r="B126" s="242"/>
      <c r="C126" s="259" t="s">
        <v>1234</v>
      </c>
      <c r="D126" s="260"/>
      <c r="E126" s="261"/>
      <c r="F126" s="262"/>
      <c r="G126" s="244"/>
    </row>
    <row r="127" spans="2:11" ht="21.95" customHeight="1" x14ac:dyDescent="0.35">
      <c r="B127" s="242"/>
      <c r="C127" s="311" t="s">
        <v>675</v>
      </c>
      <c r="D127" s="260"/>
      <c r="E127" s="261"/>
      <c r="F127" s="253"/>
      <c r="G127" s="313"/>
      <c r="J127" s="320"/>
      <c r="K127" s="365"/>
    </row>
    <row r="128" spans="2:11" ht="21.95" customHeight="1" x14ac:dyDescent="0.35">
      <c r="B128" s="242"/>
      <c r="C128" s="311" t="s">
        <v>697</v>
      </c>
      <c r="D128" s="260"/>
      <c r="E128" s="261"/>
      <c r="F128" s="253"/>
      <c r="G128" s="313"/>
      <c r="J128" s="320"/>
      <c r="K128" s="365"/>
    </row>
    <row r="129" spans="2:11" ht="52.25" customHeight="1" x14ac:dyDescent="0.35">
      <c r="B129" s="242" t="s">
        <v>31</v>
      </c>
      <c r="C129" s="310" t="s">
        <v>698</v>
      </c>
      <c r="D129" s="260">
        <v>2</v>
      </c>
      <c r="E129" s="261" t="s">
        <v>113</v>
      </c>
      <c r="F129" s="253">
        <v>280000</v>
      </c>
      <c r="G129" s="313">
        <f>F129*D129</f>
        <v>560000</v>
      </c>
    </row>
    <row r="130" spans="2:11" ht="36" customHeight="1" x14ac:dyDescent="0.35">
      <c r="B130" s="242" t="s">
        <v>32</v>
      </c>
      <c r="C130" s="310" t="s">
        <v>699</v>
      </c>
      <c r="D130" s="260">
        <v>2</v>
      </c>
      <c r="E130" s="261" t="s">
        <v>113</v>
      </c>
      <c r="F130" s="253">
        <v>262500</v>
      </c>
      <c r="G130" s="313">
        <f t="shared" ref="G130" si="6">F130*D130</f>
        <v>525000</v>
      </c>
    </row>
    <row r="131" spans="2:11" ht="21.95" customHeight="1" x14ac:dyDescent="0.35">
      <c r="B131" s="242"/>
      <c r="C131" s="311" t="s">
        <v>700</v>
      </c>
      <c r="D131" s="260"/>
      <c r="E131" s="261"/>
      <c r="F131" s="253"/>
      <c r="G131" s="313"/>
      <c r="J131" s="320"/>
      <c r="K131" s="365"/>
    </row>
    <row r="132" spans="2:11" ht="34.799999999999997" customHeight="1" x14ac:dyDescent="0.35">
      <c r="B132" s="242" t="s">
        <v>33</v>
      </c>
      <c r="C132" s="310" t="s">
        <v>701</v>
      </c>
      <c r="D132" s="260">
        <v>6</v>
      </c>
      <c r="E132" s="261" t="s">
        <v>112</v>
      </c>
      <c r="F132" s="253">
        <v>192500</v>
      </c>
      <c r="G132" s="313">
        <f t="shared" ref="G132:G137" si="7">F132*D132</f>
        <v>1155000</v>
      </c>
    </row>
    <row r="133" spans="2:11" ht="22.05" customHeight="1" x14ac:dyDescent="0.35">
      <c r="B133" s="242" t="s">
        <v>34</v>
      </c>
      <c r="C133" s="310" t="s">
        <v>702</v>
      </c>
      <c r="D133" s="260">
        <v>2</v>
      </c>
      <c r="E133" s="261" t="s">
        <v>113</v>
      </c>
      <c r="F133" s="253">
        <v>87500</v>
      </c>
      <c r="G133" s="313">
        <f t="shared" si="7"/>
        <v>175000</v>
      </c>
    </row>
    <row r="134" spans="2:11" ht="22.05" customHeight="1" x14ac:dyDescent="0.35">
      <c r="B134" s="242" t="s">
        <v>35</v>
      </c>
      <c r="C134" s="310" t="s">
        <v>703</v>
      </c>
      <c r="D134" s="260">
        <v>2</v>
      </c>
      <c r="E134" s="261" t="s">
        <v>113</v>
      </c>
      <c r="F134" s="253">
        <v>63000</v>
      </c>
      <c r="G134" s="313">
        <f t="shared" si="7"/>
        <v>126000</v>
      </c>
    </row>
    <row r="135" spans="2:11" ht="22.05" customHeight="1" x14ac:dyDescent="0.35">
      <c r="B135" s="242" t="s">
        <v>36</v>
      </c>
      <c r="C135" s="310" t="s">
        <v>660</v>
      </c>
      <c r="D135" s="260">
        <v>2</v>
      </c>
      <c r="E135" s="261" t="s">
        <v>113</v>
      </c>
      <c r="F135" s="253">
        <v>227500</v>
      </c>
      <c r="G135" s="313">
        <f t="shared" si="7"/>
        <v>455000</v>
      </c>
    </row>
    <row r="136" spans="2:11" ht="37.25" customHeight="1" x14ac:dyDescent="0.35">
      <c r="B136" s="242" t="s">
        <v>114</v>
      </c>
      <c r="C136" s="310" t="s">
        <v>704</v>
      </c>
      <c r="D136" s="260">
        <v>12</v>
      </c>
      <c r="E136" s="261" t="s">
        <v>112</v>
      </c>
      <c r="F136" s="253">
        <v>19250</v>
      </c>
      <c r="G136" s="313">
        <f t="shared" si="7"/>
        <v>231000</v>
      </c>
    </row>
    <row r="137" spans="2:11" ht="76.900000000000006" x14ac:dyDescent="0.35">
      <c r="B137" s="242" t="s">
        <v>39</v>
      </c>
      <c r="C137" s="310" t="s">
        <v>719</v>
      </c>
      <c r="D137" s="260">
        <v>2</v>
      </c>
      <c r="E137" s="261" t="s">
        <v>113</v>
      </c>
      <c r="F137" s="253">
        <v>1225000</v>
      </c>
      <c r="G137" s="313">
        <f t="shared" si="7"/>
        <v>2450000</v>
      </c>
    </row>
    <row r="138" spans="2:11" ht="21.95" customHeight="1" x14ac:dyDescent="0.35">
      <c r="B138" s="242"/>
      <c r="C138" s="311" t="s">
        <v>706</v>
      </c>
      <c r="D138" s="260"/>
      <c r="E138" s="261"/>
      <c r="F138" s="253"/>
      <c r="G138" s="313"/>
      <c r="J138" s="320"/>
      <c r="K138" s="365"/>
    </row>
    <row r="139" spans="2:11" ht="34.799999999999997" customHeight="1" x14ac:dyDescent="0.35">
      <c r="B139" s="242" t="s">
        <v>40</v>
      </c>
      <c r="C139" s="310" t="s">
        <v>707</v>
      </c>
      <c r="D139" s="260">
        <v>12</v>
      </c>
      <c r="E139" s="261" t="s">
        <v>112</v>
      </c>
      <c r="F139" s="253">
        <v>227500</v>
      </c>
      <c r="G139" s="313">
        <f t="shared" ref="G139:G149" si="8">F139*D139</f>
        <v>2730000</v>
      </c>
    </row>
    <row r="140" spans="2:11" ht="33.6" customHeight="1" x14ac:dyDescent="0.35">
      <c r="B140" s="242" t="s">
        <v>15</v>
      </c>
      <c r="C140" s="310" t="s">
        <v>708</v>
      </c>
      <c r="D140" s="260">
        <v>45</v>
      </c>
      <c r="E140" s="261" t="s">
        <v>112</v>
      </c>
      <c r="F140" s="253">
        <v>192500</v>
      </c>
      <c r="G140" s="313">
        <f t="shared" si="8"/>
        <v>8662500</v>
      </c>
    </row>
    <row r="141" spans="2:11" ht="33.6" customHeight="1" x14ac:dyDescent="0.35">
      <c r="B141" s="242" t="s">
        <v>16</v>
      </c>
      <c r="C141" s="310" t="s">
        <v>709</v>
      </c>
      <c r="D141" s="260">
        <v>6</v>
      </c>
      <c r="E141" s="261" t="s">
        <v>112</v>
      </c>
      <c r="F141" s="253">
        <v>140000</v>
      </c>
      <c r="G141" s="313">
        <f t="shared" si="8"/>
        <v>840000</v>
      </c>
    </row>
    <row r="142" spans="2:11" ht="34.799999999999997" customHeight="1" x14ac:dyDescent="0.35">
      <c r="B142" s="242" t="s">
        <v>89</v>
      </c>
      <c r="C142" s="310" t="s">
        <v>710</v>
      </c>
      <c r="D142" s="260">
        <v>24</v>
      </c>
      <c r="E142" s="261" t="s">
        <v>112</v>
      </c>
      <c r="F142" s="253">
        <v>105000</v>
      </c>
      <c r="G142" s="313">
        <f t="shared" si="8"/>
        <v>2520000</v>
      </c>
    </row>
    <row r="143" spans="2:11" ht="36.6" customHeight="1" x14ac:dyDescent="0.35">
      <c r="B143" s="242" t="s">
        <v>17</v>
      </c>
      <c r="C143" s="310" t="s">
        <v>711</v>
      </c>
      <c r="D143" s="260">
        <v>48</v>
      </c>
      <c r="E143" s="261" t="s">
        <v>112</v>
      </c>
      <c r="F143" s="253">
        <v>98000</v>
      </c>
      <c r="G143" s="313">
        <f t="shared" si="8"/>
        <v>4704000</v>
      </c>
    </row>
    <row r="144" spans="2:11" ht="30.75" x14ac:dyDescent="0.35">
      <c r="B144" s="242" t="s">
        <v>90</v>
      </c>
      <c r="C144" s="310" t="s">
        <v>712</v>
      </c>
      <c r="D144" s="260">
        <v>90</v>
      </c>
      <c r="E144" s="261" t="s">
        <v>112</v>
      </c>
      <c r="F144" s="253">
        <v>84000</v>
      </c>
      <c r="G144" s="313">
        <f t="shared" si="8"/>
        <v>7560000</v>
      </c>
    </row>
    <row r="145" spans="2:11" ht="22.05" customHeight="1" x14ac:dyDescent="0.35">
      <c r="B145" s="242" t="s">
        <v>88</v>
      </c>
      <c r="C145" s="310" t="s">
        <v>713</v>
      </c>
      <c r="D145" s="260">
        <v>4</v>
      </c>
      <c r="E145" s="261" t="s">
        <v>113</v>
      </c>
      <c r="F145" s="253">
        <v>122500</v>
      </c>
      <c r="G145" s="313">
        <f t="shared" si="8"/>
        <v>490000</v>
      </c>
    </row>
    <row r="146" spans="2:11" ht="22.05" customHeight="1" x14ac:dyDescent="0.35">
      <c r="B146" s="242" t="s">
        <v>251</v>
      </c>
      <c r="C146" s="310" t="s">
        <v>714</v>
      </c>
      <c r="D146" s="260">
        <v>60</v>
      </c>
      <c r="E146" s="261" t="s">
        <v>113</v>
      </c>
      <c r="F146" s="253">
        <v>7000</v>
      </c>
      <c r="G146" s="313">
        <f t="shared" si="8"/>
        <v>420000</v>
      </c>
    </row>
    <row r="147" spans="2:11" ht="22.05" customHeight="1" x14ac:dyDescent="0.35">
      <c r="B147" s="242" t="s">
        <v>255</v>
      </c>
      <c r="C147" s="310" t="s">
        <v>715</v>
      </c>
      <c r="D147" s="260">
        <v>4</v>
      </c>
      <c r="E147" s="261" t="s">
        <v>113</v>
      </c>
      <c r="F147" s="253">
        <v>490000</v>
      </c>
      <c r="G147" s="313">
        <f t="shared" si="8"/>
        <v>1960000</v>
      </c>
    </row>
    <row r="148" spans="2:11" ht="22.05" customHeight="1" x14ac:dyDescent="0.35">
      <c r="B148" s="242" t="s">
        <v>510</v>
      </c>
      <c r="C148" s="310" t="s">
        <v>660</v>
      </c>
      <c r="D148" s="260">
        <v>8</v>
      </c>
      <c r="E148" s="261" t="s">
        <v>113</v>
      </c>
      <c r="F148" s="253">
        <v>252000</v>
      </c>
      <c r="G148" s="313">
        <f t="shared" si="8"/>
        <v>2016000</v>
      </c>
    </row>
    <row r="149" spans="2:11" ht="22.05" customHeight="1" x14ac:dyDescent="0.35">
      <c r="B149" s="242" t="s">
        <v>511</v>
      </c>
      <c r="C149" s="310" t="s">
        <v>716</v>
      </c>
      <c r="D149" s="260">
        <v>40</v>
      </c>
      <c r="E149" s="261" t="s">
        <v>113</v>
      </c>
      <c r="F149" s="253">
        <v>35000</v>
      </c>
      <c r="G149" s="313">
        <f t="shared" si="8"/>
        <v>1400000</v>
      </c>
    </row>
    <row r="150" spans="2:11" s="241" customFormat="1" ht="30" customHeight="1" thickBot="1" x14ac:dyDescent="0.4">
      <c r="B150" s="252"/>
      <c r="C150" s="316" t="s">
        <v>55</v>
      </c>
      <c r="D150" s="263"/>
      <c r="E150" s="243"/>
      <c r="F150" s="250"/>
      <c r="G150" s="314">
        <f>SUM(G129:G149)</f>
        <v>38979500</v>
      </c>
      <c r="H150" s="239"/>
      <c r="J150" s="320"/>
      <c r="K150" s="365"/>
    </row>
    <row r="151" spans="2:11" s="258" customFormat="1" ht="30" customHeight="1" thickTop="1" x14ac:dyDescent="0.35">
      <c r="B151" s="317"/>
      <c r="C151" s="318" t="s">
        <v>974</v>
      </c>
      <c r="D151" s="319"/>
      <c r="E151" s="319"/>
      <c r="F151" s="312"/>
      <c r="G151" s="315"/>
      <c r="H151" s="239"/>
      <c r="J151" s="320"/>
      <c r="K151" s="365"/>
    </row>
    <row r="152" spans="2:11" ht="22.05" customHeight="1" x14ac:dyDescent="0.35">
      <c r="B152" s="242"/>
      <c r="C152" s="259" t="s">
        <v>969</v>
      </c>
      <c r="D152" s="260"/>
      <c r="E152" s="261"/>
      <c r="F152" s="262"/>
      <c r="G152" s="244"/>
    </row>
    <row r="153" spans="2:11" ht="22.05" customHeight="1" x14ac:dyDescent="0.35">
      <c r="B153" s="242"/>
      <c r="C153" s="259" t="s">
        <v>970</v>
      </c>
      <c r="D153" s="260"/>
      <c r="E153" s="261"/>
      <c r="F153" s="262"/>
      <c r="G153" s="244"/>
    </row>
    <row r="154" spans="2:11" ht="22.05" customHeight="1" x14ac:dyDescent="0.35">
      <c r="B154" s="242"/>
      <c r="C154" s="259" t="s">
        <v>520</v>
      </c>
      <c r="D154" s="260"/>
      <c r="E154" s="261"/>
      <c r="F154" s="262"/>
      <c r="G154" s="244"/>
    </row>
    <row r="155" spans="2:11" ht="22.05" customHeight="1" x14ac:dyDescent="0.35">
      <c r="B155" s="242"/>
      <c r="C155" s="259" t="s">
        <v>1235</v>
      </c>
      <c r="D155" s="260"/>
      <c r="E155" s="261"/>
      <c r="F155" s="262"/>
      <c r="G155" s="244"/>
    </row>
    <row r="156" spans="2:11" ht="21.95" customHeight="1" x14ac:dyDescent="0.35">
      <c r="B156" s="242"/>
      <c r="C156" s="311" t="s">
        <v>675</v>
      </c>
      <c r="D156" s="260"/>
      <c r="E156" s="261"/>
      <c r="F156" s="253"/>
      <c r="G156" s="313"/>
      <c r="J156" s="320"/>
      <c r="K156" s="365"/>
    </row>
    <row r="157" spans="2:11" ht="21.95" customHeight="1" x14ac:dyDescent="0.35">
      <c r="B157" s="242"/>
      <c r="C157" s="311" t="s">
        <v>697</v>
      </c>
      <c r="D157" s="260"/>
      <c r="E157" s="261"/>
      <c r="F157" s="253"/>
      <c r="G157" s="313"/>
      <c r="J157" s="320"/>
      <c r="K157" s="365"/>
    </row>
    <row r="158" spans="2:11" ht="52.25" customHeight="1" x14ac:dyDescent="0.35">
      <c r="B158" s="242" t="s">
        <v>31</v>
      </c>
      <c r="C158" s="310" t="s">
        <v>698</v>
      </c>
      <c r="D158" s="260">
        <v>2</v>
      </c>
      <c r="E158" s="261" t="s">
        <v>113</v>
      </c>
      <c r="F158" s="253">
        <v>280000</v>
      </c>
      <c r="G158" s="313">
        <f>F158*D158</f>
        <v>560000</v>
      </c>
    </row>
    <row r="159" spans="2:11" ht="36" customHeight="1" x14ac:dyDescent="0.35">
      <c r="B159" s="242" t="s">
        <v>32</v>
      </c>
      <c r="C159" s="310" t="s">
        <v>699</v>
      </c>
      <c r="D159" s="260">
        <v>2</v>
      </c>
      <c r="E159" s="261" t="s">
        <v>113</v>
      </c>
      <c r="F159" s="253">
        <v>262500</v>
      </c>
      <c r="G159" s="313">
        <f t="shared" ref="G159" si="9">F159*D159</f>
        <v>525000</v>
      </c>
    </row>
    <row r="160" spans="2:11" ht="21.95" customHeight="1" x14ac:dyDescent="0.35">
      <c r="B160" s="242"/>
      <c r="C160" s="311" t="s">
        <v>700</v>
      </c>
      <c r="D160" s="260"/>
      <c r="E160" s="261"/>
      <c r="F160" s="253"/>
      <c r="G160" s="313"/>
      <c r="J160" s="320"/>
      <c r="K160" s="365"/>
    </row>
    <row r="161" spans="2:11" ht="34.799999999999997" customHeight="1" x14ac:dyDescent="0.35">
      <c r="B161" s="242" t="s">
        <v>33</v>
      </c>
      <c r="C161" s="310" t="s">
        <v>701</v>
      </c>
      <c r="D161" s="260">
        <v>6</v>
      </c>
      <c r="E161" s="261" t="s">
        <v>112</v>
      </c>
      <c r="F161" s="253">
        <v>192500</v>
      </c>
      <c r="G161" s="313">
        <f t="shared" ref="G161:G166" si="10">F161*D161</f>
        <v>1155000</v>
      </c>
    </row>
    <row r="162" spans="2:11" ht="22.05" customHeight="1" x14ac:dyDescent="0.35">
      <c r="B162" s="242" t="s">
        <v>34</v>
      </c>
      <c r="C162" s="310" t="s">
        <v>702</v>
      </c>
      <c r="D162" s="260">
        <v>2</v>
      </c>
      <c r="E162" s="261" t="s">
        <v>113</v>
      </c>
      <c r="F162" s="253">
        <v>87500</v>
      </c>
      <c r="G162" s="313">
        <f t="shared" si="10"/>
        <v>175000</v>
      </c>
    </row>
    <row r="163" spans="2:11" ht="22.05" customHeight="1" x14ac:dyDescent="0.35">
      <c r="B163" s="242" t="s">
        <v>35</v>
      </c>
      <c r="C163" s="310" t="s">
        <v>703</v>
      </c>
      <c r="D163" s="260">
        <v>2</v>
      </c>
      <c r="E163" s="261" t="s">
        <v>113</v>
      </c>
      <c r="F163" s="253">
        <v>63000</v>
      </c>
      <c r="G163" s="313">
        <f t="shared" si="10"/>
        <v>126000</v>
      </c>
    </row>
    <row r="164" spans="2:11" ht="22.05" customHeight="1" x14ac:dyDescent="0.35">
      <c r="B164" s="242" t="s">
        <v>36</v>
      </c>
      <c r="C164" s="310" t="s">
        <v>660</v>
      </c>
      <c r="D164" s="260">
        <v>2</v>
      </c>
      <c r="E164" s="261" t="s">
        <v>113</v>
      </c>
      <c r="F164" s="253">
        <v>227500</v>
      </c>
      <c r="G164" s="313">
        <f t="shared" si="10"/>
        <v>455000</v>
      </c>
    </row>
    <row r="165" spans="2:11" ht="37.25" customHeight="1" x14ac:dyDescent="0.35">
      <c r="B165" s="242" t="s">
        <v>114</v>
      </c>
      <c r="C165" s="310" t="s">
        <v>704</v>
      </c>
      <c r="D165" s="260">
        <v>12</v>
      </c>
      <c r="E165" s="261" t="s">
        <v>112</v>
      </c>
      <c r="F165" s="253">
        <v>19250</v>
      </c>
      <c r="G165" s="313">
        <f t="shared" si="10"/>
        <v>231000</v>
      </c>
    </row>
    <row r="166" spans="2:11" ht="76.900000000000006" x14ac:dyDescent="0.35">
      <c r="B166" s="242" t="s">
        <v>39</v>
      </c>
      <c r="C166" s="310" t="s">
        <v>719</v>
      </c>
      <c r="D166" s="260">
        <v>2</v>
      </c>
      <c r="E166" s="261" t="s">
        <v>113</v>
      </c>
      <c r="F166" s="253">
        <v>1225000</v>
      </c>
      <c r="G166" s="313">
        <f t="shared" si="10"/>
        <v>2450000</v>
      </c>
    </row>
    <row r="167" spans="2:11" ht="21.95" customHeight="1" x14ac:dyDescent="0.35">
      <c r="B167" s="242"/>
      <c r="C167" s="311" t="s">
        <v>706</v>
      </c>
      <c r="D167" s="260"/>
      <c r="E167" s="261"/>
      <c r="F167" s="253"/>
      <c r="G167" s="313"/>
      <c r="J167" s="320"/>
      <c r="K167" s="365"/>
    </row>
    <row r="168" spans="2:11" ht="34.799999999999997" customHeight="1" x14ac:dyDescent="0.35">
      <c r="B168" s="242" t="s">
        <v>40</v>
      </c>
      <c r="C168" s="310" t="s">
        <v>707</v>
      </c>
      <c r="D168" s="260">
        <v>12</v>
      </c>
      <c r="E168" s="261" t="s">
        <v>112</v>
      </c>
      <c r="F168" s="253">
        <v>227500</v>
      </c>
      <c r="G168" s="313">
        <f t="shared" ref="G168:G178" si="11">F168*D168</f>
        <v>2730000</v>
      </c>
    </row>
    <row r="169" spans="2:11" ht="33.6" customHeight="1" x14ac:dyDescent="0.35">
      <c r="B169" s="242" t="s">
        <v>15</v>
      </c>
      <c r="C169" s="310" t="s">
        <v>708</v>
      </c>
      <c r="D169" s="260">
        <v>45</v>
      </c>
      <c r="E169" s="261" t="s">
        <v>112</v>
      </c>
      <c r="F169" s="253">
        <v>192500</v>
      </c>
      <c r="G169" s="313">
        <f t="shared" si="11"/>
        <v>8662500</v>
      </c>
    </row>
    <row r="170" spans="2:11" ht="33.6" customHeight="1" x14ac:dyDescent="0.35">
      <c r="B170" s="242" t="s">
        <v>16</v>
      </c>
      <c r="C170" s="310" t="s">
        <v>709</v>
      </c>
      <c r="D170" s="260">
        <v>6</v>
      </c>
      <c r="E170" s="261" t="s">
        <v>112</v>
      </c>
      <c r="F170" s="253">
        <v>140000</v>
      </c>
      <c r="G170" s="313">
        <f t="shared" si="11"/>
        <v>840000</v>
      </c>
    </row>
    <row r="171" spans="2:11" ht="34.799999999999997" customHeight="1" x14ac:dyDescent="0.35">
      <c r="B171" s="242" t="s">
        <v>89</v>
      </c>
      <c r="C171" s="310" t="s">
        <v>710</v>
      </c>
      <c r="D171" s="260">
        <v>24</v>
      </c>
      <c r="E171" s="261" t="s">
        <v>112</v>
      </c>
      <c r="F171" s="253">
        <v>105000</v>
      </c>
      <c r="G171" s="313">
        <f t="shared" si="11"/>
        <v>2520000</v>
      </c>
    </row>
    <row r="172" spans="2:11" ht="36.6" customHeight="1" x14ac:dyDescent="0.35">
      <c r="B172" s="242" t="s">
        <v>17</v>
      </c>
      <c r="C172" s="310" t="s">
        <v>711</v>
      </c>
      <c r="D172" s="260">
        <v>48</v>
      </c>
      <c r="E172" s="261" t="s">
        <v>112</v>
      </c>
      <c r="F172" s="253">
        <v>98000</v>
      </c>
      <c r="G172" s="313">
        <f t="shared" si="11"/>
        <v>4704000</v>
      </c>
    </row>
    <row r="173" spans="2:11" ht="30.75" x14ac:dyDescent="0.35">
      <c r="B173" s="242" t="s">
        <v>90</v>
      </c>
      <c r="C173" s="310" t="s">
        <v>712</v>
      </c>
      <c r="D173" s="260">
        <v>90</v>
      </c>
      <c r="E173" s="261" t="s">
        <v>112</v>
      </c>
      <c r="F173" s="253">
        <v>84000</v>
      </c>
      <c r="G173" s="313">
        <f t="shared" si="11"/>
        <v>7560000</v>
      </c>
    </row>
    <row r="174" spans="2:11" ht="22.05" customHeight="1" x14ac:dyDescent="0.35">
      <c r="B174" s="242" t="s">
        <v>88</v>
      </c>
      <c r="C174" s="310" t="s">
        <v>713</v>
      </c>
      <c r="D174" s="260">
        <v>4</v>
      </c>
      <c r="E174" s="261" t="s">
        <v>113</v>
      </c>
      <c r="F174" s="253">
        <v>122500</v>
      </c>
      <c r="G174" s="313">
        <f t="shared" si="11"/>
        <v>490000</v>
      </c>
    </row>
    <row r="175" spans="2:11" ht="22.05" customHeight="1" x14ac:dyDescent="0.35">
      <c r="B175" s="242" t="s">
        <v>251</v>
      </c>
      <c r="C175" s="310" t="s">
        <v>714</v>
      </c>
      <c r="D175" s="260">
        <v>60</v>
      </c>
      <c r="E175" s="261" t="s">
        <v>113</v>
      </c>
      <c r="F175" s="253">
        <v>7000</v>
      </c>
      <c r="G175" s="313">
        <f t="shared" si="11"/>
        <v>420000</v>
      </c>
    </row>
    <row r="176" spans="2:11" ht="22.05" customHeight="1" x14ac:dyDescent="0.35">
      <c r="B176" s="242" t="s">
        <v>255</v>
      </c>
      <c r="C176" s="310" t="s">
        <v>715</v>
      </c>
      <c r="D176" s="260">
        <v>4</v>
      </c>
      <c r="E176" s="261" t="s">
        <v>113</v>
      </c>
      <c r="F176" s="253">
        <v>490000</v>
      </c>
      <c r="G176" s="313">
        <f t="shared" si="11"/>
        <v>1960000</v>
      </c>
    </row>
    <row r="177" spans="2:11" ht="22.05" customHeight="1" x14ac:dyDescent="0.35">
      <c r="B177" s="242" t="s">
        <v>510</v>
      </c>
      <c r="C177" s="310" t="s">
        <v>660</v>
      </c>
      <c r="D177" s="260">
        <v>8</v>
      </c>
      <c r="E177" s="261" t="s">
        <v>113</v>
      </c>
      <c r="F177" s="253">
        <v>252000</v>
      </c>
      <c r="G177" s="313">
        <f t="shared" si="11"/>
        <v>2016000</v>
      </c>
    </row>
    <row r="178" spans="2:11" ht="22.05" customHeight="1" x14ac:dyDescent="0.35">
      <c r="B178" s="242" t="s">
        <v>511</v>
      </c>
      <c r="C178" s="310" t="s">
        <v>716</v>
      </c>
      <c r="D178" s="260">
        <v>40</v>
      </c>
      <c r="E178" s="261" t="s">
        <v>113</v>
      </c>
      <c r="F178" s="253">
        <v>35000</v>
      </c>
      <c r="G178" s="313">
        <f t="shared" si="11"/>
        <v>1400000</v>
      </c>
    </row>
    <row r="179" spans="2:11" s="241" customFormat="1" ht="30" customHeight="1" thickBot="1" x14ac:dyDescent="0.4">
      <c r="B179" s="252"/>
      <c r="C179" s="316" t="s">
        <v>55</v>
      </c>
      <c r="D179" s="263"/>
      <c r="E179" s="243"/>
      <c r="F179" s="250"/>
      <c r="G179" s="314">
        <f>SUM(G158:G178)</f>
        <v>38979500</v>
      </c>
      <c r="H179" s="239"/>
      <c r="J179" s="320"/>
      <c r="K179" s="365"/>
    </row>
    <row r="180" spans="2:11" s="258" customFormat="1" ht="30" customHeight="1" thickTop="1" x14ac:dyDescent="0.35">
      <c r="B180" s="317"/>
      <c r="C180" s="318" t="s">
        <v>974</v>
      </c>
      <c r="D180" s="319"/>
      <c r="E180" s="319"/>
      <c r="F180" s="312"/>
      <c r="G180" s="315"/>
      <c r="H180" s="239"/>
      <c r="J180" s="320"/>
      <c r="K180" s="365"/>
    </row>
    <row r="181" spans="2:11" ht="22.05" customHeight="1" x14ac:dyDescent="0.35">
      <c r="B181" s="242"/>
      <c r="C181" s="259" t="s">
        <v>969</v>
      </c>
      <c r="D181" s="260"/>
      <c r="E181" s="261"/>
      <c r="F181" s="262"/>
      <c r="G181" s="244"/>
    </row>
    <row r="182" spans="2:11" ht="22.05" customHeight="1" x14ac:dyDescent="0.35">
      <c r="B182" s="242"/>
      <c r="C182" s="259" t="s">
        <v>970</v>
      </c>
      <c r="D182" s="260"/>
      <c r="E182" s="261"/>
      <c r="F182" s="262"/>
      <c r="G182" s="244"/>
    </row>
    <row r="183" spans="2:11" ht="22.05" customHeight="1" x14ac:dyDescent="0.35">
      <c r="B183" s="242"/>
      <c r="C183" s="259" t="s">
        <v>189</v>
      </c>
      <c r="D183" s="260"/>
      <c r="E183" s="261"/>
      <c r="F183" s="262"/>
      <c r="G183" s="244"/>
    </row>
    <row r="184" spans="2:11" ht="22.05" customHeight="1" x14ac:dyDescent="0.35">
      <c r="B184" s="242"/>
      <c r="C184" s="259" t="s">
        <v>1031</v>
      </c>
      <c r="D184" s="260"/>
      <c r="E184" s="261"/>
      <c r="F184" s="262"/>
      <c r="G184" s="244"/>
    </row>
    <row r="185" spans="2:11" ht="21.95" customHeight="1" x14ac:dyDescent="0.35">
      <c r="B185" s="242"/>
      <c r="C185" s="311" t="s">
        <v>697</v>
      </c>
      <c r="D185" s="260"/>
      <c r="E185" s="261"/>
      <c r="F185" s="253"/>
      <c r="G185" s="313"/>
      <c r="J185" s="320"/>
      <c r="K185" s="365"/>
    </row>
    <row r="186" spans="2:11" ht="51.6" customHeight="1" x14ac:dyDescent="0.35">
      <c r="B186" s="242" t="s">
        <v>31</v>
      </c>
      <c r="C186" s="310" t="s">
        <v>698</v>
      </c>
      <c r="D186" s="260">
        <v>1</v>
      </c>
      <c r="E186" s="261" t="s">
        <v>113</v>
      </c>
      <c r="F186" s="253">
        <v>280000</v>
      </c>
      <c r="G186" s="313">
        <f>F186*D186</f>
        <v>280000</v>
      </c>
    </row>
    <row r="187" spans="2:11" ht="37.25" customHeight="1" x14ac:dyDescent="0.35">
      <c r="B187" s="242" t="s">
        <v>32</v>
      </c>
      <c r="C187" s="310" t="s">
        <v>699</v>
      </c>
      <c r="D187" s="260">
        <v>1</v>
      </c>
      <c r="E187" s="261" t="s">
        <v>113</v>
      </c>
      <c r="F187" s="253">
        <v>262500</v>
      </c>
      <c r="G187" s="313">
        <f t="shared" ref="G187:G203" si="12">F187*D187</f>
        <v>262500</v>
      </c>
    </row>
    <row r="188" spans="2:11" ht="21.95" customHeight="1" x14ac:dyDescent="0.35">
      <c r="B188" s="242"/>
      <c r="C188" s="311" t="s">
        <v>700</v>
      </c>
      <c r="D188" s="260"/>
      <c r="E188" s="261"/>
      <c r="F188" s="253"/>
      <c r="G188" s="313"/>
      <c r="J188" s="320"/>
      <c r="K188" s="365"/>
    </row>
    <row r="189" spans="2:11" ht="37.799999999999997" customHeight="1" x14ac:dyDescent="0.35">
      <c r="B189" s="242" t="s">
        <v>33</v>
      </c>
      <c r="C189" s="310" t="s">
        <v>701</v>
      </c>
      <c r="D189" s="260">
        <v>6</v>
      </c>
      <c r="E189" s="261" t="s">
        <v>112</v>
      </c>
      <c r="F189" s="253">
        <v>192500</v>
      </c>
      <c r="G189" s="313">
        <f t="shared" si="12"/>
        <v>1155000</v>
      </c>
    </row>
    <row r="190" spans="2:11" ht="22.05" customHeight="1" x14ac:dyDescent="0.35">
      <c r="B190" s="242" t="s">
        <v>34</v>
      </c>
      <c r="C190" s="310" t="s">
        <v>702</v>
      </c>
      <c r="D190" s="260">
        <v>1</v>
      </c>
      <c r="E190" s="261" t="s">
        <v>113</v>
      </c>
      <c r="F190" s="253">
        <v>87500</v>
      </c>
      <c r="G190" s="313">
        <f t="shared" si="12"/>
        <v>87500</v>
      </c>
    </row>
    <row r="191" spans="2:11" ht="22.05" customHeight="1" x14ac:dyDescent="0.35">
      <c r="B191" s="242" t="s">
        <v>35</v>
      </c>
      <c r="C191" s="310" t="s">
        <v>703</v>
      </c>
      <c r="D191" s="260">
        <v>1</v>
      </c>
      <c r="E191" s="261" t="s">
        <v>113</v>
      </c>
      <c r="F191" s="253">
        <v>63000</v>
      </c>
      <c r="G191" s="313">
        <f t="shared" si="12"/>
        <v>63000</v>
      </c>
    </row>
    <row r="192" spans="2:11" ht="22.05" customHeight="1" x14ac:dyDescent="0.35">
      <c r="B192" s="242" t="s">
        <v>36</v>
      </c>
      <c r="C192" s="310" t="s">
        <v>660</v>
      </c>
      <c r="D192" s="260">
        <v>1</v>
      </c>
      <c r="E192" s="261" t="s">
        <v>113</v>
      </c>
      <c r="F192" s="253">
        <v>227500</v>
      </c>
      <c r="G192" s="313">
        <f t="shared" si="12"/>
        <v>227500</v>
      </c>
    </row>
    <row r="193" spans="2:11" ht="36.6" customHeight="1" x14ac:dyDescent="0.35">
      <c r="B193" s="242" t="s">
        <v>114</v>
      </c>
      <c r="C193" s="310" t="s">
        <v>704</v>
      </c>
      <c r="D193" s="260">
        <v>6</v>
      </c>
      <c r="E193" s="261" t="s">
        <v>112</v>
      </c>
      <c r="F193" s="253">
        <v>19250</v>
      </c>
      <c r="G193" s="313">
        <f t="shared" si="12"/>
        <v>115500</v>
      </c>
    </row>
    <row r="194" spans="2:11" ht="76.900000000000006" x14ac:dyDescent="0.35">
      <c r="B194" s="242" t="s">
        <v>39</v>
      </c>
      <c r="C194" s="310" t="s">
        <v>719</v>
      </c>
      <c r="D194" s="260">
        <v>1</v>
      </c>
      <c r="E194" s="261" t="s">
        <v>113</v>
      </c>
      <c r="F194" s="253">
        <v>1225000</v>
      </c>
      <c r="G194" s="313">
        <f t="shared" si="12"/>
        <v>1225000</v>
      </c>
    </row>
    <row r="195" spans="2:11" ht="21.95" customHeight="1" x14ac:dyDescent="0.35">
      <c r="B195" s="242"/>
      <c r="C195" s="311" t="s">
        <v>706</v>
      </c>
      <c r="D195" s="260"/>
      <c r="E195" s="261"/>
      <c r="F195" s="253"/>
      <c r="G195" s="313"/>
      <c r="J195" s="320"/>
      <c r="K195" s="365"/>
    </row>
    <row r="196" spans="2:11" ht="36.6" customHeight="1" x14ac:dyDescent="0.35">
      <c r="B196" s="242" t="s">
        <v>16</v>
      </c>
      <c r="C196" s="310" t="s">
        <v>709</v>
      </c>
      <c r="D196" s="260">
        <v>6</v>
      </c>
      <c r="E196" s="261" t="s">
        <v>112</v>
      </c>
      <c r="F196" s="253">
        <v>140000</v>
      </c>
      <c r="G196" s="313">
        <f t="shared" si="12"/>
        <v>840000</v>
      </c>
    </row>
    <row r="197" spans="2:11" ht="37.25" customHeight="1" x14ac:dyDescent="0.35">
      <c r="B197" s="242" t="s">
        <v>89</v>
      </c>
      <c r="C197" s="310" t="s">
        <v>710</v>
      </c>
      <c r="D197" s="260">
        <v>6</v>
      </c>
      <c r="E197" s="261" t="s">
        <v>112</v>
      </c>
      <c r="F197" s="253">
        <v>105000</v>
      </c>
      <c r="G197" s="313">
        <f t="shared" si="12"/>
        <v>630000</v>
      </c>
    </row>
    <row r="198" spans="2:11" ht="36.6" customHeight="1" x14ac:dyDescent="0.35">
      <c r="B198" s="242" t="s">
        <v>17</v>
      </c>
      <c r="C198" s="310" t="s">
        <v>711</v>
      </c>
      <c r="D198" s="260">
        <v>12</v>
      </c>
      <c r="E198" s="261" t="s">
        <v>112</v>
      </c>
      <c r="F198" s="253">
        <v>98000</v>
      </c>
      <c r="G198" s="313">
        <f t="shared" si="12"/>
        <v>1176000</v>
      </c>
    </row>
    <row r="199" spans="2:11" ht="33.6" customHeight="1" x14ac:dyDescent="0.35">
      <c r="B199" s="242" t="s">
        <v>90</v>
      </c>
      <c r="C199" s="310" t="s">
        <v>712</v>
      </c>
      <c r="D199" s="260">
        <v>12</v>
      </c>
      <c r="E199" s="261" t="s">
        <v>112</v>
      </c>
      <c r="F199" s="253">
        <v>84000</v>
      </c>
      <c r="G199" s="313">
        <f t="shared" si="12"/>
        <v>1008000</v>
      </c>
    </row>
    <row r="200" spans="2:11" ht="22.05" customHeight="1" x14ac:dyDescent="0.35">
      <c r="B200" s="242" t="s">
        <v>88</v>
      </c>
      <c r="C200" s="310" t="s">
        <v>713</v>
      </c>
      <c r="D200" s="260">
        <v>4</v>
      </c>
      <c r="E200" s="261" t="s">
        <v>113</v>
      </c>
      <c r="F200" s="253">
        <v>122500</v>
      </c>
      <c r="G200" s="313">
        <f t="shared" si="12"/>
        <v>490000</v>
      </c>
    </row>
    <row r="201" spans="2:11" ht="22.05" customHeight="1" x14ac:dyDescent="0.35">
      <c r="B201" s="242" t="s">
        <v>251</v>
      </c>
      <c r="C201" s="310" t="s">
        <v>714</v>
      </c>
      <c r="D201" s="260">
        <v>60</v>
      </c>
      <c r="E201" s="261" t="s">
        <v>113</v>
      </c>
      <c r="F201" s="253">
        <v>7000</v>
      </c>
      <c r="G201" s="313">
        <f t="shared" si="12"/>
        <v>420000</v>
      </c>
    </row>
    <row r="202" spans="2:11" ht="22.05" customHeight="1" x14ac:dyDescent="0.35">
      <c r="B202" s="242" t="s">
        <v>510</v>
      </c>
      <c r="C202" s="310" t="s">
        <v>660</v>
      </c>
      <c r="D202" s="260">
        <v>1</v>
      </c>
      <c r="E202" s="261" t="s">
        <v>113</v>
      </c>
      <c r="F202" s="253">
        <v>252000</v>
      </c>
      <c r="G202" s="313">
        <f t="shared" si="12"/>
        <v>252000</v>
      </c>
    </row>
    <row r="203" spans="2:11" ht="22.05" customHeight="1" x14ac:dyDescent="0.35">
      <c r="B203" s="242" t="s">
        <v>511</v>
      </c>
      <c r="C203" s="310" t="s">
        <v>716</v>
      </c>
      <c r="D203" s="260">
        <v>6</v>
      </c>
      <c r="E203" s="261" t="s">
        <v>113</v>
      </c>
      <c r="F203" s="253">
        <v>35000</v>
      </c>
      <c r="G203" s="313">
        <f t="shared" si="12"/>
        <v>210000</v>
      </c>
    </row>
    <row r="204" spans="2:11" s="241" customFormat="1" ht="30" customHeight="1" thickBot="1" x14ac:dyDescent="0.4">
      <c r="B204" s="252"/>
      <c r="C204" s="316" t="s">
        <v>55</v>
      </c>
      <c r="D204" s="263"/>
      <c r="E204" s="243"/>
      <c r="F204" s="250"/>
      <c r="G204" s="314">
        <f>SUM(G186:G203)</f>
        <v>8442000</v>
      </c>
      <c r="H204" s="239"/>
      <c r="J204" s="320"/>
      <c r="K204" s="365"/>
    </row>
    <row r="205" spans="2:11" s="258" customFormat="1" ht="30" customHeight="1" thickTop="1" x14ac:dyDescent="0.35">
      <c r="B205" s="317"/>
      <c r="C205" s="318" t="s">
        <v>975</v>
      </c>
      <c r="D205" s="319"/>
      <c r="E205" s="319"/>
      <c r="F205" s="312"/>
      <c r="G205" s="315"/>
      <c r="H205" s="239"/>
      <c r="J205" s="320"/>
      <c r="K205" s="365"/>
    </row>
    <row r="206" spans="2:11" ht="22.05" customHeight="1" x14ac:dyDescent="0.35">
      <c r="B206" s="242"/>
      <c r="C206" s="259" t="s">
        <v>969</v>
      </c>
      <c r="D206" s="260"/>
      <c r="E206" s="261"/>
      <c r="F206" s="262"/>
      <c r="G206" s="244"/>
    </row>
    <row r="207" spans="2:11" ht="22.05" customHeight="1" x14ac:dyDescent="0.35">
      <c r="B207" s="242"/>
      <c r="C207" s="259" t="s">
        <v>970</v>
      </c>
      <c r="D207" s="260"/>
      <c r="E207" s="261"/>
      <c r="F207" s="262"/>
      <c r="G207" s="244"/>
    </row>
    <row r="208" spans="2:11" ht="22.05" customHeight="1" x14ac:dyDescent="0.35">
      <c r="B208" s="242"/>
      <c r="C208" s="259" t="s">
        <v>174</v>
      </c>
      <c r="D208" s="260"/>
      <c r="E208" s="261"/>
      <c r="F208" s="262"/>
      <c r="G208" s="244"/>
    </row>
    <row r="209" spans="2:11" ht="22.05" customHeight="1" x14ac:dyDescent="0.35">
      <c r="B209" s="242"/>
      <c r="C209" s="259" t="s">
        <v>978</v>
      </c>
      <c r="D209" s="260"/>
      <c r="E209" s="261"/>
      <c r="F209" s="262"/>
      <c r="G209" s="244"/>
    </row>
    <row r="210" spans="2:11" ht="21.95" customHeight="1" x14ac:dyDescent="0.35">
      <c r="B210" s="242"/>
      <c r="C210" s="311" t="s">
        <v>720</v>
      </c>
      <c r="D210" s="260"/>
      <c r="E210" s="261"/>
      <c r="F210" s="253"/>
      <c r="G210" s="313"/>
      <c r="J210" s="320"/>
      <c r="K210" s="365"/>
    </row>
    <row r="211" spans="2:11" ht="21.95" customHeight="1" x14ac:dyDescent="0.35">
      <c r="B211" s="242"/>
      <c r="C211" s="311" t="s">
        <v>721</v>
      </c>
      <c r="D211" s="260"/>
      <c r="E211" s="261"/>
      <c r="F211" s="253"/>
      <c r="G211" s="313"/>
      <c r="J211" s="320"/>
      <c r="K211" s="365"/>
    </row>
    <row r="212" spans="2:11" ht="36" customHeight="1" x14ac:dyDescent="0.35">
      <c r="B212" s="242" t="s">
        <v>31</v>
      </c>
      <c r="C212" s="310" t="s">
        <v>722</v>
      </c>
      <c r="D212" s="260">
        <v>28</v>
      </c>
      <c r="E212" s="261" t="s">
        <v>112</v>
      </c>
      <c r="F212" s="253">
        <v>122500</v>
      </c>
      <c r="G212" s="313">
        <f t="shared" ref="G212:G231" si="13">F212*D212</f>
        <v>3430000</v>
      </c>
    </row>
    <row r="213" spans="2:11" ht="34.799999999999997" customHeight="1" x14ac:dyDescent="0.35">
      <c r="B213" s="242" t="s">
        <v>32</v>
      </c>
      <c r="C213" s="310" t="s">
        <v>723</v>
      </c>
      <c r="D213" s="260">
        <v>28</v>
      </c>
      <c r="E213" s="261" t="s">
        <v>112</v>
      </c>
      <c r="F213" s="253">
        <v>122500</v>
      </c>
      <c r="G213" s="313">
        <f t="shared" si="13"/>
        <v>3430000</v>
      </c>
    </row>
    <row r="214" spans="2:11" ht="80.45" customHeight="1" x14ac:dyDescent="0.35">
      <c r="B214" s="242" t="s">
        <v>33</v>
      </c>
      <c r="C214" s="310" t="s">
        <v>724</v>
      </c>
      <c r="D214" s="260">
        <v>14</v>
      </c>
      <c r="E214" s="261" t="s">
        <v>113</v>
      </c>
      <c r="F214" s="253">
        <v>437500</v>
      </c>
      <c r="G214" s="313">
        <f t="shared" si="13"/>
        <v>6125000</v>
      </c>
    </row>
    <row r="215" spans="2:11" ht="36" customHeight="1" x14ac:dyDescent="0.35">
      <c r="B215" s="242" t="s">
        <v>34</v>
      </c>
      <c r="C215" s="310" t="s">
        <v>725</v>
      </c>
      <c r="D215" s="260">
        <v>2</v>
      </c>
      <c r="E215" s="261" t="s">
        <v>113</v>
      </c>
      <c r="F215" s="253">
        <v>297500</v>
      </c>
      <c r="G215" s="313">
        <f t="shared" si="13"/>
        <v>595000</v>
      </c>
    </row>
    <row r="216" spans="2:11" ht="52.25" customHeight="1" x14ac:dyDescent="0.35">
      <c r="B216" s="242" t="s">
        <v>35</v>
      </c>
      <c r="C216" s="310" t="s">
        <v>726</v>
      </c>
      <c r="D216" s="260">
        <v>1</v>
      </c>
      <c r="E216" s="261" t="s">
        <v>113</v>
      </c>
      <c r="F216" s="253">
        <v>1067500</v>
      </c>
      <c r="G216" s="313">
        <f t="shared" si="13"/>
        <v>1067500</v>
      </c>
    </row>
    <row r="217" spans="2:11" ht="37.25" customHeight="1" x14ac:dyDescent="0.35">
      <c r="B217" s="242" t="s">
        <v>36</v>
      </c>
      <c r="C217" s="310" t="s">
        <v>727</v>
      </c>
      <c r="D217" s="260">
        <v>2</v>
      </c>
      <c r="E217" s="261" t="s">
        <v>113</v>
      </c>
      <c r="F217" s="253">
        <v>787500</v>
      </c>
      <c r="G217" s="313">
        <f t="shared" si="13"/>
        <v>1575000</v>
      </c>
    </row>
    <row r="218" spans="2:11" ht="21.95" customHeight="1" x14ac:dyDescent="0.35">
      <c r="B218" s="242"/>
      <c r="C218" s="311" t="s">
        <v>728</v>
      </c>
      <c r="D218" s="260"/>
      <c r="E218" s="261"/>
      <c r="F218" s="253"/>
      <c r="G218" s="313"/>
      <c r="J218" s="320"/>
      <c r="K218" s="365"/>
    </row>
    <row r="219" spans="2:11" ht="36.6" customHeight="1" x14ac:dyDescent="0.35">
      <c r="B219" s="242" t="s">
        <v>114</v>
      </c>
      <c r="C219" s="310" t="s">
        <v>707</v>
      </c>
      <c r="D219" s="260">
        <v>40</v>
      </c>
      <c r="E219" s="261" t="s">
        <v>112</v>
      </c>
      <c r="F219" s="253">
        <v>162500</v>
      </c>
      <c r="G219" s="313">
        <f t="shared" si="13"/>
        <v>6500000</v>
      </c>
    </row>
    <row r="220" spans="2:11" ht="22.05" customHeight="1" x14ac:dyDescent="0.35">
      <c r="B220" s="242" t="s">
        <v>39</v>
      </c>
      <c r="C220" s="310" t="s">
        <v>729</v>
      </c>
      <c r="D220" s="260">
        <v>4</v>
      </c>
      <c r="E220" s="261" t="s">
        <v>113</v>
      </c>
      <c r="F220" s="253">
        <v>447500</v>
      </c>
      <c r="G220" s="313">
        <f t="shared" si="13"/>
        <v>1790000</v>
      </c>
    </row>
    <row r="221" spans="2:11" ht="52.8" customHeight="1" x14ac:dyDescent="0.35">
      <c r="B221" s="242" t="s">
        <v>40</v>
      </c>
      <c r="C221" s="310" t="s">
        <v>730</v>
      </c>
      <c r="D221" s="260">
        <v>1</v>
      </c>
      <c r="E221" s="261" t="s">
        <v>113</v>
      </c>
      <c r="F221" s="253">
        <v>980000</v>
      </c>
      <c r="G221" s="313">
        <f t="shared" si="13"/>
        <v>980000</v>
      </c>
    </row>
    <row r="222" spans="2:11" ht="52.8" customHeight="1" x14ac:dyDescent="0.35">
      <c r="B222" s="242" t="s">
        <v>15</v>
      </c>
      <c r="C222" s="310" t="s">
        <v>682</v>
      </c>
      <c r="D222" s="260">
        <v>1</v>
      </c>
      <c r="E222" s="261" t="s">
        <v>113</v>
      </c>
      <c r="F222" s="253">
        <v>647500</v>
      </c>
      <c r="G222" s="313">
        <f t="shared" si="13"/>
        <v>647500</v>
      </c>
    </row>
    <row r="223" spans="2:11" ht="53.45" customHeight="1" x14ac:dyDescent="0.35">
      <c r="B223" s="242" t="s">
        <v>16</v>
      </c>
      <c r="C223" s="310" t="s">
        <v>731</v>
      </c>
      <c r="D223" s="260">
        <v>1</v>
      </c>
      <c r="E223" s="261" t="s">
        <v>113</v>
      </c>
      <c r="F223" s="253">
        <v>665000</v>
      </c>
      <c r="G223" s="313">
        <f t="shared" si="13"/>
        <v>665000</v>
      </c>
    </row>
    <row r="224" spans="2:11" ht="22.9" customHeight="1" x14ac:dyDescent="0.35">
      <c r="B224" s="242"/>
      <c r="C224" s="310"/>
      <c r="D224" s="260"/>
      <c r="E224" s="261"/>
      <c r="F224" s="253"/>
      <c r="G224" s="313"/>
    </row>
    <row r="225" spans="2:11" ht="22.9" customHeight="1" x14ac:dyDescent="0.35">
      <c r="B225" s="242"/>
      <c r="C225" s="310"/>
      <c r="D225" s="260"/>
      <c r="E225" s="261"/>
      <c r="F225" s="253"/>
      <c r="G225" s="313"/>
    </row>
    <row r="226" spans="2:11" ht="123" customHeight="1" x14ac:dyDescent="0.35">
      <c r="B226" s="242" t="s">
        <v>31</v>
      </c>
      <c r="C226" s="310" t="s">
        <v>732</v>
      </c>
      <c r="D226" s="260">
        <v>1</v>
      </c>
      <c r="E226" s="261" t="s">
        <v>113</v>
      </c>
      <c r="F226" s="253">
        <v>88000000</v>
      </c>
      <c r="G226" s="313">
        <f t="shared" si="13"/>
        <v>88000000</v>
      </c>
    </row>
    <row r="227" spans="2:11" ht="21.95" customHeight="1" x14ac:dyDescent="0.35">
      <c r="B227" s="242"/>
      <c r="C227" s="311" t="s">
        <v>733</v>
      </c>
      <c r="D227" s="260"/>
      <c r="E227" s="261"/>
      <c r="F227" s="253"/>
      <c r="G227" s="313"/>
      <c r="J227" s="320"/>
      <c r="K227" s="365"/>
    </row>
    <row r="228" spans="2:11" ht="61.5" x14ac:dyDescent="0.35">
      <c r="B228" s="242" t="s">
        <v>32</v>
      </c>
      <c r="C228" s="310" t="s">
        <v>734</v>
      </c>
      <c r="D228" s="260">
        <v>1</v>
      </c>
      <c r="E228" s="261" t="s">
        <v>113</v>
      </c>
      <c r="F228" s="253">
        <v>2675000</v>
      </c>
      <c r="G228" s="313">
        <f t="shared" si="13"/>
        <v>2675000</v>
      </c>
    </row>
    <row r="229" spans="2:11" ht="37.799999999999997" customHeight="1" x14ac:dyDescent="0.35">
      <c r="B229" s="242" t="s">
        <v>33</v>
      </c>
      <c r="C229" s="310" t="s">
        <v>735</v>
      </c>
      <c r="D229" s="260">
        <v>2</v>
      </c>
      <c r="E229" s="261" t="s">
        <v>113</v>
      </c>
      <c r="F229" s="253">
        <v>377500</v>
      </c>
      <c r="G229" s="313">
        <f t="shared" si="13"/>
        <v>755000</v>
      </c>
    </row>
    <row r="230" spans="2:11" ht="22.05" customHeight="1" x14ac:dyDescent="0.35">
      <c r="B230" s="242" t="s">
        <v>34</v>
      </c>
      <c r="C230" s="310" t="s">
        <v>736</v>
      </c>
      <c r="D230" s="260">
        <v>1</v>
      </c>
      <c r="E230" s="261" t="s">
        <v>113</v>
      </c>
      <c r="F230" s="253">
        <v>157500</v>
      </c>
      <c r="G230" s="313">
        <f t="shared" si="13"/>
        <v>157500</v>
      </c>
    </row>
    <row r="231" spans="2:11" ht="57.6" customHeight="1" x14ac:dyDescent="0.35">
      <c r="B231" s="242" t="s">
        <v>35</v>
      </c>
      <c r="C231" s="310" t="s">
        <v>737</v>
      </c>
      <c r="D231" s="260">
        <v>1</v>
      </c>
      <c r="E231" s="261" t="s">
        <v>113</v>
      </c>
      <c r="F231" s="253">
        <v>927500</v>
      </c>
      <c r="G231" s="313">
        <f t="shared" si="13"/>
        <v>927500</v>
      </c>
    </row>
    <row r="232" spans="2:11" ht="25.05" customHeight="1" x14ac:dyDescent="0.35">
      <c r="B232" s="242"/>
      <c r="C232" s="310"/>
      <c r="D232" s="260"/>
      <c r="E232" s="261"/>
      <c r="F232" s="253"/>
      <c r="G232" s="313"/>
    </row>
    <row r="233" spans="2:11" ht="25.05" customHeight="1" x14ac:dyDescent="0.35">
      <c r="B233" s="242"/>
      <c r="C233" s="310"/>
      <c r="D233" s="260"/>
      <c r="E233" s="261"/>
      <c r="F233" s="253"/>
      <c r="G233" s="313"/>
    </row>
    <row r="234" spans="2:11" ht="25.05" customHeight="1" x14ac:dyDescent="0.35">
      <c r="B234" s="242"/>
      <c r="C234" s="310"/>
      <c r="D234" s="260"/>
      <c r="E234" s="261"/>
      <c r="F234" s="253"/>
      <c r="G234" s="313"/>
    </row>
    <row r="235" spans="2:11" ht="25.05" customHeight="1" x14ac:dyDescent="0.35">
      <c r="B235" s="242"/>
      <c r="C235" s="310"/>
      <c r="D235" s="260"/>
      <c r="E235" s="261"/>
      <c r="F235" s="253"/>
      <c r="G235" s="313"/>
    </row>
    <row r="236" spans="2:11" ht="25.05" customHeight="1" x14ac:dyDescent="0.35">
      <c r="B236" s="242"/>
      <c r="C236" s="310"/>
      <c r="D236" s="260"/>
      <c r="E236" s="261"/>
      <c r="F236" s="253"/>
      <c r="G236" s="313"/>
    </row>
    <row r="237" spans="2:11" ht="25.05" customHeight="1" x14ac:dyDescent="0.35">
      <c r="B237" s="242"/>
      <c r="C237" s="310"/>
      <c r="D237" s="260"/>
      <c r="E237" s="261"/>
      <c r="F237" s="253"/>
      <c r="G237" s="313"/>
    </row>
    <row r="238" spans="2:11" ht="25.05" customHeight="1" x14ac:dyDescent="0.35">
      <c r="B238" s="242"/>
      <c r="C238" s="310"/>
      <c r="D238" s="260"/>
      <c r="E238" s="261"/>
      <c r="F238" s="253"/>
      <c r="G238" s="313"/>
    </row>
    <row r="239" spans="2:11" ht="25.05" customHeight="1" x14ac:dyDescent="0.35">
      <c r="B239" s="242"/>
      <c r="C239" s="310"/>
      <c r="D239" s="260"/>
      <c r="E239" s="261"/>
      <c r="F239" s="253"/>
      <c r="G239" s="313"/>
    </row>
    <row r="240" spans="2:11" ht="25.05" customHeight="1" x14ac:dyDescent="0.35">
      <c r="B240" s="242"/>
      <c r="C240" s="310"/>
      <c r="D240" s="260"/>
      <c r="E240" s="261"/>
      <c r="F240" s="253"/>
      <c r="G240" s="313"/>
    </row>
    <row r="241" spans="2:11" ht="25.05" customHeight="1" x14ac:dyDescent="0.35">
      <c r="B241" s="242"/>
      <c r="C241" s="310"/>
      <c r="D241" s="260"/>
      <c r="E241" s="261"/>
      <c r="F241" s="253"/>
      <c r="G241" s="313"/>
    </row>
    <row r="242" spans="2:11" ht="25.05" customHeight="1" x14ac:dyDescent="0.35">
      <c r="B242" s="242"/>
      <c r="C242" s="310"/>
      <c r="D242" s="260"/>
      <c r="E242" s="261"/>
      <c r="F242" s="253"/>
      <c r="G242" s="313"/>
    </row>
    <row r="243" spans="2:11" ht="30.6" customHeight="1" x14ac:dyDescent="0.35">
      <c r="B243" s="242"/>
      <c r="C243" s="310"/>
      <c r="D243" s="260"/>
      <c r="E243" s="261"/>
      <c r="F243" s="253"/>
      <c r="G243" s="313"/>
    </row>
    <row r="244" spans="2:11" ht="25.05" customHeight="1" x14ac:dyDescent="0.35">
      <c r="B244" s="242"/>
      <c r="C244" s="310"/>
      <c r="D244" s="260"/>
      <c r="E244" s="261"/>
      <c r="F244" s="253"/>
      <c r="G244" s="313"/>
    </row>
    <row r="245" spans="2:11" ht="25.05" customHeight="1" x14ac:dyDescent="0.35">
      <c r="B245" s="242"/>
      <c r="C245" s="310"/>
      <c r="D245" s="260"/>
      <c r="E245" s="261"/>
      <c r="F245" s="253"/>
      <c r="G245" s="313"/>
    </row>
    <row r="246" spans="2:11" ht="25.05" customHeight="1" x14ac:dyDescent="0.35">
      <c r="B246" s="242"/>
      <c r="C246" s="310"/>
      <c r="D246" s="260"/>
      <c r="E246" s="261"/>
      <c r="F246" s="253"/>
      <c r="G246" s="313"/>
    </row>
    <row r="247" spans="2:11" ht="25.05" customHeight="1" x14ac:dyDescent="0.35">
      <c r="B247" s="242"/>
      <c r="C247" s="310"/>
      <c r="D247" s="260"/>
      <c r="E247" s="261"/>
      <c r="F247" s="253"/>
      <c r="G247" s="313"/>
    </row>
    <row r="248" spans="2:11" ht="25.05" customHeight="1" x14ac:dyDescent="0.35">
      <c r="B248" s="242"/>
      <c r="C248" s="310"/>
      <c r="D248" s="260"/>
      <c r="E248" s="261"/>
      <c r="F248" s="253"/>
      <c r="G248" s="313"/>
    </row>
    <row r="249" spans="2:11" s="241" customFormat="1" ht="30" customHeight="1" thickBot="1" x14ac:dyDescent="0.4">
      <c r="B249" s="252"/>
      <c r="C249" s="316" t="s">
        <v>55</v>
      </c>
      <c r="D249" s="263"/>
      <c r="E249" s="243"/>
      <c r="F249" s="250"/>
      <c r="G249" s="314">
        <f>SUM(G211:G232)</f>
        <v>119320000</v>
      </c>
      <c r="H249" s="239"/>
      <c r="J249" s="320"/>
      <c r="K249" s="365"/>
    </row>
    <row r="250" spans="2:11" s="258" customFormat="1" ht="30" customHeight="1" thickTop="1" x14ac:dyDescent="0.35">
      <c r="B250" s="317"/>
      <c r="C250" s="318" t="s">
        <v>976</v>
      </c>
      <c r="D250" s="319"/>
      <c r="E250" s="319"/>
      <c r="F250" s="312"/>
      <c r="G250" s="315"/>
      <c r="H250" s="239"/>
      <c r="J250" s="320"/>
      <c r="K250" s="365"/>
    </row>
    <row r="251" spans="2:11" ht="22.05" customHeight="1" x14ac:dyDescent="0.35">
      <c r="B251" s="242"/>
      <c r="C251" s="259" t="s">
        <v>969</v>
      </c>
      <c r="D251" s="260"/>
      <c r="E251" s="261"/>
      <c r="F251" s="262"/>
      <c r="G251" s="244"/>
    </row>
    <row r="252" spans="2:11" ht="22.05" customHeight="1" x14ac:dyDescent="0.35">
      <c r="B252" s="242"/>
      <c r="C252" s="259" t="s">
        <v>970</v>
      </c>
      <c r="D252" s="260"/>
      <c r="E252" s="261"/>
      <c r="F252" s="262"/>
      <c r="G252" s="244"/>
    </row>
    <row r="253" spans="2:11" ht="22.05" customHeight="1" x14ac:dyDescent="0.35">
      <c r="B253" s="242"/>
      <c r="C253" s="259" t="s">
        <v>84</v>
      </c>
      <c r="D253" s="260"/>
      <c r="E253" s="261"/>
      <c r="F253" s="262"/>
      <c r="G253" s="244"/>
    </row>
    <row r="254" spans="2:11" ht="22.05" customHeight="1" x14ac:dyDescent="0.35">
      <c r="B254" s="242"/>
      <c r="C254" s="259" t="s">
        <v>955</v>
      </c>
      <c r="D254" s="260"/>
      <c r="E254" s="261"/>
      <c r="F254" s="262"/>
      <c r="G254" s="244"/>
    </row>
    <row r="255" spans="2:11" x14ac:dyDescent="0.35">
      <c r="B255" s="242"/>
      <c r="C255" s="311" t="s">
        <v>738</v>
      </c>
      <c r="D255" s="260"/>
      <c r="E255" s="261"/>
      <c r="F255" s="253"/>
      <c r="G255" s="313"/>
      <c r="J255" s="320"/>
      <c r="K255" s="365"/>
    </row>
    <row r="256" spans="2:11" ht="22.05" customHeight="1" x14ac:dyDescent="0.35">
      <c r="B256" s="242" t="s">
        <v>31</v>
      </c>
      <c r="C256" s="310" t="s">
        <v>739</v>
      </c>
      <c r="D256" s="260">
        <v>1</v>
      </c>
      <c r="E256" s="261" t="s">
        <v>113</v>
      </c>
      <c r="F256" s="253">
        <v>9300000</v>
      </c>
      <c r="G256" s="313">
        <f>F256*D256</f>
        <v>9300000</v>
      </c>
    </row>
    <row r="257" spans="2:11" ht="21.95" customHeight="1" x14ac:dyDescent="0.35">
      <c r="B257" s="242"/>
      <c r="C257" s="311" t="s">
        <v>740</v>
      </c>
      <c r="D257" s="260"/>
      <c r="E257" s="261"/>
      <c r="F257" s="253"/>
      <c r="G257" s="313"/>
      <c r="J257" s="320"/>
      <c r="K257" s="365"/>
    </row>
    <row r="258" spans="2:11" ht="30.75" x14ac:dyDescent="0.35">
      <c r="B258" s="242" t="s">
        <v>32</v>
      </c>
      <c r="C258" s="310" t="s">
        <v>741</v>
      </c>
      <c r="D258" s="260">
        <v>1</v>
      </c>
      <c r="E258" s="261" t="s">
        <v>113</v>
      </c>
      <c r="F258" s="253">
        <v>1575000</v>
      </c>
      <c r="G258" s="313">
        <f t="shared" ref="G258:G296" si="14">F258*D258</f>
        <v>1575000</v>
      </c>
    </row>
    <row r="259" spans="2:11" ht="22.05" customHeight="1" x14ac:dyDescent="0.35">
      <c r="B259" s="242" t="s">
        <v>33</v>
      </c>
      <c r="C259" s="310" t="s">
        <v>742</v>
      </c>
      <c r="D259" s="260">
        <v>4</v>
      </c>
      <c r="E259" s="261" t="s">
        <v>112</v>
      </c>
      <c r="F259" s="253">
        <v>56000</v>
      </c>
      <c r="G259" s="313">
        <f t="shared" si="14"/>
        <v>224000</v>
      </c>
    </row>
    <row r="260" spans="2:11" ht="22.05" customHeight="1" x14ac:dyDescent="0.35">
      <c r="B260" s="242" t="s">
        <v>34</v>
      </c>
      <c r="C260" s="310" t="s">
        <v>743</v>
      </c>
      <c r="D260" s="260">
        <v>4</v>
      </c>
      <c r="E260" s="261" t="s">
        <v>112</v>
      </c>
      <c r="F260" s="253">
        <v>42000</v>
      </c>
      <c r="G260" s="313">
        <f t="shared" si="14"/>
        <v>168000</v>
      </c>
    </row>
    <row r="261" spans="2:11" ht="22.05" customHeight="1" x14ac:dyDescent="0.35">
      <c r="B261" s="242" t="s">
        <v>35</v>
      </c>
      <c r="C261" s="310" t="s">
        <v>744</v>
      </c>
      <c r="D261" s="260">
        <v>12</v>
      </c>
      <c r="E261" s="261" t="s">
        <v>113</v>
      </c>
      <c r="F261" s="253">
        <v>35000</v>
      </c>
      <c r="G261" s="313">
        <f t="shared" si="14"/>
        <v>420000</v>
      </c>
    </row>
    <row r="262" spans="2:11" ht="21.95" customHeight="1" x14ac:dyDescent="0.35">
      <c r="B262" s="242"/>
      <c r="C262" s="311" t="s">
        <v>745</v>
      </c>
      <c r="D262" s="260"/>
      <c r="E262" s="261"/>
      <c r="F262" s="253"/>
      <c r="G262" s="313"/>
      <c r="J262" s="320"/>
      <c r="K262" s="365"/>
    </row>
    <row r="263" spans="2:11" ht="22.05" customHeight="1" x14ac:dyDescent="0.35">
      <c r="B263" s="242" t="s">
        <v>36</v>
      </c>
      <c r="C263" s="310" t="s">
        <v>746</v>
      </c>
      <c r="D263" s="260">
        <v>1</v>
      </c>
      <c r="E263" s="261" t="s">
        <v>113</v>
      </c>
      <c r="F263" s="253">
        <v>2800000</v>
      </c>
      <c r="G263" s="313">
        <f t="shared" si="14"/>
        <v>2800000</v>
      </c>
    </row>
    <row r="264" spans="2:11" ht="22.05" customHeight="1" x14ac:dyDescent="0.35">
      <c r="B264" s="242" t="s">
        <v>114</v>
      </c>
      <c r="C264" s="310" t="s">
        <v>747</v>
      </c>
      <c r="D264" s="260">
        <v>1</v>
      </c>
      <c r="E264" s="261" t="s">
        <v>113</v>
      </c>
      <c r="F264" s="253">
        <v>1050000</v>
      </c>
      <c r="G264" s="313">
        <f t="shared" si="14"/>
        <v>1050000</v>
      </c>
    </row>
    <row r="265" spans="2:11" ht="22.05" customHeight="1" x14ac:dyDescent="0.35">
      <c r="B265" s="242" t="s">
        <v>39</v>
      </c>
      <c r="C265" s="310" t="s">
        <v>748</v>
      </c>
      <c r="D265" s="260">
        <v>1</v>
      </c>
      <c r="E265" s="261" t="s">
        <v>113</v>
      </c>
      <c r="F265" s="253">
        <v>315000</v>
      </c>
      <c r="G265" s="313">
        <f t="shared" si="14"/>
        <v>315000</v>
      </c>
    </row>
    <row r="266" spans="2:11" ht="22.05" customHeight="1" x14ac:dyDescent="0.35">
      <c r="B266" s="242" t="s">
        <v>40</v>
      </c>
      <c r="C266" s="310" t="s">
        <v>749</v>
      </c>
      <c r="D266" s="260">
        <v>1</v>
      </c>
      <c r="E266" s="261" t="s">
        <v>113</v>
      </c>
      <c r="F266" s="253">
        <v>87500</v>
      </c>
      <c r="G266" s="313">
        <f t="shared" si="14"/>
        <v>87500</v>
      </c>
    </row>
    <row r="267" spans="2:11" ht="22.05" customHeight="1" x14ac:dyDescent="0.35">
      <c r="B267" s="242" t="s">
        <v>15</v>
      </c>
      <c r="C267" s="310" t="s">
        <v>750</v>
      </c>
      <c r="D267" s="260">
        <v>1</v>
      </c>
      <c r="E267" s="261" t="s">
        <v>113</v>
      </c>
      <c r="F267" s="253">
        <v>87500</v>
      </c>
      <c r="G267" s="313">
        <f t="shared" si="14"/>
        <v>87500</v>
      </c>
    </row>
    <row r="268" spans="2:11" ht="22.05" customHeight="1" x14ac:dyDescent="0.35">
      <c r="B268" s="242" t="s">
        <v>16</v>
      </c>
      <c r="C268" s="310" t="s">
        <v>751</v>
      </c>
      <c r="D268" s="260">
        <v>2</v>
      </c>
      <c r="E268" s="261" t="s">
        <v>113</v>
      </c>
      <c r="F268" s="253">
        <v>98000</v>
      </c>
      <c r="G268" s="313">
        <f t="shared" si="14"/>
        <v>196000</v>
      </c>
    </row>
    <row r="269" spans="2:11" ht="22.05" customHeight="1" x14ac:dyDescent="0.35">
      <c r="B269" s="242" t="s">
        <v>89</v>
      </c>
      <c r="C269" s="310" t="s">
        <v>752</v>
      </c>
      <c r="D269" s="260">
        <v>4</v>
      </c>
      <c r="E269" s="261" t="s">
        <v>113</v>
      </c>
      <c r="F269" s="253">
        <v>63000</v>
      </c>
      <c r="G269" s="313">
        <f t="shared" si="14"/>
        <v>252000</v>
      </c>
    </row>
    <row r="270" spans="2:11" ht="22.05" customHeight="1" x14ac:dyDescent="0.35">
      <c r="B270" s="242" t="s">
        <v>17</v>
      </c>
      <c r="C270" s="310" t="s">
        <v>753</v>
      </c>
      <c r="D270" s="260">
        <v>1</v>
      </c>
      <c r="E270" s="261" t="s">
        <v>113</v>
      </c>
      <c r="F270" s="253">
        <v>297500</v>
      </c>
      <c r="G270" s="313">
        <f t="shared" si="14"/>
        <v>297500</v>
      </c>
    </row>
    <row r="271" spans="2:11" ht="21.95" customHeight="1" x14ac:dyDescent="0.35">
      <c r="B271" s="242"/>
      <c r="C271" s="311" t="s">
        <v>754</v>
      </c>
      <c r="D271" s="260"/>
      <c r="E271" s="261"/>
      <c r="F271" s="253"/>
      <c r="G271" s="313"/>
      <c r="J271" s="320"/>
      <c r="K271" s="365"/>
    </row>
    <row r="272" spans="2:11" ht="22.05" customHeight="1" x14ac:dyDescent="0.35">
      <c r="B272" s="242" t="s">
        <v>90</v>
      </c>
      <c r="C272" s="310" t="s">
        <v>755</v>
      </c>
      <c r="D272" s="260">
        <v>24</v>
      </c>
      <c r="E272" s="261" t="s">
        <v>112</v>
      </c>
      <c r="F272" s="253">
        <v>4200</v>
      </c>
      <c r="G272" s="313">
        <f t="shared" si="14"/>
        <v>100800</v>
      </c>
    </row>
    <row r="273" spans="2:11" ht="22.05" customHeight="1" x14ac:dyDescent="0.35">
      <c r="B273" s="242" t="s">
        <v>88</v>
      </c>
      <c r="C273" s="310" t="s">
        <v>756</v>
      </c>
      <c r="D273" s="260">
        <v>12</v>
      </c>
      <c r="E273" s="261" t="s">
        <v>112</v>
      </c>
      <c r="F273" s="253">
        <v>5250</v>
      </c>
      <c r="G273" s="313">
        <f t="shared" si="14"/>
        <v>63000</v>
      </c>
    </row>
    <row r="274" spans="2:11" ht="22.05" customHeight="1" x14ac:dyDescent="0.35">
      <c r="B274" s="242" t="s">
        <v>251</v>
      </c>
      <c r="C274" s="310" t="s">
        <v>757</v>
      </c>
      <c r="D274" s="260">
        <v>10</v>
      </c>
      <c r="E274" s="261" t="s">
        <v>112</v>
      </c>
      <c r="F274" s="253">
        <v>6300</v>
      </c>
      <c r="G274" s="313">
        <f t="shared" si="14"/>
        <v>63000</v>
      </c>
    </row>
    <row r="275" spans="2:11" ht="54" customHeight="1" x14ac:dyDescent="0.35">
      <c r="B275" s="242" t="s">
        <v>255</v>
      </c>
      <c r="C275" s="310" t="s">
        <v>758</v>
      </c>
      <c r="D275" s="260">
        <v>20</v>
      </c>
      <c r="E275" s="261" t="s">
        <v>112</v>
      </c>
      <c r="F275" s="253">
        <v>7350</v>
      </c>
      <c r="G275" s="313">
        <f t="shared" si="14"/>
        <v>147000</v>
      </c>
    </row>
    <row r="276" spans="2:11" ht="21.95" customHeight="1" x14ac:dyDescent="0.35">
      <c r="B276" s="242"/>
      <c r="C276" s="311" t="s">
        <v>759</v>
      </c>
      <c r="D276" s="260"/>
      <c r="E276" s="261"/>
      <c r="F276" s="253"/>
      <c r="G276" s="313"/>
      <c r="J276" s="320"/>
      <c r="K276" s="365"/>
    </row>
    <row r="277" spans="2:11" ht="22.05" customHeight="1" x14ac:dyDescent="0.35">
      <c r="B277" s="242" t="s">
        <v>510</v>
      </c>
      <c r="C277" s="310" t="s">
        <v>739</v>
      </c>
      <c r="D277" s="260">
        <v>1</v>
      </c>
      <c r="E277" s="261" t="s">
        <v>113</v>
      </c>
      <c r="F277" s="253">
        <v>9300000</v>
      </c>
      <c r="G277" s="313">
        <f t="shared" si="14"/>
        <v>9300000</v>
      </c>
    </row>
    <row r="278" spans="2:11" ht="21.95" customHeight="1" x14ac:dyDescent="0.35">
      <c r="B278" s="242"/>
      <c r="C278" s="311" t="s">
        <v>740</v>
      </c>
      <c r="D278" s="260"/>
      <c r="E278" s="261"/>
      <c r="F278" s="253"/>
      <c r="G278" s="313"/>
      <c r="J278" s="320"/>
      <c r="K278" s="365"/>
    </row>
    <row r="279" spans="2:11" ht="30.75" x14ac:dyDescent="0.35">
      <c r="B279" s="242" t="s">
        <v>511</v>
      </c>
      <c r="C279" s="310" t="s">
        <v>741</v>
      </c>
      <c r="D279" s="260">
        <v>1</v>
      </c>
      <c r="E279" s="261" t="s">
        <v>113</v>
      </c>
      <c r="F279" s="253">
        <v>1575000</v>
      </c>
      <c r="G279" s="313">
        <f t="shared" si="14"/>
        <v>1575000</v>
      </c>
    </row>
    <row r="280" spans="2:11" ht="22.05" customHeight="1" x14ac:dyDescent="0.35">
      <c r="B280" s="242" t="s">
        <v>512</v>
      </c>
      <c r="C280" s="310" t="s">
        <v>744</v>
      </c>
      <c r="D280" s="260">
        <v>12</v>
      </c>
      <c r="E280" s="261" t="s">
        <v>113</v>
      </c>
      <c r="F280" s="253">
        <v>56000</v>
      </c>
      <c r="G280" s="313">
        <f t="shared" si="14"/>
        <v>672000</v>
      </c>
    </row>
    <row r="281" spans="2:11" ht="21.95" customHeight="1" x14ac:dyDescent="0.35">
      <c r="B281" s="242"/>
      <c r="C281" s="311" t="s">
        <v>745</v>
      </c>
      <c r="D281" s="260"/>
      <c r="E281" s="261"/>
      <c r="F281" s="253"/>
      <c r="G281" s="313"/>
      <c r="J281" s="320"/>
      <c r="K281" s="365"/>
    </row>
    <row r="282" spans="2:11" ht="22.05" customHeight="1" x14ac:dyDescent="0.35">
      <c r="B282" s="242" t="s">
        <v>513</v>
      </c>
      <c r="C282" s="310" t="s">
        <v>746</v>
      </c>
      <c r="D282" s="260">
        <v>1</v>
      </c>
      <c r="E282" s="261" t="s">
        <v>113</v>
      </c>
      <c r="F282" s="253">
        <v>2800000</v>
      </c>
      <c r="G282" s="313">
        <f t="shared" si="14"/>
        <v>2800000</v>
      </c>
    </row>
    <row r="283" spans="2:11" ht="22.05" customHeight="1" x14ac:dyDescent="0.35">
      <c r="B283" s="242" t="s">
        <v>514</v>
      </c>
      <c r="C283" s="310" t="s">
        <v>747</v>
      </c>
      <c r="D283" s="260">
        <v>1</v>
      </c>
      <c r="E283" s="261" t="s">
        <v>113</v>
      </c>
      <c r="F283" s="253">
        <v>1050000</v>
      </c>
      <c r="G283" s="313">
        <f t="shared" si="14"/>
        <v>1050000</v>
      </c>
    </row>
    <row r="284" spans="2:11" ht="22.05" customHeight="1" x14ac:dyDescent="0.35">
      <c r="B284" s="242" t="s">
        <v>515</v>
      </c>
      <c r="C284" s="310" t="s">
        <v>748</v>
      </c>
      <c r="D284" s="260">
        <v>1</v>
      </c>
      <c r="E284" s="261" t="s">
        <v>113</v>
      </c>
      <c r="F284" s="253">
        <v>315000</v>
      </c>
      <c r="G284" s="313">
        <f t="shared" si="14"/>
        <v>315000</v>
      </c>
    </row>
    <row r="285" spans="2:11" ht="22.05" customHeight="1" x14ac:dyDescent="0.35">
      <c r="B285" s="242" t="s">
        <v>516</v>
      </c>
      <c r="C285" s="310" t="s">
        <v>749</v>
      </c>
      <c r="D285" s="260">
        <v>1</v>
      </c>
      <c r="E285" s="261" t="s">
        <v>113</v>
      </c>
      <c r="F285" s="253">
        <v>87500</v>
      </c>
      <c r="G285" s="313">
        <f t="shared" si="14"/>
        <v>87500</v>
      </c>
    </row>
    <row r="286" spans="2:11" ht="22.05" customHeight="1" x14ac:dyDescent="0.35">
      <c r="B286" s="242" t="s">
        <v>517</v>
      </c>
      <c r="C286" s="310" t="s">
        <v>750</v>
      </c>
      <c r="D286" s="260">
        <v>1</v>
      </c>
      <c r="E286" s="261" t="s">
        <v>113</v>
      </c>
      <c r="F286" s="253">
        <v>87500</v>
      </c>
      <c r="G286" s="313">
        <f t="shared" si="14"/>
        <v>87500</v>
      </c>
    </row>
    <row r="287" spans="2:11" ht="22.05" customHeight="1" x14ac:dyDescent="0.35">
      <c r="B287" s="242"/>
      <c r="C287" s="310"/>
      <c r="D287" s="260"/>
      <c r="E287" s="261"/>
      <c r="F287" s="253"/>
      <c r="G287" s="313"/>
    </row>
    <row r="288" spans="2:11" ht="22.05" customHeight="1" x14ac:dyDescent="0.35">
      <c r="B288" s="242"/>
      <c r="C288" s="310"/>
      <c r="D288" s="260"/>
      <c r="E288" s="261"/>
      <c r="F288" s="253"/>
      <c r="G288" s="313"/>
    </row>
    <row r="289" spans="2:11" ht="22.05" customHeight="1" x14ac:dyDescent="0.35">
      <c r="B289" s="242" t="s">
        <v>31</v>
      </c>
      <c r="C289" s="310" t="s">
        <v>751</v>
      </c>
      <c r="D289" s="260">
        <v>1</v>
      </c>
      <c r="E289" s="261" t="s">
        <v>113</v>
      </c>
      <c r="F289" s="253">
        <v>98000</v>
      </c>
      <c r="G289" s="313">
        <f t="shared" si="14"/>
        <v>98000</v>
      </c>
    </row>
    <row r="290" spans="2:11" ht="22.05" customHeight="1" x14ac:dyDescent="0.35">
      <c r="B290" s="242" t="s">
        <v>32</v>
      </c>
      <c r="C290" s="310" t="s">
        <v>752</v>
      </c>
      <c r="D290" s="260">
        <v>2</v>
      </c>
      <c r="E290" s="261" t="s">
        <v>113</v>
      </c>
      <c r="F290" s="253">
        <v>63000</v>
      </c>
      <c r="G290" s="313">
        <f t="shared" si="14"/>
        <v>126000</v>
      </c>
    </row>
    <row r="291" spans="2:11" ht="22.05" customHeight="1" x14ac:dyDescent="0.35">
      <c r="B291" s="242" t="s">
        <v>33</v>
      </c>
      <c r="C291" s="310" t="s">
        <v>753</v>
      </c>
      <c r="D291" s="260">
        <v>1</v>
      </c>
      <c r="E291" s="261" t="s">
        <v>113</v>
      </c>
      <c r="F291" s="253">
        <v>297500</v>
      </c>
      <c r="G291" s="313">
        <f t="shared" si="14"/>
        <v>297500</v>
      </c>
    </row>
    <row r="292" spans="2:11" ht="21.95" customHeight="1" x14ac:dyDescent="0.35">
      <c r="B292" s="242"/>
      <c r="C292" s="311" t="s">
        <v>754</v>
      </c>
      <c r="D292" s="260"/>
      <c r="E292" s="261"/>
      <c r="F292" s="253"/>
      <c r="G292" s="313"/>
      <c r="J292" s="320"/>
      <c r="K292" s="365"/>
    </row>
    <row r="293" spans="2:11" ht="22.05" customHeight="1" x14ac:dyDescent="0.35">
      <c r="B293" s="242" t="s">
        <v>34</v>
      </c>
      <c r="C293" s="310" t="s">
        <v>755</v>
      </c>
      <c r="D293" s="260">
        <v>12</v>
      </c>
      <c r="E293" s="261" t="s">
        <v>112</v>
      </c>
      <c r="F293" s="253">
        <v>4200</v>
      </c>
      <c r="G293" s="313">
        <f t="shared" si="14"/>
        <v>50400</v>
      </c>
    </row>
    <row r="294" spans="2:11" ht="22.05" customHeight="1" x14ac:dyDescent="0.35">
      <c r="B294" s="242" t="s">
        <v>35</v>
      </c>
      <c r="C294" s="310" t="s">
        <v>756</v>
      </c>
      <c r="D294" s="260">
        <v>12</v>
      </c>
      <c r="E294" s="261" t="s">
        <v>112</v>
      </c>
      <c r="F294" s="253">
        <v>5250</v>
      </c>
      <c r="G294" s="313">
        <f t="shared" si="14"/>
        <v>63000</v>
      </c>
    </row>
    <row r="295" spans="2:11" ht="22.05" customHeight="1" x14ac:dyDescent="0.35">
      <c r="B295" s="242" t="s">
        <v>36</v>
      </c>
      <c r="C295" s="310" t="s">
        <v>757</v>
      </c>
      <c r="D295" s="260">
        <v>12</v>
      </c>
      <c r="E295" s="261" t="s">
        <v>112</v>
      </c>
      <c r="F295" s="253">
        <v>6300</v>
      </c>
      <c r="G295" s="313">
        <f t="shared" si="14"/>
        <v>75600</v>
      </c>
    </row>
    <row r="296" spans="2:11" ht="54.6" customHeight="1" x14ac:dyDescent="0.35">
      <c r="B296" s="242" t="s">
        <v>114</v>
      </c>
      <c r="C296" s="310" t="s">
        <v>758</v>
      </c>
      <c r="D296" s="260">
        <v>12</v>
      </c>
      <c r="E296" s="261" t="s">
        <v>112</v>
      </c>
      <c r="F296" s="253">
        <v>7350</v>
      </c>
      <c r="G296" s="313">
        <f t="shared" si="14"/>
        <v>88200</v>
      </c>
    </row>
    <row r="297" spans="2:11" ht="25.05" customHeight="1" x14ac:dyDescent="0.35">
      <c r="B297" s="242"/>
      <c r="C297" s="310"/>
      <c r="D297" s="260"/>
      <c r="E297" s="261"/>
      <c r="F297" s="253"/>
      <c r="G297" s="313"/>
    </row>
    <row r="298" spans="2:11" ht="25.05" customHeight="1" x14ac:dyDescent="0.35">
      <c r="B298" s="242"/>
      <c r="C298" s="310"/>
      <c r="D298" s="260"/>
      <c r="E298" s="261"/>
      <c r="F298" s="253"/>
      <c r="G298" s="313"/>
    </row>
    <row r="299" spans="2:11" ht="25.05" customHeight="1" x14ac:dyDescent="0.35">
      <c r="B299" s="242"/>
      <c r="C299" s="310"/>
      <c r="D299" s="260"/>
      <c r="E299" s="261"/>
      <c r="F299" s="253"/>
      <c r="G299" s="313"/>
    </row>
    <row r="300" spans="2:11" ht="25.05" customHeight="1" x14ac:dyDescent="0.35">
      <c r="B300" s="242"/>
      <c r="C300" s="310"/>
      <c r="D300" s="260"/>
      <c r="E300" s="261"/>
      <c r="F300" s="253"/>
      <c r="G300" s="313"/>
    </row>
    <row r="301" spans="2:11" ht="25.05" customHeight="1" x14ac:dyDescent="0.35">
      <c r="B301" s="242"/>
      <c r="C301" s="310"/>
      <c r="D301" s="260"/>
      <c r="E301" s="261"/>
      <c r="F301" s="253"/>
      <c r="G301" s="313"/>
    </row>
    <row r="302" spans="2:11" ht="25.05" customHeight="1" x14ac:dyDescent="0.35">
      <c r="B302" s="242"/>
      <c r="C302" s="310"/>
      <c r="D302" s="260"/>
      <c r="E302" s="261"/>
      <c r="F302" s="253"/>
      <c r="G302" s="313"/>
    </row>
    <row r="303" spans="2:11" ht="25.05" customHeight="1" x14ac:dyDescent="0.35">
      <c r="B303" s="242"/>
      <c r="C303" s="310"/>
      <c r="D303" s="260"/>
      <c r="E303" s="261"/>
      <c r="F303" s="253"/>
      <c r="G303" s="313"/>
    </row>
    <row r="304" spans="2:11" ht="25.05" customHeight="1" x14ac:dyDescent="0.35">
      <c r="B304" s="242"/>
      <c r="C304" s="310"/>
      <c r="D304" s="260"/>
      <c r="E304" s="261"/>
      <c r="F304" s="253"/>
      <c r="G304" s="313"/>
    </row>
    <row r="305" spans="2:7" ht="25.05" customHeight="1" x14ac:dyDescent="0.35">
      <c r="B305" s="242"/>
      <c r="C305" s="310"/>
      <c r="D305" s="260"/>
      <c r="E305" s="261"/>
      <c r="F305" s="253"/>
      <c r="G305" s="313"/>
    </row>
    <row r="306" spans="2:7" ht="25.05" customHeight="1" x14ac:dyDescent="0.35">
      <c r="B306" s="242"/>
      <c r="C306" s="310"/>
      <c r="D306" s="260"/>
      <c r="E306" s="261"/>
      <c r="F306" s="253"/>
      <c r="G306" s="313"/>
    </row>
    <row r="307" spans="2:7" ht="25.05" customHeight="1" x14ac:dyDescent="0.35">
      <c r="B307" s="242"/>
      <c r="C307" s="310"/>
      <c r="D307" s="260"/>
      <c r="E307" s="261"/>
      <c r="F307" s="253"/>
      <c r="G307" s="313"/>
    </row>
    <row r="308" spans="2:7" ht="25.05" customHeight="1" x14ac:dyDescent="0.35">
      <c r="B308" s="242"/>
      <c r="C308" s="310"/>
      <c r="D308" s="260"/>
      <c r="E308" s="261"/>
      <c r="F308" s="253"/>
      <c r="G308" s="313"/>
    </row>
    <row r="309" spans="2:7" ht="25.05" customHeight="1" x14ac:dyDescent="0.35">
      <c r="B309" s="242"/>
      <c r="C309" s="310"/>
      <c r="D309" s="260"/>
      <c r="E309" s="261"/>
      <c r="F309" s="253"/>
      <c r="G309" s="313"/>
    </row>
    <row r="310" spans="2:7" ht="25.05" customHeight="1" x14ac:dyDescent="0.35">
      <c r="B310" s="242"/>
      <c r="C310" s="310"/>
      <c r="D310" s="260"/>
      <c r="E310" s="261"/>
      <c r="F310" s="253"/>
      <c r="G310" s="313"/>
    </row>
    <row r="311" spans="2:7" ht="25.05" customHeight="1" x14ac:dyDescent="0.35">
      <c r="B311" s="242"/>
      <c r="C311" s="310"/>
      <c r="D311" s="260"/>
      <c r="E311" s="261"/>
      <c r="F311" s="253"/>
      <c r="G311" s="313"/>
    </row>
    <row r="312" spans="2:7" ht="25.05" customHeight="1" x14ac:dyDescent="0.35">
      <c r="B312" s="242"/>
      <c r="C312" s="310"/>
      <c r="D312" s="260"/>
      <c r="E312" s="261"/>
      <c r="F312" s="253"/>
      <c r="G312" s="313"/>
    </row>
    <row r="313" spans="2:7" ht="25.05" customHeight="1" x14ac:dyDescent="0.35">
      <c r="B313" s="242"/>
      <c r="C313" s="310"/>
      <c r="D313" s="260"/>
      <c r="E313" s="261"/>
      <c r="F313" s="253"/>
      <c r="G313" s="313"/>
    </row>
    <row r="314" spans="2:7" ht="25.05" customHeight="1" x14ac:dyDescent="0.35">
      <c r="B314" s="242"/>
      <c r="C314" s="310"/>
      <c r="D314" s="260"/>
      <c r="E314" s="261"/>
      <c r="F314" s="253"/>
      <c r="G314" s="313"/>
    </row>
    <row r="315" spans="2:7" ht="25.05" customHeight="1" x14ac:dyDescent="0.35">
      <c r="B315" s="242"/>
      <c r="C315" s="310"/>
      <c r="D315" s="260"/>
      <c r="E315" s="261"/>
      <c r="F315" s="253"/>
      <c r="G315" s="313"/>
    </row>
    <row r="316" spans="2:7" ht="30.6" customHeight="1" x14ac:dyDescent="0.35">
      <c r="B316" s="242"/>
      <c r="C316" s="310"/>
      <c r="D316" s="260"/>
      <c r="E316" s="261"/>
      <c r="F316" s="253"/>
      <c r="G316" s="313"/>
    </row>
    <row r="317" spans="2:7" ht="25.05" customHeight="1" x14ac:dyDescent="0.35">
      <c r="B317" s="242"/>
      <c r="C317" s="310"/>
      <c r="D317" s="260"/>
      <c r="E317" s="261"/>
      <c r="F317" s="253"/>
      <c r="G317" s="313"/>
    </row>
    <row r="318" spans="2:7" ht="18.600000000000001" customHeight="1" x14ac:dyDescent="0.35">
      <c r="B318" s="242"/>
      <c r="C318" s="310"/>
      <c r="D318" s="260"/>
      <c r="E318" s="261"/>
      <c r="F318" s="253"/>
      <c r="G318" s="313"/>
    </row>
    <row r="319" spans="2:7" ht="25.05" customHeight="1" x14ac:dyDescent="0.35">
      <c r="B319" s="242"/>
      <c r="C319" s="310"/>
      <c r="D319" s="260"/>
      <c r="E319" s="261"/>
      <c r="F319" s="253"/>
      <c r="G319" s="313"/>
    </row>
    <row r="320" spans="2:7" ht="25.05" customHeight="1" x14ac:dyDescent="0.35">
      <c r="B320" s="242"/>
      <c r="C320" s="310"/>
      <c r="D320" s="260"/>
      <c r="E320" s="261"/>
      <c r="F320" s="253"/>
      <c r="G320" s="313"/>
    </row>
    <row r="321" spans="2:11" s="241" customFormat="1" ht="30" customHeight="1" thickBot="1" x14ac:dyDescent="0.4">
      <c r="B321" s="252"/>
      <c r="C321" s="316" t="s">
        <v>55</v>
      </c>
      <c r="D321" s="263"/>
      <c r="E321" s="243"/>
      <c r="F321" s="250"/>
      <c r="G321" s="314">
        <f>SUM(G256:G298)</f>
        <v>33832000</v>
      </c>
      <c r="H321" s="239"/>
      <c r="J321" s="320"/>
      <c r="K321" s="365"/>
    </row>
    <row r="322" spans="2:11" s="258" customFormat="1" ht="30" customHeight="1" thickTop="1" x14ac:dyDescent="0.35">
      <c r="B322" s="317"/>
      <c r="C322" s="318" t="s">
        <v>977</v>
      </c>
      <c r="D322" s="319"/>
      <c r="E322" s="319"/>
      <c r="F322" s="312"/>
      <c r="G322" s="315"/>
      <c r="H322" s="239"/>
      <c r="J322" s="320"/>
      <c r="K322" s="365"/>
    </row>
  </sheetData>
  <printOptions horizontalCentered="1"/>
  <pageMargins left="0.15748031496062992" right="0.11811023622047245" top="0.23622047244094491" bottom="0.27559055118110237" header="0.11811023622047245" footer="0.15748031496062992"/>
  <pageSetup paperSize="9" scale="89" orientation="portrait" r:id="rId1"/>
  <headerFooter>
    <oddHeader>&amp;R&amp;"Arial,Italic"&amp;8&amp;F</oddHeader>
    <oddFooter>&amp;L&amp;"Arial,Italic"&amp;8&amp;A</oddFooter>
  </headerFooter>
  <rowBreaks count="10" manualBreakCount="10">
    <brk id="35" max="7" man="1"/>
    <brk id="64" max="7" man="1"/>
    <brk id="93" max="7" man="1"/>
    <brk id="122" max="7" man="1"/>
    <brk id="151" max="7" man="1"/>
    <brk id="180" max="7" man="1"/>
    <brk id="205" max="7" man="1"/>
    <brk id="224" max="7" man="1"/>
    <brk id="250" max="7" man="1"/>
    <brk id="287" max="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B4"/>
  <sheetViews>
    <sheetView view="pageBreakPreview" zoomScaleNormal="100" workbookViewId="0">
      <selection activeCell="M12" sqref="M12"/>
    </sheetView>
  </sheetViews>
  <sheetFormatPr defaultColWidth="9.1328125" defaultRowHeight="20.65" x14ac:dyDescent="0.35"/>
  <cols>
    <col min="1" max="1" width="6.33203125" style="287" customWidth="1"/>
    <col min="2" max="2" width="69.86328125" style="291" customWidth="1"/>
    <col min="3" max="16384" width="9.1328125" style="287"/>
  </cols>
  <sheetData>
    <row r="1" spans="2:2" x14ac:dyDescent="0.35">
      <c r="B1" s="288"/>
    </row>
    <row r="2" spans="2:2" ht="30" customHeight="1" x14ac:dyDescent="0.35">
      <c r="B2" s="289" t="s">
        <v>984</v>
      </c>
    </row>
    <row r="3" spans="2:2" ht="40.5" customHeight="1" x14ac:dyDescent="0.35">
      <c r="B3" s="290" t="s">
        <v>981</v>
      </c>
    </row>
    <row r="4" spans="2:2" x14ac:dyDescent="0.35">
      <c r="B4" s="288"/>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view="pageBreakPreview" topLeftCell="A10" zoomScale="90" zoomScaleNormal="100" zoomScaleSheetLayoutView="90" workbookViewId="0">
      <selection activeCell="E14" sqref="E14"/>
    </sheetView>
  </sheetViews>
  <sheetFormatPr defaultColWidth="9.1328125" defaultRowHeight="15.4" x14ac:dyDescent="0.35"/>
  <cols>
    <col min="1" max="1" width="0.6640625" style="273" customWidth="1"/>
    <col min="2" max="2" width="11.33203125" style="274" customWidth="1"/>
    <col min="3" max="3" width="56.6640625" style="273" customWidth="1"/>
    <col min="4" max="4" width="15.6640625" style="274" customWidth="1"/>
    <col min="5" max="5" width="16.6640625" style="266" customWidth="1"/>
    <col min="6" max="6" width="1.33203125" style="268" customWidth="1"/>
    <col min="7" max="7" width="12.86328125" style="274" bestFit="1" customWidth="1"/>
    <col min="8" max="8" width="17" style="274" bestFit="1" customWidth="1"/>
    <col min="9" max="9" width="11.1328125" style="274" customWidth="1"/>
    <col min="10" max="13" width="9.1328125" style="274"/>
    <col min="14" max="14" width="14" style="274" bestFit="1" customWidth="1"/>
    <col min="15" max="16384" width="9.1328125" style="274"/>
  </cols>
  <sheetData>
    <row r="1" spans="2:14" s="265" customFormat="1" ht="6" customHeight="1" x14ac:dyDescent="0.35">
      <c r="B1" s="264"/>
      <c r="D1" s="264"/>
      <c r="E1" s="266"/>
      <c r="F1" s="267"/>
    </row>
    <row r="2" spans="2:14" s="322" customFormat="1" ht="30.75" x14ac:dyDescent="0.35">
      <c r="B2" s="328" t="s">
        <v>50</v>
      </c>
      <c r="C2" s="329" t="s">
        <v>38</v>
      </c>
      <c r="D2" s="329" t="s">
        <v>30</v>
      </c>
      <c r="E2" s="330" t="s">
        <v>532</v>
      </c>
      <c r="F2" s="321"/>
    </row>
    <row r="3" spans="2:14" s="265" customFormat="1" x14ac:dyDescent="0.35">
      <c r="B3" s="276"/>
      <c r="C3" s="277"/>
      <c r="D3" s="278"/>
      <c r="E3" s="279"/>
      <c r="F3" s="268"/>
    </row>
    <row r="4" spans="2:14" s="265" customFormat="1" ht="30" customHeight="1" x14ac:dyDescent="0.35">
      <c r="B4" s="276"/>
      <c r="C4" s="280" t="str">
        <f>'Fly Sht. Bill No.7'!B2</f>
        <v>BILL NO.7</v>
      </c>
      <c r="D4" s="278"/>
      <c r="E4" s="279"/>
      <c r="F4" s="268"/>
    </row>
    <row r="5" spans="2:14" s="265" customFormat="1" ht="30" customHeight="1" x14ac:dyDescent="0.35">
      <c r="B5" s="276"/>
      <c r="C5" s="280" t="str">
        <f>'Fly Sht. Bill No.7'!B3</f>
        <v>HVAC INSTALLATIONS</v>
      </c>
      <c r="D5" s="278"/>
      <c r="E5" s="279"/>
      <c r="F5" s="268"/>
    </row>
    <row r="6" spans="2:14" s="265" customFormat="1" ht="30" customHeight="1" x14ac:dyDescent="0.35">
      <c r="B6" s="276"/>
      <c r="C6" s="280" t="s">
        <v>52</v>
      </c>
      <c r="D6" s="278"/>
      <c r="E6" s="279"/>
      <c r="F6" s="268"/>
    </row>
    <row r="7" spans="2:14" s="265" customFormat="1" ht="30" customHeight="1" x14ac:dyDescent="0.35">
      <c r="B7" s="281">
        <v>1</v>
      </c>
      <c r="C7" s="282" t="s">
        <v>1229</v>
      </c>
      <c r="D7" s="283" t="e">
        <f>#REF!</f>
        <v>#REF!</v>
      </c>
      <c r="E7" s="325">
        <f>'Bill No 7 HVAC'!F93</f>
        <v>154173427.12799999</v>
      </c>
      <c r="F7" s="268"/>
      <c r="G7" s="269"/>
      <c r="H7" s="368"/>
      <c r="I7" s="323"/>
      <c r="N7" s="270"/>
    </row>
    <row r="8" spans="2:14" s="265" customFormat="1" ht="33.6" customHeight="1" x14ac:dyDescent="0.35">
      <c r="B8" s="281">
        <v>2</v>
      </c>
      <c r="C8" s="282" t="s">
        <v>1081</v>
      </c>
      <c r="D8" s="283" t="e">
        <f>#REF!</f>
        <v>#REF!</v>
      </c>
      <c r="E8" s="325">
        <f>'Bill No 7 HVAC'!F181</f>
        <v>133628987.58400002</v>
      </c>
      <c r="F8" s="268"/>
      <c r="G8" s="269"/>
      <c r="H8" s="368"/>
      <c r="N8" s="270"/>
    </row>
    <row r="9" spans="2:14" s="265" customFormat="1" ht="30" customHeight="1" x14ac:dyDescent="0.35">
      <c r="B9" s="281">
        <v>3</v>
      </c>
      <c r="C9" s="277" t="s">
        <v>538</v>
      </c>
      <c r="D9" s="283" t="e">
        <f>#REF!</f>
        <v>#REF!</v>
      </c>
      <c r="E9" s="325">
        <f>'Bill No 7 HVAC'!F263</f>
        <v>148558914.22400004</v>
      </c>
      <c r="F9" s="268"/>
      <c r="G9" s="269"/>
      <c r="H9" s="368"/>
      <c r="N9" s="270"/>
    </row>
    <row r="10" spans="2:14" s="265" customFormat="1" ht="30" customHeight="1" x14ac:dyDescent="0.35">
      <c r="B10" s="281">
        <v>4</v>
      </c>
      <c r="C10" s="277" t="s">
        <v>539</v>
      </c>
      <c r="D10" s="283" t="e">
        <f>#REF!</f>
        <v>#REF!</v>
      </c>
      <c r="E10" s="325">
        <f>'Bill No 7 HVAC'!F330</f>
        <v>156916487.10400003</v>
      </c>
      <c r="F10" s="268"/>
      <c r="G10" s="269"/>
      <c r="H10" s="368"/>
      <c r="N10" s="270"/>
    </row>
    <row r="11" spans="2:14" s="265" customFormat="1" ht="30" customHeight="1" x14ac:dyDescent="0.35">
      <c r="B11" s="281">
        <v>6</v>
      </c>
      <c r="C11" s="282" t="s">
        <v>540</v>
      </c>
      <c r="D11" s="283" t="e">
        <f>#REF!</f>
        <v>#REF!</v>
      </c>
      <c r="E11" s="325">
        <f>'Bill No 7 HVAC'!F421</f>
        <v>223792584.01600003</v>
      </c>
      <c r="F11" s="268"/>
      <c r="G11" s="269"/>
      <c r="H11" s="368"/>
      <c r="N11" s="270"/>
    </row>
    <row r="12" spans="2:14" s="265" customFormat="1" ht="30" customHeight="1" x14ac:dyDescent="0.35">
      <c r="B12" s="281">
        <v>7</v>
      </c>
      <c r="C12" s="277" t="s">
        <v>1245</v>
      </c>
      <c r="D12" s="283"/>
      <c r="E12" s="325">
        <f>'Bill No 7 HVAC'!F515</f>
        <v>223792584.01600003</v>
      </c>
      <c r="F12" s="268"/>
      <c r="G12" s="269"/>
      <c r="H12" s="368"/>
      <c r="N12" s="270"/>
    </row>
    <row r="13" spans="2:14" s="265" customFormat="1" ht="30" customHeight="1" x14ac:dyDescent="0.35">
      <c r="B13" s="281">
        <v>8</v>
      </c>
      <c r="C13" s="285" t="s">
        <v>1235</v>
      </c>
      <c r="D13" s="283"/>
      <c r="E13" s="325">
        <f>'Bill No 7 HVAC'!F598</f>
        <v>223792584.01600003</v>
      </c>
      <c r="F13" s="268"/>
      <c r="G13" s="269"/>
      <c r="N13" s="270"/>
    </row>
    <row r="14" spans="2:14" s="265" customFormat="1" ht="30" customHeight="1" x14ac:dyDescent="0.35">
      <c r="B14" s="281"/>
      <c r="C14" s="277"/>
      <c r="D14" s="283"/>
      <c r="E14" s="284"/>
      <c r="F14" s="268"/>
      <c r="G14" s="269"/>
      <c r="N14" s="270"/>
    </row>
    <row r="15" spans="2:14" s="265" customFormat="1" ht="30" customHeight="1" x14ac:dyDescent="0.35">
      <c r="B15" s="281"/>
      <c r="C15" s="277"/>
      <c r="D15" s="283"/>
      <c r="E15" s="284"/>
      <c r="F15" s="268"/>
      <c r="G15" s="269"/>
      <c r="H15" s="268"/>
    </row>
    <row r="16" spans="2:14" s="265" customFormat="1" ht="30" customHeight="1" x14ac:dyDescent="0.35">
      <c r="B16" s="281"/>
      <c r="C16" s="277"/>
      <c r="D16" s="283"/>
      <c r="E16" s="284"/>
      <c r="F16" s="268"/>
      <c r="G16" s="269"/>
    </row>
    <row r="17" spans="2:12" s="265" customFormat="1" ht="30" customHeight="1" x14ac:dyDescent="0.35">
      <c r="B17" s="281"/>
      <c r="C17" s="277"/>
      <c r="D17" s="283"/>
      <c r="E17" s="284"/>
      <c r="F17" s="268"/>
      <c r="G17" s="269"/>
    </row>
    <row r="18" spans="2:12" s="265" customFormat="1" ht="30" customHeight="1" x14ac:dyDescent="0.35">
      <c r="B18" s="281"/>
      <c r="C18" s="277"/>
      <c r="D18" s="283"/>
      <c r="E18" s="286"/>
      <c r="F18" s="268"/>
      <c r="G18" s="271"/>
    </row>
    <row r="19" spans="2:12" s="265" customFormat="1" ht="30" customHeight="1" x14ac:dyDescent="0.35">
      <c r="B19" s="281"/>
      <c r="C19" s="277"/>
      <c r="D19" s="283"/>
      <c r="E19" s="286"/>
      <c r="F19" s="268"/>
      <c r="G19" s="271"/>
      <c r="H19" s="271"/>
    </row>
    <row r="20" spans="2:12" s="265" customFormat="1" ht="30" customHeight="1" x14ac:dyDescent="0.35">
      <c r="B20" s="281"/>
      <c r="C20" s="277"/>
      <c r="D20" s="283"/>
      <c r="E20" s="286"/>
      <c r="F20" s="268"/>
      <c r="G20" s="271"/>
      <c r="H20" s="271"/>
    </row>
    <row r="21" spans="2:12" s="265" customFormat="1" ht="33.75" customHeight="1" x14ac:dyDescent="0.35">
      <c r="B21" s="281"/>
      <c r="C21" s="277"/>
      <c r="D21" s="283"/>
      <c r="E21" s="286"/>
      <c r="F21" s="268"/>
      <c r="G21" s="271"/>
      <c r="H21" s="271"/>
    </row>
    <row r="22" spans="2:12" s="265" customFormat="1" ht="30" customHeight="1" x14ac:dyDescent="0.35">
      <c r="B22" s="281"/>
      <c r="C22" s="277"/>
      <c r="D22" s="283"/>
      <c r="E22" s="286"/>
      <c r="F22" s="268"/>
      <c r="G22" s="271"/>
      <c r="H22" s="271"/>
    </row>
    <row r="23" spans="2:12" s="265" customFormat="1" ht="30" customHeight="1" x14ac:dyDescent="0.35">
      <c r="B23" s="281"/>
      <c r="C23" s="277"/>
      <c r="D23" s="283"/>
      <c r="E23" s="286"/>
      <c r="F23" s="268"/>
      <c r="G23" s="271"/>
    </row>
    <row r="24" spans="2:12" s="265" customFormat="1" ht="30" customHeight="1" thickBot="1" x14ac:dyDescent="0.4">
      <c r="B24" s="276"/>
      <c r="C24" s="326" t="s">
        <v>985</v>
      </c>
      <c r="D24" s="278"/>
      <c r="E24" s="327">
        <f>SUM(E7:E23)</f>
        <v>1264655568.0880003</v>
      </c>
      <c r="F24" s="268"/>
      <c r="G24" s="272"/>
    </row>
    <row r="25" spans="2:12" ht="30" customHeight="1" thickTop="1" x14ac:dyDescent="0.35">
      <c r="C25" s="292" t="s">
        <v>986</v>
      </c>
      <c r="E25" s="275"/>
      <c r="H25" s="268"/>
      <c r="I25" s="265"/>
      <c r="J25" s="265"/>
      <c r="K25" s="265"/>
      <c r="L25" s="265"/>
    </row>
  </sheetData>
  <printOptions horizontalCentered="1"/>
  <pageMargins left="0.19685039370078741" right="0.15748031496062992" top="0.43307086614173229" bottom="0.39370078740157483" header="0.19685039370078741" footer="0.19685039370078741"/>
  <pageSetup paperSize="9" orientation="portrait" r:id="rId1"/>
  <headerFooter>
    <oddHeader>&amp;R&amp;"Arial,Italic"&amp;8&amp;F</oddHeader>
    <oddFooter>&amp;L&amp;"Arial,Italic"&amp;8&amp;A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ADC6-088A-4524-80B1-68004121233F}">
  <sheetPr>
    <pageSetUpPr fitToPage="1"/>
  </sheetPr>
  <dimension ref="A1:F599"/>
  <sheetViews>
    <sheetView tabSelected="1" view="pageBreakPreview" topLeftCell="A574" zoomScaleNormal="100" zoomScaleSheetLayoutView="100" workbookViewId="0">
      <selection activeCell="H569" sqref="H569"/>
    </sheetView>
  </sheetViews>
  <sheetFormatPr defaultRowHeight="12.75" x14ac:dyDescent="0.35"/>
  <cols>
    <col min="1" max="1" width="6.33203125" style="387" customWidth="1"/>
    <col min="2" max="2" width="62.3984375" style="381" customWidth="1"/>
    <col min="3" max="3" width="5.33203125" style="381" customWidth="1"/>
    <col min="4" max="4" width="9.19921875" style="408" customWidth="1"/>
    <col min="5" max="5" width="15.1328125" style="405" customWidth="1"/>
    <col min="6" max="6" width="17.33203125" style="405" customWidth="1"/>
    <col min="7" max="16384" width="9.06640625" style="381"/>
  </cols>
  <sheetData>
    <row r="1" spans="1:6" ht="14.25" customHeight="1" x14ac:dyDescent="0.35">
      <c r="B1" s="388" t="s">
        <v>1180</v>
      </c>
      <c r="C1" s="388"/>
      <c r="D1" s="389"/>
      <c r="E1" s="390"/>
      <c r="F1" s="390"/>
    </row>
    <row r="2" spans="1:6" ht="20.65" customHeight="1" x14ac:dyDescent="0.35">
      <c r="A2" s="378" t="s">
        <v>1100</v>
      </c>
      <c r="B2" s="379" t="s">
        <v>1101</v>
      </c>
      <c r="C2" s="378" t="s">
        <v>1102</v>
      </c>
      <c r="D2" s="391" t="s">
        <v>1103</v>
      </c>
      <c r="E2" s="391" t="s">
        <v>1181</v>
      </c>
      <c r="F2" s="391" t="s">
        <v>1182</v>
      </c>
    </row>
    <row r="3" spans="1:6" ht="16.25" customHeight="1" x14ac:dyDescent="0.35">
      <c r="A3" s="392"/>
      <c r="B3" s="382" t="s">
        <v>1183</v>
      </c>
      <c r="C3" s="393"/>
      <c r="D3" s="394"/>
      <c r="E3" s="395"/>
      <c r="F3" s="409"/>
    </row>
    <row r="4" spans="1:6" ht="16.25" customHeight="1" x14ac:dyDescent="0.35">
      <c r="A4" s="386"/>
      <c r="B4" s="383" t="s">
        <v>1184</v>
      </c>
      <c r="C4" s="396"/>
      <c r="D4" s="397"/>
      <c r="E4" s="398"/>
      <c r="F4" s="410"/>
    </row>
    <row r="5" spans="1:6" ht="16.25" customHeight="1" x14ac:dyDescent="0.35">
      <c r="A5" s="386"/>
      <c r="B5" s="383" t="s">
        <v>1104</v>
      </c>
      <c r="C5" s="396"/>
      <c r="D5" s="397"/>
      <c r="E5" s="398"/>
      <c r="F5" s="410"/>
    </row>
    <row r="6" spans="1:6" ht="16.25" customHeight="1" x14ac:dyDescent="0.35">
      <c r="A6" s="386"/>
      <c r="B6" s="383" t="s">
        <v>1185</v>
      </c>
      <c r="C6" s="396"/>
      <c r="D6" s="397"/>
      <c r="E6" s="398"/>
      <c r="F6" s="410"/>
    </row>
    <row r="7" spans="1:6" ht="28.9" customHeight="1" x14ac:dyDescent="0.35">
      <c r="A7" s="386"/>
      <c r="B7" s="383" t="s">
        <v>1186</v>
      </c>
      <c r="C7" s="396"/>
      <c r="D7" s="397"/>
      <c r="E7" s="398"/>
      <c r="F7" s="410"/>
    </row>
    <row r="8" spans="1:6" ht="28.9" customHeight="1" x14ac:dyDescent="0.35">
      <c r="A8" s="386"/>
      <c r="B8" s="383" t="s">
        <v>1187</v>
      </c>
      <c r="C8" s="396"/>
      <c r="D8" s="397"/>
      <c r="E8" s="398"/>
      <c r="F8" s="410"/>
    </row>
    <row r="9" spans="1:6" ht="28.9" customHeight="1" x14ac:dyDescent="0.35">
      <c r="A9" s="386"/>
      <c r="B9" s="383" t="s">
        <v>1188</v>
      </c>
      <c r="C9" s="396"/>
      <c r="D9" s="397"/>
      <c r="E9" s="398"/>
      <c r="F9" s="410"/>
    </row>
    <row r="10" spans="1:6" ht="14.65" customHeight="1" x14ac:dyDescent="0.35">
      <c r="A10" s="386"/>
      <c r="B10" s="383" t="s">
        <v>1185</v>
      </c>
      <c r="C10" s="396"/>
      <c r="D10" s="397"/>
      <c r="E10" s="399"/>
      <c r="F10" s="410"/>
    </row>
    <row r="11" spans="1:6" ht="28.9" customHeight="1" x14ac:dyDescent="0.35">
      <c r="A11" s="384" t="s">
        <v>31</v>
      </c>
      <c r="B11" s="385" t="s">
        <v>1189</v>
      </c>
      <c r="C11" s="384" t="s">
        <v>1107</v>
      </c>
      <c r="D11" s="400">
        <v>6</v>
      </c>
      <c r="E11" s="401">
        <v>4100908.4720000001</v>
      </c>
      <c r="F11" s="410">
        <f>D11*E11</f>
        <v>24605450.832000002</v>
      </c>
    </row>
    <row r="12" spans="1:6" ht="28.9" customHeight="1" x14ac:dyDescent="0.35">
      <c r="A12" s="384" t="s">
        <v>32</v>
      </c>
      <c r="B12" s="385" t="s">
        <v>1108</v>
      </c>
      <c r="C12" s="384" t="s">
        <v>1107</v>
      </c>
      <c r="D12" s="400">
        <v>6</v>
      </c>
      <c r="E12" s="401">
        <v>360677.96800000005</v>
      </c>
      <c r="F12" s="410">
        <f>D12*E12</f>
        <v>2164067.8080000002</v>
      </c>
    </row>
    <row r="13" spans="1:6" ht="28.9" customHeight="1" x14ac:dyDescent="0.35">
      <c r="A13" s="386"/>
      <c r="B13" s="383" t="s">
        <v>1111</v>
      </c>
      <c r="C13" s="396"/>
      <c r="D13" s="397"/>
      <c r="E13" s="398"/>
      <c r="F13" s="410"/>
    </row>
    <row r="14" spans="1:6" ht="28.9" customHeight="1" x14ac:dyDescent="0.35">
      <c r="A14" s="386"/>
      <c r="B14" s="383" t="s">
        <v>1190</v>
      </c>
      <c r="C14" s="396"/>
      <c r="D14" s="397"/>
      <c r="E14" s="398"/>
      <c r="F14" s="410"/>
    </row>
    <row r="15" spans="1:6" ht="28.9" customHeight="1" x14ac:dyDescent="0.35">
      <c r="A15" s="386"/>
      <c r="B15" s="383" t="s">
        <v>1191</v>
      </c>
      <c r="C15" s="396"/>
      <c r="D15" s="397"/>
      <c r="E15" s="398"/>
      <c r="F15" s="410"/>
    </row>
    <row r="16" spans="1:6" ht="28.9" customHeight="1" x14ac:dyDescent="0.35">
      <c r="A16" s="386"/>
      <c r="B16" s="383" t="s">
        <v>1192</v>
      </c>
      <c r="C16" s="396"/>
      <c r="D16" s="397"/>
      <c r="E16" s="398"/>
      <c r="F16" s="410"/>
    </row>
    <row r="17" spans="1:6" ht="17.25" customHeight="1" x14ac:dyDescent="0.35">
      <c r="A17" s="386"/>
      <c r="B17" s="383" t="s">
        <v>1193</v>
      </c>
      <c r="C17" s="396"/>
      <c r="D17" s="397"/>
      <c r="E17" s="398"/>
      <c r="F17" s="410"/>
    </row>
    <row r="18" spans="1:6" ht="19.5" customHeight="1" x14ac:dyDescent="0.35">
      <c r="A18" s="386"/>
      <c r="B18" s="383" t="s">
        <v>1112</v>
      </c>
      <c r="C18" s="396"/>
      <c r="D18" s="397"/>
      <c r="E18" s="398"/>
      <c r="F18" s="410"/>
    </row>
    <row r="19" spans="1:6" ht="28.9" customHeight="1" x14ac:dyDescent="0.35">
      <c r="A19" s="384" t="s">
        <v>31</v>
      </c>
      <c r="B19" s="385" t="s">
        <v>1156</v>
      </c>
      <c r="C19" s="384" t="s">
        <v>1107</v>
      </c>
      <c r="D19" s="400">
        <v>1</v>
      </c>
      <c r="E19" s="401">
        <v>23584216.952000003</v>
      </c>
      <c r="F19" s="410">
        <f t="shared" ref="F19:F20" si="0">D19*E19</f>
        <v>23584216.952000003</v>
      </c>
    </row>
    <row r="20" spans="1:6" ht="28.9" customHeight="1" x14ac:dyDescent="0.35">
      <c r="A20" s="384" t="s">
        <v>32</v>
      </c>
      <c r="B20" s="385" t="s">
        <v>1194</v>
      </c>
      <c r="C20" s="384" t="s">
        <v>1107</v>
      </c>
      <c r="D20" s="400">
        <v>1</v>
      </c>
      <c r="E20" s="401">
        <v>27998915.256000001</v>
      </c>
      <c r="F20" s="410">
        <f t="shared" si="0"/>
        <v>27998915.256000001</v>
      </c>
    </row>
    <row r="21" spans="1:6" ht="11.65" customHeight="1" x14ac:dyDescent="0.35">
      <c r="A21" s="386"/>
      <c r="B21" s="383" t="s">
        <v>1113</v>
      </c>
      <c r="C21" s="396"/>
      <c r="D21" s="397"/>
      <c r="E21" s="399"/>
      <c r="F21" s="410"/>
    </row>
    <row r="22" spans="1:6" ht="28.9" customHeight="1" x14ac:dyDescent="0.35">
      <c r="A22" s="386"/>
      <c r="B22" s="383" t="s">
        <v>1114</v>
      </c>
      <c r="C22" s="396"/>
      <c r="D22" s="397"/>
      <c r="E22" s="399"/>
      <c r="F22" s="410"/>
    </row>
    <row r="23" spans="1:6" ht="17.75" customHeight="1" x14ac:dyDescent="0.35">
      <c r="A23" s="384" t="s">
        <v>1195</v>
      </c>
      <c r="B23" s="385" t="s">
        <v>1116</v>
      </c>
      <c r="C23" s="384" t="s">
        <v>1107</v>
      </c>
      <c r="D23" s="400">
        <v>2</v>
      </c>
      <c r="E23" s="401">
        <v>346250.848</v>
      </c>
      <c r="F23" s="410">
        <f t="shared" ref="F23:F26" si="1">D23*E23</f>
        <v>692501.696</v>
      </c>
    </row>
    <row r="24" spans="1:6" ht="17.75" customHeight="1" x14ac:dyDescent="0.35">
      <c r="A24" s="384" t="s">
        <v>1196</v>
      </c>
      <c r="B24" s="385" t="s">
        <v>1141</v>
      </c>
      <c r="C24" s="384" t="s">
        <v>1107</v>
      </c>
      <c r="D24" s="400">
        <v>2</v>
      </c>
      <c r="E24" s="401">
        <v>555444.06400000001</v>
      </c>
      <c r="F24" s="410">
        <f t="shared" si="1"/>
        <v>1110888.128</v>
      </c>
    </row>
    <row r="25" spans="1:6" ht="17.75" customHeight="1" x14ac:dyDescent="0.35">
      <c r="A25" s="384" t="s">
        <v>1140</v>
      </c>
      <c r="B25" s="385" t="s">
        <v>1145</v>
      </c>
      <c r="C25" s="384" t="s">
        <v>1107</v>
      </c>
      <c r="D25" s="400">
        <v>1</v>
      </c>
      <c r="E25" s="401">
        <v>692501.696</v>
      </c>
      <c r="F25" s="410">
        <f t="shared" si="1"/>
        <v>692501.696</v>
      </c>
    </row>
    <row r="26" spans="1:6" ht="17.75" customHeight="1" x14ac:dyDescent="0.35">
      <c r="A26" s="384" t="s">
        <v>1142</v>
      </c>
      <c r="B26" s="385" t="s">
        <v>1143</v>
      </c>
      <c r="C26" s="384" t="s">
        <v>1107</v>
      </c>
      <c r="D26" s="400">
        <v>1</v>
      </c>
      <c r="E26" s="401">
        <v>483308.47200000001</v>
      </c>
      <c r="F26" s="410">
        <f t="shared" si="1"/>
        <v>483308.47200000001</v>
      </c>
    </row>
    <row r="27" spans="1:6" ht="28.9" customHeight="1" x14ac:dyDescent="0.35">
      <c r="A27" s="386"/>
      <c r="B27" s="383" t="s">
        <v>1117</v>
      </c>
      <c r="C27" s="396"/>
      <c r="D27" s="397"/>
      <c r="E27" s="398"/>
      <c r="F27" s="410"/>
    </row>
    <row r="28" spans="1:6" ht="17.350000000000001" customHeight="1" x14ac:dyDescent="0.35">
      <c r="A28" s="384" t="s">
        <v>1195</v>
      </c>
      <c r="B28" s="385" t="s">
        <v>1118</v>
      </c>
      <c r="C28" s="384" t="s">
        <v>112</v>
      </c>
      <c r="D28" s="400">
        <v>80</v>
      </c>
      <c r="E28" s="401">
        <v>36480</v>
      </c>
      <c r="F28" s="410">
        <f t="shared" ref="F28:F34" si="2">D28*E28</f>
        <v>2918400</v>
      </c>
    </row>
    <row r="29" spans="1:6" ht="17.350000000000001" customHeight="1" x14ac:dyDescent="0.35">
      <c r="A29" s="384" t="s">
        <v>33</v>
      </c>
      <c r="B29" s="385" t="s">
        <v>1147</v>
      </c>
      <c r="C29" s="384" t="s">
        <v>112</v>
      </c>
      <c r="D29" s="400">
        <v>5</v>
      </c>
      <c r="E29" s="401">
        <v>42560</v>
      </c>
      <c r="F29" s="410">
        <f t="shared" si="2"/>
        <v>212800</v>
      </c>
    </row>
    <row r="30" spans="1:6" ht="17.350000000000001" customHeight="1" x14ac:dyDescent="0.35">
      <c r="A30" s="384" t="s">
        <v>1196</v>
      </c>
      <c r="B30" s="385" t="s">
        <v>1119</v>
      </c>
      <c r="C30" s="384" t="s">
        <v>112</v>
      </c>
      <c r="D30" s="400">
        <v>85</v>
      </c>
      <c r="E30" s="401">
        <v>54720</v>
      </c>
      <c r="F30" s="410">
        <f t="shared" si="2"/>
        <v>4651200</v>
      </c>
    </row>
    <row r="31" spans="1:6" ht="17.350000000000001" customHeight="1" x14ac:dyDescent="0.35">
      <c r="A31" s="384" t="s">
        <v>1140</v>
      </c>
      <c r="B31" s="385" t="s">
        <v>1120</v>
      </c>
      <c r="C31" s="384" t="s">
        <v>112</v>
      </c>
      <c r="D31" s="400">
        <v>25</v>
      </c>
      <c r="E31" s="401">
        <v>76000</v>
      </c>
      <c r="F31" s="410">
        <f t="shared" si="2"/>
        <v>1900000</v>
      </c>
    </row>
    <row r="32" spans="1:6" ht="17.350000000000001" customHeight="1" x14ac:dyDescent="0.35">
      <c r="A32" s="384" t="s">
        <v>1142</v>
      </c>
      <c r="B32" s="385" t="s">
        <v>1121</v>
      </c>
      <c r="C32" s="384" t="s">
        <v>112</v>
      </c>
      <c r="D32" s="400">
        <v>20</v>
      </c>
      <c r="E32" s="401">
        <v>88160</v>
      </c>
      <c r="F32" s="410">
        <f t="shared" si="2"/>
        <v>1763200</v>
      </c>
    </row>
    <row r="33" spans="1:6" ht="17.350000000000001" customHeight="1" x14ac:dyDescent="0.35">
      <c r="A33" s="384" t="s">
        <v>39</v>
      </c>
      <c r="B33" s="385" t="s">
        <v>1149</v>
      </c>
      <c r="C33" s="384" t="s">
        <v>112</v>
      </c>
      <c r="D33" s="400">
        <v>10</v>
      </c>
      <c r="E33" s="401">
        <v>115520</v>
      </c>
      <c r="F33" s="410">
        <f t="shared" si="2"/>
        <v>1155200</v>
      </c>
    </row>
    <row r="34" spans="1:6" ht="17.350000000000001" customHeight="1" x14ac:dyDescent="0.35">
      <c r="A34" s="384" t="s">
        <v>15</v>
      </c>
      <c r="B34" s="385" t="s">
        <v>1151</v>
      </c>
      <c r="C34" s="384" t="s">
        <v>112</v>
      </c>
      <c r="D34" s="400">
        <v>30</v>
      </c>
      <c r="E34" s="401">
        <v>173888</v>
      </c>
      <c r="F34" s="410">
        <f t="shared" si="2"/>
        <v>5216640</v>
      </c>
    </row>
    <row r="35" spans="1:6" ht="17.350000000000001" customHeight="1" x14ac:dyDescent="0.35">
      <c r="A35" s="386"/>
      <c r="B35" s="383" t="s">
        <v>1122</v>
      </c>
      <c r="C35" s="396"/>
      <c r="D35" s="397"/>
      <c r="E35" s="398"/>
      <c r="F35" s="410"/>
    </row>
    <row r="36" spans="1:6" ht="17.350000000000001" customHeight="1" x14ac:dyDescent="0.35">
      <c r="A36" s="384" t="s">
        <v>1197</v>
      </c>
      <c r="B36" s="385" t="s">
        <v>1123</v>
      </c>
      <c r="C36" s="384" t="s">
        <v>1124</v>
      </c>
      <c r="D36" s="400">
        <v>20</v>
      </c>
      <c r="E36" s="401">
        <v>115520</v>
      </c>
      <c r="F36" s="410">
        <f t="shared" ref="F36:F37" si="3">D36*E36</f>
        <v>2310400</v>
      </c>
    </row>
    <row r="37" spans="1:6" ht="28.9" customHeight="1" x14ac:dyDescent="0.35">
      <c r="A37" s="384" t="s">
        <v>1198</v>
      </c>
      <c r="B37" s="385" t="s">
        <v>1199</v>
      </c>
      <c r="C37" s="384" t="s">
        <v>112</v>
      </c>
      <c r="D37" s="400">
        <v>10</v>
      </c>
      <c r="E37" s="401">
        <v>91200</v>
      </c>
      <c r="F37" s="410">
        <f t="shared" si="3"/>
        <v>912000</v>
      </c>
    </row>
    <row r="38" spans="1:6" ht="15.4" customHeight="1" x14ac:dyDescent="0.35">
      <c r="A38" s="386"/>
      <c r="B38" s="385" t="s">
        <v>1200</v>
      </c>
      <c r="C38" s="396"/>
      <c r="D38" s="397"/>
      <c r="E38" s="398"/>
      <c r="F38" s="410"/>
    </row>
    <row r="39" spans="1:6" ht="28.9" customHeight="1" x14ac:dyDescent="0.35">
      <c r="A39" s="384" t="s">
        <v>1201</v>
      </c>
      <c r="B39" s="385" t="s">
        <v>1202</v>
      </c>
      <c r="C39" s="384" t="s">
        <v>112</v>
      </c>
      <c r="D39" s="400">
        <v>255</v>
      </c>
      <c r="E39" s="401">
        <v>6779.6640000000007</v>
      </c>
      <c r="F39" s="410">
        <f>D39*E39</f>
        <v>1728814.32</v>
      </c>
    </row>
    <row r="40" spans="1:6" ht="12.4" customHeight="1" x14ac:dyDescent="0.35">
      <c r="A40" s="386"/>
      <c r="B40" s="385" t="s">
        <v>1203</v>
      </c>
      <c r="C40" s="396"/>
      <c r="D40" s="397"/>
      <c r="E40" s="398"/>
      <c r="F40" s="410"/>
    </row>
    <row r="41" spans="1:6" ht="13.9" customHeight="1" x14ac:dyDescent="0.35">
      <c r="A41" s="386"/>
      <c r="B41" s="383" t="s">
        <v>1127</v>
      </c>
      <c r="C41" s="396"/>
      <c r="D41" s="397"/>
      <c r="E41" s="398"/>
      <c r="F41" s="410"/>
    </row>
    <row r="42" spans="1:6" ht="13.9" customHeight="1" x14ac:dyDescent="0.35">
      <c r="A42" s="384" t="s">
        <v>33</v>
      </c>
      <c r="B42" s="385" t="s">
        <v>1128</v>
      </c>
      <c r="C42" s="384" t="s">
        <v>112</v>
      </c>
      <c r="D42" s="400">
        <v>60</v>
      </c>
      <c r="E42" s="401">
        <v>6080</v>
      </c>
      <c r="F42" s="410">
        <f t="shared" ref="F42:F44" si="4">D42*E42</f>
        <v>364800</v>
      </c>
    </row>
    <row r="43" spans="1:6" ht="13.9" customHeight="1" x14ac:dyDescent="0.35">
      <c r="A43" s="384" t="s">
        <v>34</v>
      </c>
      <c r="B43" s="385" t="s">
        <v>1129</v>
      </c>
      <c r="C43" s="384" t="s">
        <v>112</v>
      </c>
      <c r="D43" s="400">
        <v>50</v>
      </c>
      <c r="E43" s="401">
        <v>9120</v>
      </c>
      <c r="F43" s="410">
        <f t="shared" si="4"/>
        <v>456000</v>
      </c>
    </row>
    <row r="44" spans="1:6" ht="13.9" customHeight="1" x14ac:dyDescent="0.35">
      <c r="A44" s="384" t="s">
        <v>34</v>
      </c>
      <c r="B44" s="385" t="s">
        <v>1130</v>
      </c>
      <c r="C44" s="384" t="s">
        <v>112</v>
      </c>
      <c r="D44" s="400">
        <v>10</v>
      </c>
      <c r="E44" s="401">
        <v>12160</v>
      </c>
      <c r="F44" s="410">
        <f t="shared" si="4"/>
        <v>121600</v>
      </c>
    </row>
    <row r="45" spans="1:6" ht="13.9" customHeight="1" x14ac:dyDescent="0.35">
      <c r="A45" s="384"/>
      <c r="B45" s="385"/>
      <c r="C45" s="384"/>
      <c r="D45" s="400"/>
      <c r="E45" s="401"/>
      <c r="F45" s="410"/>
    </row>
    <row r="46" spans="1:6" ht="13.9" customHeight="1" x14ac:dyDescent="0.35">
      <c r="A46" s="384"/>
      <c r="B46" s="385"/>
      <c r="C46" s="384"/>
      <c r="D46" s="400"/>
      <c r="E46" s="401"/>
      <c r="F46" s="410"/>
    </row>
    <row r="47" spans="1:6" ht="13.9" customHeight="1" x14ac:dyDescent="0.35">
      <c r="A47" s="378"/>
      <c r="B47" s="379"/>
      <c r="C47" s="378"/>
      <c r="D47" s="391"/>
      <c r="E47" s="391"/>
      <c r="F47" s="411"/>
    </row>
    <row r="48" spans="1:6" ht="13.9" customHeight="1" x14ac:dyDescent="0.35">
      <c r="A48" s="384"/>
      <c r="B48" s="385"/>
      <c r="C48" s="384"/>
      <c r="D48" s="400"/>
      <c r="E48" s="401"/>
      <c r="F48" s="410"/>
    </row>
    <row r="49" spans="1:6" ht="13.9" customHeight="1" x14ac:dyDescent="0.35">
      <c r="A49" s="384"/>
      <c r="B49" s="385"/>
      <c r="C49" s="384"/>
      <c r="D49" s="400"/>
      <c r="E49" s="401"/>
      <c r="F49" s="410"/>
    </row>
    <row r="50" spans="1:6" ht="13.9" customHeight="1" x14ac:dyDescent="0.35">
      <c r="A50" s="386"/>
      <c r="B50" s="383" t="s">
        <v>1204</v>
      </c>
      <c r="C50" s="396"/>
      <c r="D50" s="397"/>
      <c r="E50" s="398"/>
      <c r="F50" s="410"/>
    </row>
    <row r="51" spans="1:6" ht="13.9" customHeight="1" x14ac:dyDescent="0.35">
      <c r="A51" s="386"/>
      <c r="B51" s="383" t="s">
        <v>1205</v>
      </c>
      <c r="C51" s="396"/>
      <c r="D51" s="397"/>
      <c r="E51" s="398"/>
      <c r="F51" s="410"/>
    </row>
    <row r="52" spans="1:6" ht="28.9" customHeight="1" x14ac:dyDescent="0.35">
      <c r="A52" s="386"/>
      <c r="B52" s="383" t="s">
        <v>1206</v>
      </c>
      <c r="C52" s="396"/>
      <c r="D52" s="397"/>
      <c r="E52" s="398"/>
      <c r="F52" s="410"/>
    </row>
    <row r="53" spans="1:6" ht="28.9" customHeight="1" x14ac:dyDescent="0.35">
      <c r="A53" s="386"/>
      <c r="B53" s="383" t="s">
        <v>1207</v>
      </c>
      <c r="C53" s="396"/>
      <c r="D53" s="397"/>
      <c r="E53" s="398"/>
      <c r="F53" s="410"/>
    </row>
    <row r="54" spans="1:6" ht="28.9" customHeight="1" x14ac:dyDescent="0.35">
      <c r="A54" s="386"/>
      <c r="B54" s="383" t="s">
        <v>1208</v>
      </c>
      <c r="C54" s="396"/>
      <c r="D54" s="397"/>
      <c r="E54" s="398"/>
      <c r="F54" s="410"/>
    </row>
    <row r="55" spans="1:6" ht="28.9" customHeight="1" x14ac:dyDescent="0.35">
      <c r="A55" s="386"/>
      <c r="B55" s="383" t="s">
        <v>1209</v>
      </c>
      <c r="C55" s="396"/>
      <c r="D55" s="397"/>
      <c r="E55" s="398"/>
      <c r="F55" s="410"/>
    </row>
    <row r="56" spans="1:6" ht="28.9" customHeight="1" x14ac:dyDescent="0.35">
      <c r="A56" s="386"/>
      <c r="B56" s="383" t="s">
        <v>1210</v>
      </c>
      <c r="C56" s="396"/>
      <c r="D56" s="397"/>
      <c r="E56" s="398"/>
      <c r="F56" s="410"/>
    </row>
    <row r="57" spans="1:6" ht="28.9" customHeight="1" x14ac:dyDescent="0.35">
      <c r="A57" s="386"/>
      <c r="B57" s="385" t="s">
        <v>1211</v>
      </c>
      <c r="C57" s="384" t="s">
        <v>112</v>
      </c>
      <c r="D57" s="400">
        <v>30</v>
      </c>
      <c r="E57" s="401">
        <v>162305.08799999999</v>
      </c>
      <c r="F57" s="410">
        <f t="shared" ref="F57:F60" si="5">D57*E57</f>
        <v>4869152.6399999997</v>
      </c>
    </row>
    <row r="58" spans="1:6" ht="28.9" customHeight="1" x14ac:dyDescent="0.35">
      <c r="A58" s="386"/>
      <c r="B58" s="385" t="s">
        <v>1212</v>
      </c>
      <c r="C58" s="384" t="s">
        <v>112</v>
      </c>
      <c r="D58" s="400">
        <v>30</v>
      </c>
      <c r="E58" s="401">
        <v>115932.20000000001</v>
      </c>
      <c r="F58" s="410">
        <f t="shared" si="5"/>
        <v>3477966.0000000005</v>
      </c>
    </row>
    <row r="59" spans="1:6" ht="28.9" customHeight="1" x14ac:dyDescent="0.35">
      <c r="A59" s="386"/>
      <c r="B59" s="385" t="s">
        <v>1213</v>
      </c>
      <c r="C59" s="384" t="s">
        <v>112</v>
      </c>
      <c r="D59" s="400">
        <v>80</v>
      </c>
      <c r="E59" s="401">
        <v>91200</v>
      </c>
      <c r="F59" s="410">
        <f t="shared" si="5"/>
        <v>7296000</v>
      </c>
    </row>
    <row r="60" spans="1:6" ht="28.9" customHeight="1" x14ac:dyDescent="0.35">
      <c r="A60" s="386"/>
      <c r="B60" s="385" t="s">
        <v>1214</v>
      </c>
      <c r="C60" s="384" t="s">
        <v>1174</v>
      </c>
      <c r="D60" s="400">
        <v>24</v>
      </c>
      <c r="E60" s="401">
        <v>498508.47200000001</v>
      </c>
      <c r="F60" s="410">
        <f t="shared" si="5"/>
        <v>11964203.328</v>
      </c>
    </row>
    <row r="61" spans="1:6" ht="28.9" customHeight="1" x14ac:dyDescent="0.35">
      <c r="A61" s="386"/>
      <c r="B61" s="383" t="s">
        <v>1215</v>
      </c>
      <c r="C61" s="396"/>
      <c r="D61" s="397"/>
      <c r="E61" s="398"/>
      <c r="F61" s="410"/>
    </row>
    <row r="62" spans="1:6" ht="17.25" customHeight="1" x14ac:dyDescent="0.35">
      <c r="A62" s="386"/>
      <c r="B62" s="383" t="s">
        <v>1216</v>
      </c>
      <c r="C62" s="396"/>
      <c r="D62" s="397"/>
      <c r="E62" s="398"/>
      <c r="F62" s="410"/>
    </row>
    <row r="63" spans="1:6" ht="15.85" customHeight="1" x14ac:dyDescent="0.35">
      <c r="A63" s="384" t="s">
        <v>40</v>
      </c>
      <c r="B63" s="385" t="s">
        <v>1217</v>
      </c>
      <c r="C63" s="384" t="s">
        <v>1174</v>
      </c>
      <c r="D63" s="400">
        <v>24</v>
      </c>
      <c r="E63" s="401">
        <v>760000</v>
      </c>
      <c r="F63" s="410">
        <f>D63*E63</f>
        <v>18240000</v>
      </c>
    </row>
    <row r="64" spans="1:6" ht="15.85" customHeight="1" x14ac:dyDescent="0.35">
      <c r="A64" s="386"/>
      <c r="B64" s="383" t="s">
        <v>1218</v>
      </c>
      <c r="C64" s="396"/>
      <c r="D64" s="397"/>
      <c r="E64" s="399"/>
      <c r="F64" s="410"/>
    </row>
    <row r="65" spans="1:6" ht="15.85" customHeight="1" x14ac:dyDescent="0.35">
      <c r="A65" s="386"/>
      <c r="B65" s="385" t="s">
        <v>1219</v>
      </c>
      <c r="C65" s="384" t="s">
        <v>1174</v>
      </c>
      <c r="D65" s="400">
        <v>6</v>
      </c>
      <c r="E65" s="401">
        <v>547200</v>
      </c>
      <c r="F65" s="410">
        <f>D65*E65</f>
        <v>3283200</v>
      </c>
    </row>
    <row r="66" spans="1:6" ht="15.85" customHeight="1" x14ac:dyDescent="0.35">
      <c r="A66" s="386"/>
      <c r="B66" s="385"/>
      <c r="C66" s="384"/>
      <c r="D66" s="400"/>
      <c r="E66" s="401"/>
      <c r="F66" s="410"/>
    </row>
    <row r="67" spans="1:6" ht="15.85" customHeight="1" x14ac:dyDescent="0.35">
      <c r="A67" s="386"/>
      <c r="B67" s="385"/>
      <c r="C67" s="384"/>
      <c r="D67" s="400"/>
      <c r="E67" s="401"/>
      <c r="F67" s="410"/>
    </row>
    <row r="68" spans="1:6" ht="15.85" customHeight="1" x14ac:dyDescent="0.35">
      <c r="A68" s="386"/>
      <c r="B68" s="385"/>
      <c r="C68" s="384"/>
      <c r="D68" s="400"/>
      <c r="E68" s="401"/>
      <c r="F68" s="410"/>
    </row>
    <row r="69" spans="1:6" ht="15.85" customHeight="1" x14ac:dyDescent="0.35">
      <c r="A69" s="386"/>
      <c r="B69" s="385"/>
      <c r="C69" s="384"/>
      <c r="D69" s="400"/>
      <c r="E69" s="401"/>
      <c r="F69" s="410"/>
    </row>
    <row r="70" spans="1:6" ht="15.85" customHeight="1" x14ac:dyDescent="0.35">
      <c r="A70" s="386"/>
      <c r="B70" s="385"/>
      <c r="C70" s="384"/>
      <c r="D70" s="400"/>
      <c r="E70" s="401"/>
      <c r="F70" s="410"/>
    </row>
    <row r="71" spans="1:6" ht="15.85" customHeight="1" x14ac:dyDescent="0.35">
      <c r="A71" s="386"/>
      <c r="B71" s="385"/>
      <c r="C71" s="384"/>
      <c r="D71" s="400"/>
      <c r="E71" s="401"/>
      <c r="F71" s="410"/>
    </row>
    <row r="72" spans="1:6" ht="15.85" customHeight="1" x14ac:dyDescent="0.35">
      <c r="A72" s="386"/>
      <c r="B72" s="385"/>
      <c r="C72" s="384"/>
      <c r="D72" s="400"/>
      <c r="E72" s="401"/>
      <c r="F72" s="410"/>
    </row>
    <row r="73" spans="1:6" ht="15.85" customHeight="1" x14ac:dyDescent="0.35">
      <c r="A73" s="386"/>
      <c r="B73" s="385"/>
      <c r="C73" s="384"/>
      <c r="D73" s="400"/>
      <c r="E73" s="401"/>
      <c r="F73" s="410"/>
    </row>
    <row r="74" spans="1:6" ht="15.85" customHeight="1" x14ac:dyDescent="0.35">
      <c r="A74" s="386"/>
      <c r="B74" s="385"/>
      <c r="C74" s="384"/>
      <c r="D74" s="400"/>
      <c r="E74" s="401"/>
      <c r="F74" s="410"/>
    </row>
    <row r="75" spans="1:6" ht="15.85" customHeight="1" x14ac:dyDescent="0.35">
      <c r="A75" s="386"/>
      <c r="B75" s="385"/>
      <c r="C75" s="384"/>
      <c r="D75" s="400"/>
      <c r="E75" s="401"/>
      <c r="F75" s="410"/>
    </row>
    <row r="76" spans="1:6" ht="15.85" customHeight="1" x14ac:dyDescent="0.35">
      <c r="A76" s="386"/>
      <c r="B76" s="385"/>
      <c r="C76" s="384"/>
      <c r="D76" s="400"/>
      <c r="E76" s="401"/>
      <c r="F76" s="410"/>
    </row>
    <row r="77" spans="1:6" ht="15.85" customHeight="1" x14ac:dyDescent="0.35">
      <c r="A77" s="386"/>
      <c r="B77" s="385"/>
      <c r="C77" s="384"/>
      <c r="D77" s="400"/>
      <c r="E77" s="401"/>
      <c r="F77" s="410"/>
    </row>
    <row r="78" spans="1:6" ht="15.85" customHeight="1" x14ac:dyDescent="0.35">
      <c r="A78" s="386"/>
      <c r="B78" s="385"/>
      <c r="C78" s="384"/>
      <c r="D78" s="400"/>
      <c r="E78" s="401"/>
      <c r="F78" s="410"/>
    </row>
    <row r="79" spans="1:6" ht="15.85" customHeight="1" x14ac:dyDescent="0.35">
      <c r="A79" s="386"/>
      <c r="B79" s="385"/>
      <c r="C79" s="384"/>
      <c r="D79" s="400"/>
      <c r="E79" s="401"/>
      <c r="F79" s="410"/>
    </row>
    <row r="80" spans="1:6" ht="15.85" customHeight="1" x14ac:dyDescent="0.35">
      <c r="A80" s="386"/>
      <c r="B80" s="385"/>
      <c r="C80" s="384"/>
      <c r="D80" s="400"/>
      <c r="E80" s="401"/>
      <c r="F80" s="410"/>
    </row>
    <row r="81" spans="1:6" ht="15.85" customHeight="1" x14ac:dyDescent="0.35">
      <c r="A81" s="386"/>
      <c r="B81" s="385"/>
      <c r="C81" s="384"/>
      <c r="D81" s="400"/>
      <c r="E81" s="401"/>
      <c r="F81" s="410"/>
    </row>
    <row r="82" spans="1:6" ht="15.85" customHeight="1" x14ac:dyDescent="0.35">
      <c r="A82" s="386"/>
      <c r="B82" s="385"/>
      <c r="C82" s="384"/>
      <c r="D82" s="400"/>
      <c r="E82" s="401"/>
      <c r="F82" s="410"/>
    </row>
    <row r="83" spans="1:6" ht="15.85" customHeight="1" x14ac:dyDescent="0.35">
      <c r="A83" s="386"/>
      <c r="B83" s="385"/>
      <c r="C83" s="384"/>
      <c r="D83" s="400"/>
      <c r="E83" s="401"/>
      <c r="F83" s="410"/>
    </row>
    <row r="84" spans="1:6" ht="15.85" customHeight="1" x14ac:dyDescent="0.35">
      <c r="A84" s="386"/>
      <c r="B84" s="385"/>
      <c r="C84" s="384"/>
      <c r="D84" s="400"/>
      <c r="E84" s="401"/>
      <c r="F84" s="410"/>
    </row>
    <row r="85" spans="1:6" ht="15.85" customHeight="1" x14ac:dyDescent="0.35">
      <c r="A85" s="386"/>
      <c r="B85" s="385"/>
      <c r="C85" s="384"/>
      <c r="D85" s="400"/>
      <c r="E85" s="401"/>
      <c r="F85" s="410"/>
    </row>
    <row r="86" spans="1:6" ht="15.85" customHeight="1" x14ac:dyDescent="0.35">
      <c r="A86" s="386"/>
      <c r="B86" s="385"/>
      <c r="C86" s="384"/>
      <c r="D86" s="400"/>
      <c r="E86" s="401"/>
      <c r="F86" s="410"/>
    </row>
    <row r="87" spans="1:6" ht="15.85" customHeight="1" x14ac:dyDescent="0.35">
      <c r="A87" s="386"/>
      <c r="B87" s="385"/>
      <c r="C87" s="384"/>
      <c r="D87" s="400"/>
      <c r="E87" s="401"/>
      <c r="F87" s="410"/>
    </row>
    <row r="88" spans="1:6" ht="15.85" customHeight="1" x14ac:dyDescent="0.35">
      <c r="A88" s="386"/>
      <c r="B88" s="385"/>
      <c r="C88" s="384"/>
      <c r="D88" s="400"/>
      <c r="E88" s="401"/>
      <c r="F88" s="410"/>
    </row>
    <row r="89" spans="1:6" ht="15.85" customHeight="1" x14ac:dyDescent="0.35">
      <c r="A89" s="386"/>
      <c r="B89" s="385"/>
      <c r="C89" s="384"/>
      <c r="D89" s="400"/>
      <c r="E89" s="401"/>
      <c r="F89" s="410"/>
    </row>
    <row r="90" spans="1:6" ht="15.85" customHeight="1" x14ac:dyDescent="0.35">
      <c r="A90" s="386"/>
      <c r="B90" s="385"/>
      <c r="C90" s="384"/>
      <c r="D90" s="400"/>
      <c r="E90" s="401"/>
      <c r="F90" s="410"/>
    </row>
    <row r="91" spans="1:6" ht="15.85" customHeight="1" x14ac:dyDescent="0.35">
      <c r="A91" s="386"/>
      <c r="B91" s="385"/>
      <c r="C91" s="384"/>
      <c r="D91" s="400"/>
      <c r="E91" s="401"/>
      <c r="F91" s="410"/>
    </row>
    <row r="92" spans="1:6" ht="15.85" customHeight="1" x14ac:dyDescent="0.35">
      <c r="A92" s="386"/>
      <c r="B92" s="385"/>
      <c r="C92" s="384"/>
      <c r="D92" s="400"/>
      <c r="E92" s="401"/>
      <c r="F92" s="410"/>
    </row>
    <row r="93" spans="1:6" ht="15.85" customHeight="1" x14ac:dyDescent="0.35">
      <c r="A93" s="402"/>
      <c r="B93" s="379" t="s">
        <v>1220</v>
      </c>
      <c r="C93" s="380"/>
      <c r="D93" s="403"/>
      <c r="E93" s="414"/>
      <c r="F93" s="415">
        <f>SUM(F8:F65)</f>
        <v>154173427.12799999</v>
      </c>
    </row>
    <row r="94" spans="1:6" ht="15.85" customHeight="1" x14ac:dyDescent="0.35">
      <c r="A94" s="392"/>
      <c r="B94" s="382"/>
      <c r="C94" s="393"/>
      <c r="D94" s="394"/>
      <c r="E94" s="395"/>
      <c r="F94" s="410"/>
    </row>
    <row r="95" spans="1:6" ht="15.85" customHeight="1" x14ac:dyDescent="0.35">
      <c r="A95" s="386"/>
      <c r="B95" s="383"/>
      <c r="C95" s="396"/>
      <c r="D95" s="397"/>
      <c r="E95" s="398"/>
      <c r="F95" s="410"/>
    </row>
    <row r="96" spans="1:6" ht="12.85" customHeight="1" x14ac:dyDescent="0.35">
      <c r="A96" s="386"/>
      <c r="B96" s="383" t="s">
        <v>1081</v>
      </c>
      <c r="C96" s="396"/>
      <c r="D96" s="397"/>
      <c r="E96" s="398"/>
      <c r="F96" s="412"/>
    </row>
    <row r="97" spans="1:6" ht="12.85" customHeight="1" x14ac:dyDescent="0.35">
      <c r="A97" s="386"/>
      <c r="B97" s="383" t="s">
        <v>1104</v>
      </c>
      <c r="C97" s="396"/>
      <c r="D97" s="397"/>
      <c r="E97" s="398"/>
      <c r="F97" s="413"/>
    </row>
    <row r="98" spans="1:6" ht="12.85" customHeight="1" x14ac:dyDescent="0.35">
      <c r="A98" s="386"/>
      <c r="B98" s="383" t="s">
        <v>1105</v>
      </c>
      <c r="C98" s="396"/>
      <c r="D98" s="397"/>
      <c r="E98" s="398"/>
      <c r="F98" s="413"/>
    </row>
    <row r="99" spans="1:6" ht="28.9" customHeight="1" x14ac:dyDescent="0.35">
      <c r="A99" s="386"/>
      <c r="B99" s="383" t="s">
        <v>1221</v>
      </c>
      <c r="C99" s="396"/>
      <c r="D99" s="397"/>
      <c r="E99" s="398"/>
      <c r="F99" s="413"/>
    </row>
    <row r="100" spans="1:6" ht="28.9" customHeight="1" x14ac:dyDescent="0.35">
      <c r="A100" s="386"/>
      <c r="B100" s="383" t="s">
        <v>1222</v>
      </c>
      <c r="C100" s="396"/>
      <c r="D100" s="397"/>
      <c r="E100" s="398"/>
      <c r="F100" s="413"/>
    </row>
    <row r="101" spans="1:6" ht="28.9" customHeight="1" x14ac:dyDescent="0.35">
      <c r="A101" s="386"/>
      <c r="B101" s="383" t="s">
        <v>1223</v>
      </c>
      <c r="C101" s="396"/>
      <c r="D101" s="397"/>
      <c r="E101" s="398"/>
      <c r="F101" s="413"/>
    </row>
    <row r="102" spans="1:6" ht="28.9" customHeight="1" x14ac:dyDescent="0.35">
      <c r="A102" s="386"/>
      <c r="B102" s="383" t="s">
        <v>1105</v>
      </c>
      <c r="C102" s="396"/>
      <c r="D102" s="397"/>
      <c r="E102" s="399"/>
      <c r="F102" s="413"/>
    </row>
    <row r="103" spans="1:6" ht="28.9" customHeight="1" x14ac:dyDescent="0.35">
      <c r="A103" s="384" t="s">
        <v>31</v>
      </c>
      <c r="B103" s="385" t="s">
        <v>1131</v>
      </c>
      <c r="C103" s="384" t="s">
        <v>1107</v>
      </c>
      <c r="D103" s="400">
        <v>4</v>
      </c>
      <c r="E103" s="401">
        <v>2333586.44</v>
      </c>
      <c r="F103" s="410">
        <f t="shared" ref="F103:F105" si="6">D103*E103</f>
        <v>9334345.7599999998</v>
      </c>
    </row>
    <row r="104" spans="1:6" ht="28.9" customHeight="1" x14ac:dyDescent="0.35">
      <c r="A104" s="384" t="s">
        <v>32</v>
      </c>
      <c r="B104" s="385" t="s">
        <v>1106</v>
      </c>
      <c r="C104" s="384" t="s">
        <v>1107</v>
      </c>
      <c r="D104" s="400">
        <v>7</v>
      </c>
      <c r="E104" s="401">
        <v>3062155.9360000002</v>
      </c>
      <c r="F104" s="410">
        <f t="shared" si="6"/>
        <v>21435091.552000001</v>
      </c>
    </row>
    <row r="105" spans="1:6" ht="28.9" customHeight="1" x14ac:dyDescent="0.35">
      <c r="A105" s="384" t="s">
        <v>34</v>
      </c>
      <c r="B105" s="385" t="s">
        <v>1224</v>
      </c>
      <c r="C105" s="384" t="s">
        <v>1107</v>
      </c>
      <c r="D105" s="400">
        <v>1</v>
      </c>
      <c r="E105" s="401">
        <v>3480542.3760000002</v>
      </c>
      <c r="F105" s="410">
        <f t="shared" si="6"/>
        <v>3480542.3760000002</v>
      </c>
    </row>
    <row r="106" spans="1:6" ht="28.9" customHeight="1" x14ac:dyDescent="0.35">
      <c r="A106" s="386"/>
      <c r="B106" s="383" t="s">
        <v>1134</v>
      </c>
      <c r="C106" s="396"/>
      <c r="D106" s="397"/>
      <c r="E106" s="398"/>
      <c r="F106" s="413"/>
    </row>
    <row r="107" spans="1:6" ht="28.9" customHeight="1" x14ac:dyDescent="0.35">
      <c r="A107" s="384" t="s">
        <v>32</v>
      </c>
      <c r="B107" s="385" t="s">
        <v>1225</v>
      </c>
      <c r="C107" s="384" t="s">
        <v>1107</v>
      </c>
      <c r="D107" s="400">
        <v>1</v>
      </c>
      <c r="E107" s="401">
        <v>2852962.7120000003</v>
      </c>
      <c r="F107" s="410">
        <f t="shared" ref="F107:F112" si="7">D107*E107</f>
        <v>2852962.7120000003</v>
      </c>
    </row>
    <row r="108" spans="1:6" ht="28.9" customHeight="1" x14ac:dyDescent="0.35">
      <c r="A108" s="384" t="s">
        <v>35</v>
      </c>
      <c r="B108" s="385" t="s">
        <v>1135</v>
      </c>
      <c r="C108" s="384" t="s">
        <v>1107</v>
      </c>
      <c r="D108" s="400">
        <v>1</v>
      </c>
      <c r="E108" s="401">
        <v>3272560.6960000005</v>
      </c>
      <c r="F108" s="410">
        <f t="shared" si="7"/>
        <v>3272560.6960000005</v>
      </c>
    </row>
    <row r="109" spans="1:6" ht="28.9" customHeight="1" x14ac:dyDescent="0.35">
      <c r="A109" s="384" t="s">
        <v>32</v>
      </c>
      <c r="B109" s="385" t="s">
        <v>1108</v>
      </c>
      <c r="C109" s="384" t="s">
        <v>1107</v>
      </c>
      <c r="D109" s="400">
        <v>14</v>
      </c>
      <c r="E109" s="401">
        <v>360677.96800000005</v>
      </c>
      <c r="F109" s="410">
        <f t="shared" si="7"/>
        <v>5049491.5520000011</v>
      </c>
    </row>
    <row r="110" spans="1:6" ht="15.4" customHeight="1" x14ac:dyDescent="0.35">
      <c r="A110" s="386"/>
      <c r="B110" s="383" t="s">
        <v>1109</v>
      </c>
      <c r="C110" s="396"/>
      <c r="D110" s="397"/>
      <c r="E110" s="398">
        <v>0</v>
      </c>
      <c r="F110" s="410">
        <f t="shared" si="7"/>
        <v>0</v>
      </c>
    </row>
    <row r="111" spans="1:6" ht="28.9" customHeight="1" x14ac:dyDescent="0.35">
      <c r="A111" s="384" t="s">
        <v>33</v>
      </c>
      <c r="B111" s="385" t="s">
        <v>1136</v>
      </c>
      <c r="C111" s="384" t="s">
        <v>1027</v>
      </c>
      <c r="D111" s="400">
        <v>8</v>
      </c>
      <c r="E111" s="401">
        <v>605938.98400000005</v>
      </c>
      <c r="F111" s="410">
        <f t="shared" si="7"/>
        <v>4847511.8720000004</v>
      </c>
    </row>
    <row r="112" spans="1:6" ht="13.5" customHeight="1" x14ac:dyDescent="0.35">
      <c r="A112" s="386"/>
      <c r="B112" s="385" t="s">
        <v>1137</v>
      </c>
      <c r="C112" s="384" t="s">
        <v>1027</v>
      </c>
      <c r="D112" s="400">
        <v>4</v>
      </c>
      <c r="E112" s="401">
        <v>454454.24000000005</v>
      </c>
      <c r="F112" s="410">
        <f t="shared" si="7"/>
        <v>1817816.9600000002</v>
      </c>
    </row>
    <row r="113" spans="1:6" ht="16.5" customHeight="1" x14ac:dyDescent="0.35">
      <c r="A113" s="386"/>
      <c r="B113" s="385"/>
      <c r="C113" s="384"/>
      <c r="D113" s="400"/>
      <c r="E113" s="401"/>
      <c r="F113" s="410"/>
    </row>
    <row r="114" spans="1:6" ht="16.5" customHeight="1" x14ac:dyDescent="0.35">
      <c r="A114" s="386"/>
      <c r="B114" s="385"/>
      <c r="C114" s="384"/>
      <c r="D114" s="400"/>
      <c r="E114" s="401"/>
      <c r="F114" s="410"/>
    </row>
    <row r="115" spans="1:6" ht="16.5" customHeight="1" x14ac:dyDescent="0.35">
      <c r="A115" s="386"/>
      <c r="B115" s="385"/>
      <c r="C115" s="384"/>
      <c r="D115" s="400"/>
      <c r="E115" s="401"/>
      <c r="F115" s="410"/>
    </row>
    <row r="116" spans="1:6" ht="16.5" customHeight="1" x14ac:dyDescent="0.35">
      <c r="A116" s="386"/>
      <c r="B116" s="385"/>
      <c r="C116" s="384"/>
      <c r="D116" s="400"/>
      <c r="E116" s="401"/>
      <c r="F116" s="410"/>
    </row>
    <row r="117" spans="1:6" ht="16.5" customHeight="1" x14ac:dyDescent="0.35">
      <c r="A117" s="386"/>
      <c r="B117" s="385"/>
      <c r="C117" s="384"/>
      <c r="D117" s="400"/>
      <c r="E117" s="401"/>
      <c r="F117" s="410"/>
    </row>
    <row r="118" spans="1:6" ht="16.5" customHeight="1" x14ac:dyDescent="0.35">
      <c r="A118" s="386"/>
      <c r="B118" s="385"/>
      <c r="C118" s="384"/>
      <c r="D118" s="400"/>
      <c r="E118" s="401"/>
      <c r="F118" s="410"/>
    </row>
    <row r="119" spans="1:6" ht="16.5" customHeight="1" x14ac:dyDescent="0.35">
      <c r="A119" s="386"/>
      <c r="B119" s="385"/>
      <c r="C119" s="384"/>
      <c r="D119" s="400"/>
      <c r="E119" s="401"/>
      <c r="F119" s="410"/>
    </row>
    <row r="120" spans="1:6" ht="16.5" customHeight="1" x14ac:dyDescent="0.35">
      <c r="A120" s="386"/>
      <c r="B120" s="385"/>
      <c r="C120" s="384"/>
      <c r="D120" s="400"/>
      <c r="E120" s="401"/>
      <c r="F120" s="410"/>
    </row>
    <row r="121" spans="1:6" ht="16.5" customHeight="1" x14ac:dyDescent="0.35">
      <c r="A121" s="386"/>
      <c r="B121" s="385"/>
      <c r="C121" s="384"/>
      <c r="D121" s="400"/>
      <c r="E121" s="401"/>
      <c r="F121" s="410"/>
    </row>
    <row r="122" spans="1:6" ht="16.5" customHeight="1" x14ac:dyDescent="0.35">
      <c r="A122" s="386"/>
      <c r="B122" s="385"/>
      <c r="C122" s="384"/>
      <c r="D122" s="400"/>
      <c r="E122" s="401"/>
      <c r="F122" s="410"/>
    </row>
    <row r="123" spans="1:6" ht="16.5" customHeight="1" x14ac:dyDescent="0.35">
      <c r="A123" s="386"/>
      <c r="B123" s="385"/>
      <c r="C123" s="384"/>
      <c r="D123" s="400"/>
      <c r="E123" s="401"/>
      <c r="F123" s="410"/>
    </row>
    <row r="124" spans="1:6" ht="16.5" customHeight="1" x14ac:dyDescent="0.35">
      <c r="A124" s="386"/>
      <c r="B124" s="385"/>
      <c r="C124" s="384"/>
      <c r="D124" s="400"/>
      <c r="E124" s="401"/>
      <c r="F124" s="410"/>
    </row>
    <row r="125" spans="1:6" ht="16.5" customHeight="1" x14ac:dyDescent="0.35">
      <c r="A125" s="386"/>
      <c r="B125" s="385"/>
      <c r="C125" s="384"/>
      <c r="D125" s="400"/>
      <c r="E125" s="401"/>
      <c r="F125" s="410"/>
    </row>
    <row r="126" spans="1:6" ht="16.5" customHeight="1" x14ac:dyDescent="0.35">
      <c r="A126" s="386"/>
      <c r="B126" s="385"/>
      <c r="C126" s="384"/>
      <c r="D126" s="400"/>
      <c r="E126" s="401"/>
      <c r="F126" s="410"/>
    </row>
    <row r="127" spans="1:6" ht="16.5" customHeight="1" x14ac:dyDescent="0.35">
      <c r="A127" s="386"/>
      <c r="B127" s="385"/>
      <c r="C127" s="384"/>
      <c r="D127" s="400"/>
      <c r="E127" s="401"/>
      <c r="F127" s="410"/>
    </row>
    <row r="128" spans="1:6" ht="16.5" customHeight="1" x14ac:dyDescent="0.35">
      <c r="A128" s="386"/>
      <c r="B128" s="385"/>
      <c r="C128" s="384"/>
      <c r="D128" s="400"/>
      <c r="E128" s="401"/>
      <c r="F128" s="410"/>
    </row>
    <row r="129" spans="1:6" ht="16.5" customHeight="1" x14ac:dyDescent="0.35">
      <c r="A129" s="386"/>
      <c r="B129" s="385"/>
      <c r="C129" s="384"/>
      <c r="D129" s="400"/>
      <c r="E129" s="401"/>
      <c r="F129" s="410"/>
    </row>
    <row r="130" spans="1:6" ht="16.5" customHeight="1" x14ac:dyDescent="0.35">
      <c r="A130" s="386"/>
      <c r="B130" s="385"/>
      <c r="C130" s="384"/>
      <c r="D130" s="400"/>
      <c r="E130" s="401"/>
      <c r="F130" s="410"/>
    </row>
    <row r="131" spans="1:6" ht="16.5" customHeight="1" x14ac:dyDescent="0.35">
      <c r="A131" s="386"/>
      <c r="B131" s="385"/>
      <c r="C131" s="384"/>
      <c r="D131" s="400"/>
      <c r="E131" s="401"/>
      <c r="F131" s="410"/>
    </row>
    <row r="132" spans="1:6" ht="16.5" customHeight="1" x14ac:dyDescent="0.35">
      <c r="A132" s="386"/>
      <c r="B132" s="385"/>
      <c r="C132" s="384"/>
      <c r="D132" s="400"/>
      <c r="E132" s="401"/>
      <c r="F132" s="410"/>
    </row>
    <row r="133" spans="1:6" ht="16.5" customHeight="1" x14ac:dyDescent="0.35">
      <c r="A133" s="386"/>
      <c r="B133" s="385"/>
      <c r="C133" s="384"/>
      <c r="D133" s="400"/>
      <c r="E133" s="401"/>
      <c r="F133" s="410"/>
    </row>
    <row r="134" spans="1:6" ht="16.5" customHeight="1" x14ac:dyDescent="0.35">
      <c r="A134" s="386"/>
      <c r="B134" s="385"/>
      <c r="C134" s="384"/>
      <c r="D134" s="400"/>
      <c r="E134" s="401"/>
      <c r="F134" s="410"/>
    </row>
    <row r="135" spans="1:6" ht="16.5" customHeight="1" x14ac:dyDescent="0.35">
      <c r="A135" s="386"/>
      <c r="B135" s="385"/>
      <c r="C135" s="384"/>
      <c r="D135" s="400"/>
      <c r="E135" s="401"/>
      <c r="F135" s="410"/>
    </row>
    <row r="136" spans="1:6" ht="16.5" customHeight="1" x14ac:dyDescent="0.35">
      <c r="A136" s="386"/>
      <c r="B136" s="385"/>
      <c r="C136" s="384"/>
      <c r="D136" s="400"/>
      <c r="E136" s="401"/>
      <c r="F136" s="410"/>
    </row>
    <row r="137" spans="1:6" ht="16.5" customHeight="1" x14ac:dyDescent="0.35">
      <c r="A137" s="386"/>
      <c r="B137" s="385"/>
      <c r="C137" s="384"/>
      <c r="D137" s="400"/>
      <c r="E137" s="401"/>
      <c r="F137" s="410"/>
    </row>
    <row r="138" spans="1:6" ht="16.5" customHeight="1" x14ac:dyDescent="0.35">
      <c r="A138" s="386"/>
      <c r="B138" s="385"/>
      <c r="C138" s="384"/>
      <c r="D138" s="400"/>
      <c r="E138" s="401"/>
      <c r="F138" s="410"/>
    </row>
    <row r="139" spans="1:6" ht="16.5" customHeight="1" x14ac:dyDescent="0.35">
      <c r="A139" s="386"/>
      <c r="B139" s="385"/>
      <c r="C139" s="384"/>
      <c r="D139" s="400"/>
      <c r="E139" s="401"/>
      <c r="F139" s="410"/>
    </row>
    <row r="140" spans="1:6" ht="16.5" customHeight="1" x14ac:dyDescent="0.35">
      <c r="A140" s="386"/>
      <c r="B140" s="385"/>
      <c r="C140" s="384"/>
      <c r="D140" s="400"/>
      <c r="E140" s="401"/>
      <c r="F140" s="410"/>
    </row>
    <row r="141" spans="1:6" ht="16.5" customHeight="1" x14ac:dyDescent="0.35">
      <c r="A141" s="378"/>
      <c r="B141" s="379"/>
      <c r="C141" s="378"/>
      <c r="D141" s="391"/>
      <c r="E141" s="391"/>
      <c r="F141" s="411"/>
    </row>
    <row r="142" spans="1:6" ht="16.5" customHeight="1" x14ac:dyDescent="0.35">
      <c r="A142" s="386"/>
      <c r="B142" s="385"/>
      <c r="C142" s="384"/>
      <c r="D142" s="400"/>
      <c r="E142" s="401"/>
      <c r="F142" s="410"/>
    </row>
    <row r="143" spans="1:6" ht="16.5" customHeight="1" x14ac:dyDescent="0.35">
      <c r="A143" s="386"/>
      <c r="B143" s="385"/>
      <c r="C143" s="384"/>
      <c r="D143" s="400"/>
      <c r="E143" s="401"/>
      <c r="F143" s="410"/>
    </row>
    <row r="144" spans="1:6" ht="28.9" customHeight="1" x14ac:dyDescent="0.35">
      <c r="A144" s="386"/>
      <c r="B144" s="383" t="s">
        <v>1111</v>
      </c>
      <c r="C144" s="396"/>
      <c r="D144" s="397"/>
      <c r="E144" s="398"/>
      <c r="F144" s="413"/>
    </row>
    <row r="145" spans="1:6" ht="28.9" customHeight="1" x14ac:dyDescent="0.35">
      <c r="A145" s="386"/>
      <c r="B145" s="383" t="s">
        <v>1190</v>
      </c>
      <c r="C145" s="396"/>
      <c r="D145" s="397"/>
      <c r="E145" s="398"/>
      <c r="F145" s="413"/>
    </row>
    <row r="146" spans="1:6" ht="28.9" customHeight="1" x14ac:dyDescent="0.35">
      <c r="A146" s="386"/>
      <c r="B146" s="383" t="s">
        <v>1191</v>
      </c>
      <c r="C146" s="396"/>
      <c r="D146" s="397"/>
      <c r="E146" s="398"/>
      <c r="F146" s="413"/>
    </row>
    <row r="147" spans="1:6" ht="28.9" customHeight="1" x14ac:dyDescent="0.35">
      <c r="A147" s="386"/>
      <c r="B147" s="383" t="s">
        <v>1192</v>
      </c>
      <c r="C147" s="396"/>
      <c r="D147" s="397"/>
      <c r="E147" s="398"/>
      <c r="F147" s="413"/>
    </row>
    <row r="148" spans="1:6" ht="28.9" customHeight="1" x14ac:dyDescent="0.35">
      <c r="A148" s="386"/>
      <c r="B148" s="383" t="s">
        <v>1193</v>
      </c>
      <c r="C148" s="396"/>
      <c r="D148" s="397"/>
      <c r="E148" s="398"/>
      <c r="F148" s="413"/>
    </row>
    <row r="149" spans="1:6" ht="28.9" customHeight="1" x14ac:dyDescent="0.35">
      <c r="A149" s="386"/>
      <c r="B149" s="383" t="s">
        <v>1112</v>
      </c>
      <c r="C149" s="396"/>
      <c r="D149" s="397"/>
      <c r="E149" s="398"/>
      <c r="F149" s="413"/>
    </row>
    <row r="150" spans="1:6" ht="28.9" customHeight="1" x14ac:dyDescent="0.35">
      <c r="A150" s="384" t="s">
        <v>31</v>
      </c>
      <c r="B150" s="385" t="s">
        <v>1156</v>
      </c>
      <c r="C150" s="384" t="s">
        <v>1107</v>
      </c>
      <c r="D150" s="400">
        <v>1</v>
      </c>
      <c r="E150" s="401">
        <v>23584216.952000003</v>
      </c>
      <c r="F150" s="410">
        <f t="shared" ref="F150:F151" si="8">D150*E150</f>
        <v>23584216.952000003</v>
      </c>
    </row>
    <row r="151" spans="1:6" ht="17.350000000000001" customHeight="1" x14ac:dyDescent="0.35">
      <c r="A151" s="384" t="s">
        <v>32</v>
      </c>
      <c r="B151" s="385" t="s">
        <v>1157</v>
      </c>
      <c r="C151" s="384" t="s">
        <v>1107</v>
      </c>
      <c r="D151" s="400">
        <v>1</v>
      </c>
      <c r="E151" s="401">
        <v>26895240.680000003</v>
      </c>
      <c r="F151" s="410">
        <f t="shared" si="8"/>
        <v>26895240.680000003</v>
      </c>
    </row>
    <row r="152" spans="1:6" ht="16.149999999999999" customHeight="1" x14ac:dyDescent="0.35">
      <c r="A152" s="386"/>
      <c r="B152" s="383" t="s">
        <v>1113</v>
      </c>
      <c r="C152" s="396"/>
      <c r="D152" s="397"/>
      <c r="E152" s="398"/>
      <c r="F152" s="413"/>
    </row>
    <row r="153" spans="1:6" ht="25.5" customHeight="1" x14ac:dyDescent="0.35">
      <c r="A153" s="386"/>
      <c r="B153" s="383" t="s">
        <v>1114</v>
      </c>
      <c r="C153" s="396"/>
      <c r="D153" s="397"/>
      <c r="E153" s="398"/>
      <c r="F153" s="413"/>
    </row>
    <row r="154" spans="1:6" ht="16.25" customHeight="1" x14ac:dyDescent="0.35">
      <c r="A154" s="384" t="s">
        <v>1138</v>
      </c>
      <c r="B154" s="385" t="s">
        <v>1115</v>
      </c>
      <c r="C154" s="384" t="s">
        <v>1107</v>
      </c>
      <c r="D154" s="400">
        <v>6</v>
      </c>
      <c r="E154" s="401">
        <v>274115.25599999999</v>
      </c>
      <c r="F154" s="410">
        <f t="shared" ref="F154:F157" si="9">D154*E154</f>
        <v>1644691.5359999998</v>
      </c>
    </row>
    <row r="155" spans="1:6" ht="16.25" customHeight="1" x14ac:dyDescent="0.35">
      <c r="A155" s="384" t="s">
        <v>1139</v>
      </c>
      <c r="B155" s="385" t="s">
        <v>1116</v>
      </c>
      <c r="C155" s="384" t="s">
        <v>1107</v>
      </c>
      <c r="D155" s="400">
        <v>3</v>
      </c>
      <c r="E155" s="401">
        <v>346250.848</v>
      </c>
      <c r="F155" s="410">
        <f t="shared" si="9"/>
        <v>1038752.544</v>
      </c>
    </row>
    <row r="156" spans="1:6" ht="16.25" customHeight="1" x14ac:dyDescent="0.35">
      <c r="A156" s="384" t="s">
        <v>1140</v>
      </c>
      <c r="B156" s="385" t="s">
        <v>1141</v>
      </c>
      <c r="C156" s="384" t="s">
        <v>1107</v>
      </c>
      <c r="D156" s="400">
        <v>3</v>
      </c>
      <c r="E156" s="401">
        <v>555444.06400000001</v>
      </c>
      <c r="F156" s="410">
        <f t="shared" si="9"/>
        <v>1666332.192</v>
      </c>
    </row>
    <row r="157" spans="1:6" ht="16.25" customHeight="1" x14ac:dyDescent="0.35">
      <c r="A157" s="384" t="s">
        <v>1142</v>
      </c>
      <c r="B157" s="385" t="s">
        <v>1143</v>
      </c>
      <c r="C157" s="384" t="s">
        <v>1107</v>
      </c>
      <c r="D157" s="400">
        <v>1</v>
      </c>
      <c r="E157" s="401">
        <v>483308.47200000001</v>
      </c>
      <c r="F157" s="410">
        <f t="shared" si="9"/>
        <v>483308.47200000001</v>
      </c>
    </row>
    <row r="158" spans="1:6" ht="28.9" customHeight="1" x14ac:dyDescent="0.35">
      <c r="A158" s="386"/>
      <c r="B158" s="383" t="s">
        <v>1117</v>
      </c>
      <c r="C158" s="396"/>
      <c r="D158" s="397"/>
      <c r="E158" s="398"/>
      <c r="F158" s="413"/>
    </row>
    <row r="159" spans="1:6" ht="18.399999999999999" customHeight="1" x14ac:dyDescent="0.35">
      <c r="A159" s="384" t="s">
        <v>31</v>
      </c>
      <c r="B159" s="385" t="s">
        <v>1146</v>
      </c>
      <c r="C159" s="384" t="s">
        <v>112</v>
      </c>
      <c r="D159" s="400">
        <v>40</v>
      </c>
      <c r="E159" s="401">
        <v>30400</v>
      </c>
      <c r="F159" s="410">
        <f t="shared" ref="F159:F166" si="10">D159*E159</f>
        <v>1216000</v>
      </c>
    </row>
    <row r="160" spans="1:6" ht="18.399999999999999" customHeight="1" x14ac:dyDescent="0.35">
      <c r="A160" s="384" t="s">
        <v>32</v>
      </c>
      <c r="B160" s="385" t="s">
        <v>1118</v>
      </c>
      <c r="C160" s="384" t="s">
        <v>112</v>
      </c>
      <c r="D160" s="400">
        <v>117</v>
      </c>
      <c r="E160" s="401">
        <v>36480</v>
      </c>
      <c r="F160" s="410">
        <f t="shared" si="10"/>
        <v>4268160</v>
      </c>
    </row>
    <row r="161" spans="1:6" ht="18.399999999999999" customHeight="1" x14ac:dyDescent="0.35">
      <c r="A161" s="384" t="s">
        <v>33</v>
      </c>
      <c r="B161" s="385" t="s">
        <v>1147</v>
      </c>
      <c r="C161" s="384" t="s">
        <v>112</v>
      </c>
      <c r="D161" s="400">
        <v>40</v>
      </c>
      <c r="E161" s="401">
        <v>42560</v>
      </c>
      <c r="F161" s="410">
        <f t="shared" si="10"/>
        <v>1702400</v>
      </c>
    </row>
    <row r="162" spans="1:6" ht="18.399999999999999" customHeight="1" x14ac:dyDescent="0.35">
      <c r="A162" s="384" t="s">
        <v>34</v>
      </c>
      <c r="B162" s="385" t="s">
        <v>1119</v>
      </c>
      <c r="C162" s="384" t="s">
        <v>112</v>
      </c>
      <c r="D162" s="400">
        <v>100</v>
      </c>
      <c r="E162" s="401">
        <v>54720</v>
      </c>
      <c r="F162" s="410">
        <f t="shared" si="10"/>
        <v>5472000</v>
      </c>
    </row>
    <row r="163" spans="1:6" ht="18.399999999999999" customHeight="1" x14ac:dyDescent="0.35">
      <c r="A163" s="384" t="s">
        <v>35</v>
      </c>
      <c r="B163" s="385" t="s">
        <v>1120</v>
      </c>
      <c r="C163" s="384" t="s">
        <v>112</v>
      </c>
      <c r="D163" s="400">
        <v>20</v>
      </c>
      <c r="E163" s="401">
        <v>76000</v>
      </c>
      <c r="F163" s="410">
        <f t="shared" si="10"/>
        <v>1520000</v>
      </c>
    </row>
    <row r="164" spans="1:6" ht="18.399999999999999" customHeight="1" x14ac:dyDescent="0.35">
      <c r="A164" s="384" t="s">
        <v>36</v>
      </c>
      <c r="B164" s="385" t="s">
        <v>1121</v>
      </c>
      <c r="C164" s="384" t="s">
        <v>112</v>
      </c>
      <c r="D164" s="400">
        <v>10</v>
      </c>
      <c r="E164" s="401">
        <v>88160</v>
      </c>
      <c r="F164" s="410">
        <f t="shared" si="10"/>
        <v>881600</v>
      </c>
    </row>
    <row r="165" spans="1:6" ht="18.399999999999999" customHeight="1" x14ac:dyDescent="0.35">
      <c r="A165" s="384" t="s">
        <v>39</v>
      </c>
      <c r="B165" s="385" t="s">
        <v>1149</v>
      </c>
      <c r="C165" s="384" t="s">
        <v>112</v>
      </c>
      <c r="D165" s="400">
        <v>10</v>
      </c>
      <c r="E165" s="401">
        <v>115520</v>
      </c>
      <c r="F165" s="410">
        <f t="shared" si="10"/>
        <v>1155200</v>
      </c>
    </row>
    <row r="166" spans="1:6" ht="18.399999999999999" customHeight="1" x14ac:dyDescent="0.35">
      <c r="A166" s="384" t="s">
        <v>15</v>
      </c>
      <c r="B166" s="385" t="s">
        <v>1151</v>
      </c>
      <c r="C166" s="384" t="s">
        <v>112</v>
      </c>
      <c r="D166" s="400">
        <v>15</v>
      </c>
      <c r="E166" s="401">
        <v>173888</v>
      </c>
      <c r="F166" s="410">
        <f t="shared" si="10"/>
        <v>2608320</v>
      </c>
    </row>
    <row r="167" spans="1:6" ht="18.399999999999999" customHeight="1" x14ac:dyDescent="0.35">
      <c r="A167" s="386"/>
      <c r="B167" s="383" t="s">
        <v>1122</v>
      </c>
      <c r="C167" s="396"/>
      <c r="D167" s="397"/>
      <c r="E167" s="398"/>
      <c r="F167" s="413"/>
    </row>
    <row r="168" spans="1:6" ht="18.399999999999999" customHeight="1" x14ac:dyDescent="0.35">
      <c r="A168" s="384" t="s">
        <v>17</v>
      </c>
      <c r="B168" s="385" t="s">
        <v>1123</v>
      </c>
      <c r="C168" s="384" t="s">
        <v>1124</v>
      </c>
      <c r="D168" s="400">
        <v>20</v>
      </c>
      <c r="E168" s="401">
        <v>115520</v>
      </c>
      <c r="F168" s="410">
        <f t="shared" ref="F168:F170" si="11">D168*E168</f>
        <v>2310400</v>
      </c>
    </row>
    <row r="169" spans="1:6" ht="28.9" customHeight="1" x14ac:dyDescent="0.35">
      <c r="A169" s="384" t="s">
        <v>90</v>
      </c>
      <c r="B169" s="385" t="s">
        <v>1125</v>
      </c>
      <c r="C169" s="384" t="s">
        <v>112</v>
      </c>
      <c r="D169" s="400">
        <v>10</v>
      </c>
      <c r="E169" s="401">
        <v>91200</v>
      </c>
      <c r="F169" s="410">
        <f t="shared" si="11"/>
        <v>912000</v>
      </c>
    </row>
    <row r="170" spans="1:6" ht="28.9" customHeight="1" x14ac:dyDescent="0.35">
      <c r="A170" s="384" t="s">
        <v>88</v>
      </c>
      <c r="B170" s="385" t="s">
        <v>1126</v>
      </c>
      <c r="C170" s="384" t="s">
        <v>112</v>
      </c>
      <c r="D170" s="400">
        <v>352</v>
      </c>
      <c r="E170" s="401">
        <v>6779.6640000000007</v>
      </c>
      <c r="F170" s="410">
        <f t="shared" si="11"/>
        <v>2386441.7280000001</v>
      </c>
    </row>
    <row r="171" spans="1:6" ht="14.75" customHeight="1" x14ac:dyDescent="0.35">
      <c r="A171" s="386"/>
      <c r="B171" s="383" t="s">
        <v>1127</v>
      </c>
      <c r="C171" s="396"/>
      <c r="D171" s="397"/>
      <c r="E171" s="398"/>
      <c r="F171" s="413"/>
    </row>
    <row r="172" spans="1:6" ht="14.75" customHeight="1" x14ac:dyDescent="0.35">
      <c r="A172" s="384" t="s">
        <v>33</v>
      </c>
      <c r="B172" s="385" t="s">
        <v>1128</v>
      </c>
      <c r="C172" s="384" t="s">
        <v>112</v>
      </c>
      <c r="D172" s="400">
        <v>90</v>
      </c>
      <c r="E172" s="401">
        <v>6080</v>
      </c>
      <c r="F172" s="410">
        <f t="shared" ref="F172:F174" si="12">D172*E172</f>
        <v>547200</v>
      </c>
    </row>
    <row r="173" spans="1:6" ht="14.75" customHeight="1" x14ac:dyDescent="0.35">
      <c r="A173" s="384" t="s">
        <v>34</v>
      </c>
      <c r="B173" s="385" t="s">
        <v>1129</v>
      </c>
      <c r="C173" s="384" t="s">
        <v>112</v>
      </c>
      <c r="D173" s="400">
        <v>70</v>
      </c>
      <c r="E173" s="401">
        <v>9120</v>
      </c>
      <c r="F173" s="410">
        <f t="shared" si="12"/>
        <v>638400</v>
      </c>
    </row>
    <row r="174" spans="1:6" ht="14.75" customHeight="1" x14ac:dyDescent="0.35">
      <c r="A174" s="384" t="s">
        <v>34</v>
      </c>
      <c r="B174" s="385" t="s">
        <v>1130</v>
      </c>
      <c r="C174" s="384" t="s">
        <v>112</v>
      </c>
      <c r="D174" s="400">
        <v>50</v>
      </c>
      <c r="E174" s="401">
        <v>12160</v>
      </c>
      <c r="F174" s="410">
        <f t="shared" si="12"/>
        <v>608000</v>
      </c>
    </row>
    <row r="175" spans="1:6" ht="14.75" customHeight="1" x14ac:dyDescent="0.35">
      <c r="A175" s="384"/>
      <c r="B175" s="385"/>
      <c r="C175" s="384"/>
      <c r="D175" s="400"/>
      <c r="E175" s="401"/>
      <c r="F175" s="413"/>
    </row>
    <row r="176" spans="1:6" ht="14.75" customHeight="1" x14ac:dyDescent="0.35">
      <c r="A176" s="384"/>
      <c r="B176" s="385"/>
      <c r="C176" s="384"/>
      <c r="D176" s="400"/>
      <c r="E176" s="401"/>
      <c r="F176" s="413"/>
    </row>
    <row r="177" spans="1:6" ht="14.75" customHeight="1" x14ac:dyDescent="0.35">
      <c r="A177" s="384"/>
      <c r="B177" s="385"/>
      <c r="C177" s="384"/>
      <c r="D177" s="400"/>
      <c r="E177" s="401"/>
      <c r="F177" s="413"/>
    </row>
    <row r="178" spans="1:6" ht="14.75" customHeight="1" x14ac:dyDescent="0.35">
      <c r="A178" s="384"/>
      <c r="B178" s="385"/>
      <c r="C178" s="384"/>
      <c r="D178" s="400"/>
      <c r="E178" s="401"/>
      <c r="F178" s="413"/>
    </row>
    <row r="179" spans="1:6" ht="14.75" customHeight="1" x14ac:dyDescent="0.35">
      <c r="A179" s="384"/>
      <c r="B179" s="385"/>
      <c r="C179" s="384"/>
      <c r="D179" s="400"/>
      <c r="E179" s="401"/>
      <c r="F179" s="413"/>
    </row>
    <row r="180" spans="1:6" ht="14.75" customHeight="1" x14ac:dyDescent="0.35">
      <c r="A180" s="384"/>
      <c r="B180" s="385"/>
      <c r="C180" s="384"/>
      <c r="D180" s="400"/>
      <c r="E180" s="401"/>
      <c r="F180" s="413"/>
    </row>
    <row r="181" spans="1:6" ht="21" customHeight="1" x14ac:dyDescent="0.35">
      <c r="A181" s="378"/>
      <c r="B181" s="379" t="s">
        <v>1226</v>
      </c>
      <c r="C181" s="378"/>
      <c r="D181" s="391"/>
      <c r="E181" s="391"/>
      <c r="F181" s="411">
        <f>SUM(F101:F180)</f>
        <v>133628987.58400002</v>
      </c>
    </row>
    <row r="182" spans="1:6" ht="21" customHeight="1" x14ac:dyDescent="0.35">
      <c r="A182" s="378"/>
      <c r="B182" s="379"/>
      <c r="C182" s="378"/>
      <c r="D182" s="391"/>
      <c r="E182" s="404"/>
      <c r="F182" s="413"/>
    </row>
    <row r="183" spans="1:6" ht="28.9" customHeight="1" x14ac:dyDescent="0.35">
      <c r="A183" s="392"/>
      <c r="B183" s="382"/>
      <c r="C183" s="393"/>
      <c r="D183" s="394"/>
      <c r="E183" s="395"/>
      <c r="F183" s="412"/>
    </row>
    <row r="184" spans="1:6" ht="28.9" customHeight="1" x14ac:dyDescent="0.35">
      <c r="A184" s="386"/>
      <c r="B184" s="383" t="s">
        <v>538</v>
      </c>
      <c r="C184" s="396"/>
      <c r="D184" s="397"/>
      <c r="E184" s="398"/>
      <c r="F184" s="412"/>
    </row>
    <row r="185" spans="1:6" ht="28.9" customHeight="1" x14ac:dyDescent="0.35">
      <c r="A185" s="386"/>
      <c r="B185" s="383" t="s">
        <v>1104</v>
      </c>
      <c r="C185" s="396"/>
      <c r="D185" s="397"/>
      <c r="E185" s="398"/>
      <c r="F185" s="413"/>
    </row>
    <row r="186" spans="1:6" ht="28.9" customHeight="1" x14ac:dyDescent="0.35">
      <c r="A186" s="386"/>
      <c r="B186" s="383" t="s">
        <v>1105</v>
      </c>
      <c r="C186" s="396"/>
      <c r="D186" s="397"/>
      <c r="E186" s="398"/>
      <c r="F186" s="413"/>
    </row>
    <row r="187" spans="1:6" ht="28.9" customHeight="1" x14ac:dyDescent="0.35">
      <c r="A187" s="386"/>
      <c r="B187" s="383" t="s">
        <v>1221</v>
      </c>
      <c r="C187" s="396"/>
      <c r="D187" s="397"/>
      <c r="E187" s="398"/>
      <c r="F187" s="413"/>
    </row>
    <row r="188" spans="1:6" ht="28.9" customHeight="1" x14ac:dyDescent="0.35">
      <c r="A188" s="386"/>
      <c r="B188" s="383" t="s">
        <v>1222</v>
      </c>
      <c r="C188" s="396"/>
      <c r="D188" s="397"/>
      <c r="E188" s="398"/>
      <c r="F188" s="413"/>
    </row>
    <row r="189" spans="1:6" ht="28.9" customHeight="1" x14ac:dyDescent="0.35">
      <c r="A189" s="386"/>
      <c r="B189" s="383" t="s">
        <v>1223</v>
      </c>
      <c r="C189" s="396"/>
      <c r="D189" s="397"/>
      <c r="E189" s="398"/>
      <c r="F189" s="413"/>
    </row>
    <row r="190" spans="1:6" ht="28.9" customHeight="1" x14ac:dyDescent="0.35">
      <c r="A190" s="386"/>
      <c r="B190" s="383" t="s">
        <v>1105</v>
      </c>
      <c r="C190" s="396"/>
      <c r="D190" s="397"/>
      <c r="E190" s="399"/>
      <c r="F190" s="413"/>
    </row>
    <row r="191" spans="1:6" ht="28.9" customHeight="1" x14ac:dyDescent="0.35">
      <c r="A191" s="384" t="s">
        <v>31</v>
      </c>
      <c r="B191" s="385" t="s">
        <v>1131</v>
      </c>
      <c r="C191" s="384" t="s">
        <v>1107</v>
      </c>
      <c r="D191" s="400">
        <v>1</v>
      </c>
      <c r="E191" s="401">
        <v>2333586.44</v>
      </c>
      <c r="F191" s="410">
        <f t="shared" ref="F191:F195" si="13">D191*E191</f>
        <v>2333586.44</v>
      </c>
    </row>
    <row r="192" spans="1:6" ht="28.9" customHeight="1" x14ac:dyDescent="0.35">
      <c r="A192" s="384" t="s">
        <v>33</v>
      </c>
      <c r="B192" s="385" t="s">
        <v>1153</v>
      </c>
      <c r="C192" s="384" t="s">
        <v>1107</v>
      </c>
      <c r="D192" s="400">
        <v>6</v>
      </c>
      <c r="E192" s="401">
        <v>2434576.2719999999</v>
      </c>
      <c r="F192" s="410">
        <f t="shared" si="13"/>
        <v>14607457.631999999</v>
      </c>
    </row>
    <row r="193" spans="1:6" ht="28.9" customHeight="1" x14ac:dyDescent="0.35">
      <c r="A193" s="384" t="s">
        <v>34</v>
      </c>
      <c r="B193" s="385" t="s">
        <v>1154</v>
      </c>
      <c r="C193" s="384" t="s">
        <v>1107</v>
      </c>
      <c r="D193" s="400">
        <v>5</v>
      </c>
      <c r="E193" s="401">
        <v>2614915.2560000001</v>
      </c>
      <c r="F193" s="410">
        <f t="shared" si="13"/>
        <v>13074576.280000001</v>
      </c>
    </row>
    <row r="194" spans="1:6" ht="28.9" customHeight="1" x14ac:dyDescent="0.35">
      <c r="A194" s="384" t="s">
        <v>32</v>
      </c>
      <c r="B194" s="385" t="s">
        <v>1106</v>
      </c>
      <c r="C194" s="384" t="s">
        <v>1107</v>
      </c>
      <c r="D194" s="400">
        <v>3</v>
      </c>
      <c r="E194" s="401">
        <v>3062155.9360000002</v>
      </c>
      <c r="F194" s="410">
        <f t="shared" si="13"/>
        <v>9186467.8080000002</v>
      </c>
    </row>
    <row r="195" spans="1:6" ht="28.9" customHeight="1" x14ac:dyDescent="0.35">
      <c r="A195" s="384" t="s">
        <v>32</v>
      </c>
      <c r="B195" s="385" t="s">
        <v>1108</v>
      </c>
      <c r="C195" s="384" t="s">
        <v>1107</v>
      </c>
      <c r="D195" s="400">
        <v>15</v>
      </c>
      <c r="E195" s="401">
        <v>360677.96800000005</v>
      </c>
      <c r="F195" s="410">
        <f t="shared" si="13"/>
        <v>5410169.5200000005</v>
      </c>
    </row>
    <row r="196" spans="1:6" ht="28.9" customHeight="1" x14ac:dyDescent="0.35">
      <c r="A196" s="386"/>
      <c r="B196" s="383" t="s">
        <v>1109</v>
      </c>
      <c r="C196" s="396"/>
      <c r="D196" s="397"/>
      <c r="E196" s="398"/>
      <c r="F196" s="413"/>
    </row>
    <row r="197" spans="1:6" ht="28.9" customHeight="1" x14ac:dyDescent="0.35">
      <c r="A197" s="384" t="s">
        <v>33</v>
      </c>
      <c r="B197" s="385" t="s">
        <v>1110</v>
      </c>
      <c r="C197" s="384" t="s">
        <v>1027</v>
      </c>
      <c r="D197" s="400">
        <v>3</v>
      </c>
      <c r="E197" s="401">
        <v>605938.98400000005</v>
      </c>
      <c r="F197" s="410">
        <f t="shared" ref="F197:F198" si="14">D197*E197</f>
        <v>1817816.952</v>
      </c>
    </row>
    <row r="198" spans="1:6" ht="28.9" customHeight="1" x14ac:dyDescent="0.35">
      <c r="A198" s="386"/>
      <c r="B198" s="385" t="s">
        <v>1155</v>
      </c>
      <c r="C198" s="384" t="s">
        <v>1027</v>
      </c>
      <c r="D198" s="400">
        <v>12</v>
      </c>
      <c r="E198" s="401">
        <v>454454.24000000005</v>
      </c>
      <c r="F198" s="410">
        <f t="shared" si="14"/>
        <v>5453450.8800000008</v>
      </c>
    </row>
    <row r="199" spans="1:6" ht="28.9" customHeight="1" x14ac:dyDescent="0.35">
      <c r="A199" s="386"/>
      <c r="B199" s="383" t="s">
        <v>1111</v>
      </c>
      <c r="C199" s="396"/>
      <c r="D199" s="397"/>
      <c r="E199" s="398"/>
      <c r="F199" s="413"/>
    </row>
    <row r="200" spans="1:6" ht="28.9" customHeight="1" x14ac:dyDescent="0.35">
      <c r="A200" s="386"/>
      <c r="B200" s="383" t="s">
        <v>1190</v>
      </c>
      <c r="C200" s="396"/>
      <c r="D200" s="397"/>
      <c r="E200" s="398"/>
      <c r="F200" s="413"/>
    </row>
    <row r="201" spans="1:6" ht="28.9" customHeight="1" x14ac:dyDescent="0.35">
      <c r="A201" s="386"/>
      <c r="B201" s="383" t="s">
        <v>1191</v>
      </c>
      <c r="C201" s="396"/>
      <c r="D201" s="397"/>
      <c r="E201" s="398"/>
      <c r="F201" s="413"/>
    </row>
    <row r="202" spans="1:6" ht="28.9" customHeight="1" x14ac:dyDescent="0.35">
      <c r="A202" s="386"/>
      <c r="B202" s="383" t="s">
        <v>1192</v>
      </c>
      <c r="C202" s="396"/>
      <c r="D202" s="397"/>
      <c r="E202" s="398"/>
      <c r="F202" s="413"/>
    </row>
    <row r="203" spans="1:6" ht="16.899999999999999" customHeight="1" x14ac:dyDescent="0.35">
      <c r="A203" s="386"/>
      <c r="B203" s="383" t="s">
        <v>1193</v>
      </c>
      <c r="C203" s="396"/>
      <c r="D203" s="397"/>
      <c r="E203" s="398"/>
      <c r="F203" s="413"/>
    </row>
    <row r="204" spans="1:6" ht="18" customHeight="1" x14ac:dyDescent="0.35">
      <c r="A204" s="386"/>
      <c r="B204" s="383" t="s">
        <v>1112</v>
      </c>
      <c r="C204" s="396"/>
      <c r="D204" s="397"/>
      <c r="E204" s="398"/>
      <c r="F204" s="413"/>
    </row>
    <row r="205" spans="1:6" ht="28.9" customHeight="1" x14ac:dyDescent="0.35">
      <c r="A205" s="384" t="s">
        <v>31</v>
      </c>
      <c r="B205" s="385" t="s">
        <v>1156</v>
      </c>
      <c r="C205" s="384" t="s">
        <v>1107</v>
      </c>
      <c r="D205" s="400">
        <v>1</v>
      </c>
      <c r="E205" s="401">
        <v>23584216.952000003</v>
      </c>
      <c r="F205" s="410">
        <f t="shared" ref="F205:F206" si="15">D205*E205</f>
        <v>23584216.952000003</v>
      </c>
    </row>
    <row r="206" spans="1:6" ht="19.5" customHeight="1" x14ac:dyDescent="0.35">
      <c r="A206" s="384" t="s">
        <v>32</v>
      </c>
      <c r="B206" s="385" t="s">
        <v>1157</v>
      </c>
      <c r="C206" s="384" t="s">
        <v>1107</v>
      </c>
      <c r="D206" s="400">
        <v>1</v>
      </c>
      <c r="E206" s="401">
        <v>26895240.680000003</v>
      </c>
      <c r="F206" s="410">
        <f t="shared" si="15"/>
        <v>26895240.680000003</v>
      </c>
    </row>
    <row r="207" spans="1:6" ht="19.5" customHeight="1" x14ac:dyDescent="0.35">
      <c r="A207" s="386"/>
      <c r="B207" s="383" t="s">
        <v>1113</v>
      </c>
      <c r="C207" s="396"/>
      <c r="D207" s="397"/>
      <c r="E207" s="398"/>
      <c r="F207" s="413"/>
    </row>
    <row r="208" spans="1:6" ht="28.9" customHeight="1" x14ac:dyDescent="0.35">
      <c r="A208" s="386"/>
      <c r="B208" s="383" t="s">
        <v>1114</v>
      </c>
      <c r="C208" s="396"/>
      <c r="D208" s="397"/>
      <c r="E208" s="398"/>
      <c r="F208" s="413"/>
    </row>
    <row r="209" spans="1:6" ht="15" customHeight="1" x14ac:dyDescent="0.35">
      <c r="A209" s="384" t="s">
        <v>1138</v>
      </c>
      <c r="B209" s="385" t="s">
        <v>1115</v>
      </c>
      <c r="C209" s="384" t="s">
        <v>1107</v>
      </c>
      <c r="D209" s="400">
        <v>4</v>
      </c>
      <c r="E209" s="401">
        <v>274115.25599999999</v>
      </c>
      <c r="F209" s="410">
        <f t="shared" ref="F209:F212" si="16">D209*E209</f>
        <v>1096461.024</v>
      </c>
    </row>
    <row r="210" spans="1:6" ht="15" customHeight="1" x14ac:dyDescent="0.35">
      <c r="A210" s="384" t="s">
        <v>1139</v>
      </c>
      <c r="B210" s="385" t="s">
        <v>1116</v>
      </c>
      <c r="C210" s="384" t="s">
        <v>1107</v>
      </c>
      <c r="D210" s="400">
        <v>6</v>
      </c>
      <c r="E210" s="401">
        <v>346250.848</v>
      </c>
      <c r="F210" s="410">
        <f t="shared" si="16"/>
        <v>2077505.088</v>
      </c>
    </row>
    <row r="211" spans="1:6" ht="15" customHeight="1" x14ac:dyDescent="0.35">
      <c r="A211" s="384" t="s">
        <v>1140</v>
      </c>
      <c r="B211" s="385" t="s">
        <v>1141</v>
      </c>
      <c r="C211" s="384" t="s">
        <v>1107</v>
      </c>
      <c r="D211" s="400">
        <v>4</v>
      </c>
      <c r="E211" s="401">
        <v>555444.06400000001</v>
      </c>
      <c r="F211" s="410">
        <f t="shared" si="16"/>
        <v>2221776.2560000001</v>
      </c>
    </row>
    <row r="212" spans="1:6" ht="15" customHeight="1" x14ac:dyDescent="0.35">
      <c r="A212" s="384" t="s">
        <v>1142</v>
      </c>
      <c r="B212" s="385" t="s">
        <v>1143</v>
      </c>
      <c r="C212" s="384" t="s">
        <v>1107</v>
      </c>
      <c r="D212" s="400">
        <v>1</v>
      </c>
      <c r="E212" s="401">
        <v>483308.47200000001</v>
      </c>
      <c r="F212" s="410">
        <f t="shared" si="16"/>
        <v>483308.47200000001</v>
      </c>
    </row>
    <row r="213" spans="1:6" ht="15" customHeight="1" x14ac:dyDescent="0.35">
      <c r="A213" s="384" t="s">
        <v>1144</v>
      </c>
      <c r="B213" s="385" t="s">
        <v>1145</v>
      </c>
      <c r="C213" s="384" t="s">
        <v>1107</v>
      </c>
      <c r="D213" s="397"/>
      <c r="E213" s="399"/>
      <c r="F213" s="413"/>
    </row>
    <row r="214" spans="1:6" ht="17.75" customHeight="1" x14ac:dyDescent="0.35">
      <c r="A214" s="384"/>
      <c r="B214" s="385"/>
      <c r="C214" s="384"/>
      <c r="D214" s="397"/>
      <c r="E214" s="399"/>
      <c r="F214" s="413"/>
    </row>
    <row r="215" spans="1:6" ht="17.75" customHeight="1" x14ac:dyDescent="0.35">
      <c r="A215" s="384"/>
      <c r="B215" s="385"/>
      <c r="C215" s="384"/>
      <c r="D215" s="397"/>
      <c r="E215" s="399"/>
      <c r="F215" s="413"/>
    </row>
    <row r="216" spans="1:6" ht="17.75" customHeight="1" x14ac:dyDescent="0.35">
      <c r="A216" s="384"/>
      <c r="B216" s="385"/>
      <c r="C216" s="384"/>
      <c r="D216" s="397"/>
      <c r="E216" s="399"/>
      <c r="F216" s="413"/>
    </row>
    <row r="217" spans="1:6" ht="17.75" customHeight="1" x14ac:dyDescent="0.35">
      <c r="A217" s="384"/>
      <c r="B217" s="385"/>
      <c r="C217" s="384"/>
      <c r="D217" s="397"/>
      <c r="E217" s="399"/>
      <c r="F217" s="413"/>
    </row>
    <row r="218" spans="1:6" ht="17.75" customHeight="1" x14ac:dyDescent="0.35">
      <c r="A218" s="384"/>
      <c r="B218" s="385"/>
      <c r="C218" s="384"/>
      <c r="D218" s="397"/>
      <c r="E218" s="399"/>
      <c r="F218" s="413"/>
    </row>
    <row r="219" spans="1:6" ht="17.75" customHeight="1" x14ac:dyDescent="0.35">
      <c r="A219" s="378"/>
      <c r="B219" s="379"/>
      <c r="C219" s="378"/>
      <c r="D219" s="391"/>
      <c r="E219" s="391"/>
      <c r="F219" s="411"/>
    </row>
    <row r="220" spans="1:6" ht="17.75" customHeight="1" x14ac:dyDescent="0.35">
      <c r="A220" s="384"/>
      <c r="B220" s="385"/>
      <c r="C220" s="384"/>
      <c r="D220" s="397"/>
      <c r="E220" s="399"/>
      <c r="F220" s="413"/>
    </row>
    <row r="221" spans="1:6" ht="28.9" customHeight="1" x14ac:dyDescent="0.35">
      <c r="A221" s="386"/>
      <c r="B221" s="383" t="s">
        <v>1117</v>
      </c>
      <c r="C221" s="396"/>
      <c r="D221" s="397"/>
      <c r="E221" s="398"/>
      <c r="F221" s="413"/>
    </row>
    <row r="222" spans="1:6" ht="20.350000000000001" customHeight="1" x14ac:dyDescent="0.35">
      <c r="A222" s="384" t="s">
        <v>31</v>
      </c>
      <c r="B222" s="385" t="s">
        <v>1146</v>
      </c>
      <c r="C222" s="384" t="s">
        <v>112</v>
      </c>
      <c r="D222" s="400">
        <v>150</v>
      </c>
      <c r="E222" s="401">
        <v>30400</v>
      </c>
      <c r="F222" s="410">
        <f t="shared" ref="F222:F231" si="17">D222*E222</f>
        <v>4560000</v>
      </c>
    </row>
    <row r="223" spans="1:6" ht="20.350000000000001" customHeight="1" x14ac:dyDescent="0.35">
      <c r="A223" s="384" t="s">
        <v>32</v>
      </c>
      <c r="B223" s="385" t="s">
        <v>1118</v>
      </c>
      <c r="C223" s="384" t="s">
        <v>112</v>
      </c>
      <c r="D223" s="400">
        <v>60</v>
      </c>
      <c r="E223" s="401">
        <v>36480</v>
      </c>
      <c r="F223" s="410">
        <f t="shared" si="17"/>
        <v>2188800</v>
      </c>
    </row>
    <row r="224" spans="1:6" ht="20.350000000000001" customHeight="1" x14ac:dyDescent="0.35">
      <c r="A224" s="384" t="s">
        <v>33</v>
      </c>
      <c r="B224" s="385" t="s">
        <v>1147</v>
      </c>
      <c r="C224" s="384" t="s">
        <v>112</v>
      </c>
      <c r="D224" s="400">
        <v>170</v>
      </c>
      <c r="E224" s="401">
        <v>42560</v>
      </c>
      <c r="F224" s="410">
        <f t="shared" si="17"/>
        <v>7235200</v>
      </c>
    </row>
    <row r="225" spans="1:6" ht="20.350000000000001" customHeight="1" x14ac:dyDescent="0.35">
      <c r="A225" s="384" t="s">
        <v>34</v>
      </c>
      <c r="B225" s="385" t="s">
        <v>1119</v>
      </c>
      <c r="C225" s="384" t="s">
        <v>112</v>
      </c>
      <c r="D225" s="400">
        <v>65</v>
      </c>
      <c r="E225" s="401">
        <v>54720</v>
      </c>
      <c r="F225" s="410">
        <f t="shared" si="17"/>
        <v>3556800</v>
      </c>
    </row>
    <row r="226" spans="1:6" ht="20.350000000000001" customHeight="1" x14ac:dyDescent="0.35">
      <c r="A226" s="384" t="s">
        <v>35</v>
      </c>
      <c r="B226" s="385" t="s">
        <v>1120</v>
      </c>
      <c r="C226" s="384" t="s">
        <v>112</v>
      </c>
      <c r="D226" s="400">
        <v>30</v>
      </c>
      <c r="E226" s="401">
        <v>76000</v>
      </c>
      <c r="F226" s="410">
        <f t="shared" si="17"/>
        <v>2280000</v>
      </c>
    </row>
    <row r="227" spans="1:6" ht="20.350000000000001" customHeight="1" x14ac:dyDescent="0.35">
      <c r="A227" s="384" t="s">
        <v>36</v>
      </c>
      <c r="B227" s="385" t="s">
        <v>1121</v>
      </c>
      <c r="C227" s="384" t="s">
        <v>112</v>
      </c>
      <c r="D227" s="400">
        <v>10</v>
      </c>
      <c r="E227" s="401">
        <v>88160</v>
      </c>
      <c r="F227" s="410">
        <f t="shared" si="17"/>
        <v>881600</v>
      </c>
    </row>
    <row r="228" spans="1:6" ht="20.350000000000001" customHeight="1" x14ac:dyDescent="0.35">
      <c r="A228" s="384" t="s">
        <v>114</v>
      </c>
      <c r="B228" s="385" t="s">
        <v>1148</v>
      </c>
      <c r="C228" s="384" t="s">
        <v>112</v>
      </c>
      <c r="D228" s="400">
        <v>10</v>
      </c>
      <c r="E228" s="401">
        <v>106400</v>
      </c>
      <c r="F228" s="410">
        <f t="shared" si="17"/>
        <v>1064000</v>
      </c>
    </row>
    <row r="229" spans="1:6" ht="20.350000000000001" customHeight="1" x14ac:dyDescent="0.35">
      <c r="A229" s="384" t="s">
        <v>39</v>
      </c>
      <c r="B229" s="385" t="s">
        <v>1149</v>
      </c>
      <c r="C229" s="384" t="s">
        <v>112</v>
      </c>
      <c r="D229" s="400">
        <v>5</v>
      </c>
      <c r="E229" s="401">
        <v>115520</v>
      </c>
      <c r="F229" s="410">
        <f t="shared" si="17"/>
        <v>577600</v>
      </c>
    </row>
    <row r="230" spans="1:6" ht="20.350000000000001" customHeight="1" x14ac:dyDescent="0.35">
      <c r="A230" s="384" t="s">
        <v>40</v>
      </c>
      <c r="B230" s="385" t="s">
        <v>1150</v>
      </c>
      <c r="C230" s="384" t="s">
        <v>112</v>
      </c>
      <c r="D230" s="400">
        <v>15</v>
      </c>
      <c r="E230" s="401">
        <v>127680</v>
      </c>
      <c r="F230" s="410">
        <f t="shared" si="17"/>
        <v>1915200</v>
      </c>
    </row>
    <row r="231" spans="1:6" ht="20.350000000000001" customHeight="1" x14ac:dyDescent="0.35">
      <c r="A231" s="384" t="s">
        <v>15</v>
      </c>
      <c r="B231" s="385" t="s">
        <v>1151</v>
      </c>
      <c r="C231" s="384" t="s">
        <v>112</v>
      </c>
      <c r="D231" s="400">
        <v>20</v>
      </c>
      <c r="E231" s="401">
        <v>173888</v>
      </c>
      <c r="F231" s="410">
        <f t="shared" si="17"/>
        <v>3477760</v>
      </c>
    </row>
    <row r="232" spans="1:6" ht="20.350000000000001" customHeight="1" x14ac:dyDescent="0.35">
      <c r="A232" s="386"/>
      <c r="B232" s="383" t="s">
        <v>1122</v>
      </c>
      <c r="C232" s="396"/>
      <c r="D232" s="397"/>
      <c r="E232" s="399"/>
      <c r="F232" s="413"/>
    </row>
    <row r="233" spans="1:6" ht="20.350000000000001" customHeight="1" x14ac:dyDescent="0.35">
      <c r="A233" s="384" t="s">
        <v>17</v>
      </c>
      <c r="B233" s="385" t="s">
        <v>1123</v>
      </c>
      <c r="C233" s="384" t="s">
        <v>1124</v>
      </c>
      <c r="D233" s="400">
        <v>25</v>
      </c>
      <c r="E233" s="401">
        <v>197600</v>
      </c>
      <c r="F233" s="410">
        <f t="shared" ref="F233:F234" si="18">D233*E233</f>
        <v>4940000</v>
      </c>
    </row>
    <row r="234" spans="1:6" ht="38.25" customHeight="1" x14ac:dyDescent="0.35">
      <c r="A234" s="384" t="s">
        <v>90</v>
      </c>
      <c r="B234" s="385" t="s">
        <v>1125</v>
      </c>
      <c r="C234" s="384" t="s">
        <v>112</v>
      </c>
      <c r="D234" s="400">
        <v>10</v>
      </c>
      <c r="E234" s="401">
        <v>215840</v>
      </c>
      <c r="F234" s="410">
        <f t="shared" si="18"/>
        <v>2158400</v>
      </c>
    </row>
    <row r="235" spans="1:6" ht="39" customHeight="1" x14ac:dyDescent="0.35">
      <c r="A235" s="384" t="s">
        <v>88</v>
      </c>
      <c r="B235" s="385" t="s">
        <v>1126</v>
      </c>
      <c r="C235" s="384" t="s">
        <v>112</v>
      </c>
      <c r="D235" s="400">
        <v>535</v>
      </c>
      <c r="E235" s="401">
        <v>6779.6640000000007</v>
      </c>
      <c r="F235" s="410">
        <f>D235*E235</f>
        <v>3627120.24</v>
      </c>
    </row>
    <row r="236" spans="1:6" ht="16.25" customHeight="1" x14ac:dyDescent="0.35">
      <c r="A236" s="386"/>
      <c r="B236" s="383" t="s">
        <v>1127</v>
      </c>
      <c r="C236" s="396"/>
      <c r="D236" s="397"/>
      <c r="E236" s="398"/>
      <c r="F236" s="413"/>
    </row>
    <row r="237" spans="1:6" ht="16.25" customHeight="1" x14ac:dyDescent="0.35">
      <c r="A237" s="384" t="s">
        <v>33</v>
      </c>
      <c r="B237" s="385" t="s">
        <v>1128</v>
      </c>
      <c r="C237" s="384" t="s">
        <v>112</v>
      </c>
      <c r="D237" s="400">
        <v>100</v>
      </c>
      <c r="E237" s="401">
        <v>6080</v>
      </c>
      <c r="F237" s="410">
        <f t="shared" ref="F237:F239" si="19">D237*E237</f>
        <v>608000</v>
      </c>
    </row>
    <row r="238" spans="1:6" ht="16.25" customHeight="1" x14ac:dyDescent="0.35">
      <c r="A238" s="384" t="s">
        <v>34</v>
      </c>
      <c r="B238" s="385" t="s">
        <v>1129</v>
      </c>
      <c r="C238" s="384" t="s">
        <v>112</v>
      </c>
      <c r="D238" s="400">
        <v>70</v>
      </c>
      <c r="E238" s="401">
        <v>9120</v>
      </c>
      <c r="F238" s="410">
        <f t="shared" si="19"/>
        <v>638400</v>
      </c>
    </row>
    <row r="239" spans="1:6" ht="16.25" customHeight="1" x14ac:dyDescent="0.35">
      <c r="A239" s="384" t="s">
        <v>34</v>
      </c>
      <c r="B239" s="385" t="s">
        <v>1130</v>
      </c>
      <c r="C239" s="384" t="s">
        <v>112</v>
      </c>
      <c r="D239" s="400">
        <v>50</v>
      </c>
      <c r="E239" s="401">
        <v>12160</v>
      </c>
      <c r="F239" s="410">
        <f t="shared" si="19"/>
        <v>608000</v>
      </c>
    </row>
    <row r="240" spans="1:6" ht="16.25" customHeight="1" x14ac:dyDescent="0.35">
      <c r="A240" s="384"/>
      <c r="B240" s="385"/>
      <c r="C240" s="384"/>
      <c r="D240" s="400"/>
      <c r="E240" s="401"/>
      <c r="F240" s="410"/>
    </row>
    <row r="241" spans="1:6" ht="16.25" customHeight="1" x14ac:dyDescent="0.35">
      <c r="A241" s="384"/>
      <c r="B241" s="385"/>
      <c r="C241" s="384"/>
      <c r="D241" s="400"/>
      <c r="E241" s="401"/>
      <c r="F241" s="410"/>
    </row>
    <row r="242" spans="1:6" ht="16.25" customHeight="1" x14ac:dyDescent="0.35">
      <c r="A242" s="384"/>
      <c r="B242" s="385"/>
      <c r="C242" s="384"/>
      <c r="D242" s="400"/>
      <c r="E242" s="401"/>
      <c r="F242" s="410"/>
    </row>
    <row r="243" spans="1:6" ht="16.25" customHeight="1" x14ac:dyDescent="0.35">
      <c r="A243" s="384"/>
      <c r="B243" s="385"/>
      <c r="C243" s="384"/>
      <c r="D243" s="400"/>
      <c r="E243" s="401"/>
      <c r="F243" s="410"/>
    </row>
    <row r="244" spans="1:6" ht="16.25" customHeight="1" x14ac:dyDescent="0.35">
      <c r="A244" s="384"/>
      <c r="B244" s="385"/>
      <c r="C244" s="384"/>
      <c r="D244" s="400"/>
      <c r="E244" s="401"/>
      <c r="F244" s="410"/>
    </row>
    <row r="245" spans="1:6" ht="16.25" customHeight="1" x14ac:dyDescent="0.35">
      <c r="A245" s="384"/>
      <c r="B245" s="385"/>
      <c r="C245" s="384"/>
      <c r="D245" s="400"/>
      <c r="E245" s="401"/>
      <c r="F245" s="410"/>
    </row>
    <row r="246" spans="1:6" ht="16.25" customHeight="1" x14ac:dyDescent="0.35">
      <c r="A246" s="384"/>
      <c r="B246" s="385"/>
      <c r="C246" s="384"/>
      <c r="D246" s="400"/>
      <c r="E246" s="401"/>
      <c r="F246" s="410"/>
    </row>
    <row r="247" spans="1:6" ht="16.25" customHeight="1" x14ac:dyDescent="0.35">
      <c r="A247" s="384"/>
      <c r="B247" s="385"/>
      <c r="C247" s="384"/>
      <c r="D247" s="400"/>
      <c r="E247" s="401"/>
      <c r="F247" s="410"/>
    </row>
    <row r="248" spans="1:6" ht="16.25" customHeight="1" x14ac:dyDescent="0.35">
      <c r="A248" s="384"/>
      <c r="B248" s="385"/>
      <c r="C248" s="384"/>
      <c r="D248" s="400"/>
      <c r="E248" s="401"/>
      <c r="F248" s="410"/>
    </row>
    <row r="249" spans="1:6" ht="16.25" customHeight="1" x14ac:dyDescent="0.35">
      <c r="A249" s="384"/>
      <c r="B249" s="385"/>
      <c r="C249" s="384"/>
      <c r="D249" s="400"/>
      <c r="E249" s="401"/>
      <c r="F249" s="410"/>
    </row>
    <row r="250" spans="1:6" ht="16.25" customHeight="1" x14ac:dyDescent="0.35">
      <c r="A250" s="384"/>
      <c r="B250" s="385"/>
      <c r="C250" s="384"/>
      <c r="D250" s="400"/>
      <c r="E250" s="401"/>
      <c r="F250" s="410"/>
    </row>
    <row r="251" spans="1:6" ht="16.25" customHeight="1" x14ac:dyDescent="0.35">
      <c r="A251" s="384"/>
      <c r="B251" s="385"/>
      <c r="C251" s="384"/>
      <c r="D251" s="400"/>
      <c r="E251" s="401"/>
      <c r="F251" s="410"/>
    </row>
    <row r="252" spans="1:6" ht="16.25" customHeight="1" x14ac:dyDescent="0.35">
      <c r="A252" s="384"/>
      <c r="B252" s="385"/>
      <c r="C252" s="384"/>
      <c r="D252" s="400"/>
      <c r="E252" s="401"/>
      <c r="F252" s="410"/>
    </row>
    <row r="253" spans="1:6" ht="16.25" customHeight="1" x14ac:dyDescent="0.35">
      <c r="A253" s="384"/>
      <c r="B253" s="385"/>
      <c r="C253" s="384"/>
      <c r="D253" s="400"/>
      <c r="E253" s="401"/>
      <c r="F253" s="410"/>
    </row>
    <row r="254" spans="1:6" ht="16.25" customHeight="1" x14ac:dyDescent="0.35">
      <c r="A254" s="384"/>
      <c r="B254" s="385"/>
      <c r="C254" s="384"/>
      <c r="D254" s="400"/>
      <c r="E254" s="401"/>
      <c r="F254" s="410"/>
    </row>
    <row r="255" spans="1:6" ht="16.25" customHeight="1" x14ac:dyDescent="0.35">
      <c r="A255" s="384"/>
      <c r="B255" s="385"/>
      <c r="C255" s="384"/>
      <c r="D255" s="400"/>
      <c r="E255" s="401"/>
      <c r="F255" s="410"/>
    </row>
    <row r="256" spans="1:6" ht="16.25" customHeight="1" x14ac:dyDescent="0.35">
      <c r="A256" s="384"/>
      <c r="B256" s="385"/>
      <c r="C256" s="384"/>
      <c r="D256" s="400"/>
      <c r="E256" s="401"/>
      <c r="F256" s="410"/>
    </row>
    <row r="257" spans="1:6" ht="16.25" customHeight="1" x14ac:dyDescent="0.35">
      <c r="A257" s="384"/>
      <c r="B257" s="385"/>
      <c r="C257" s="384"/>
      <c r="D257" s="400"/>
      <c r="E257" s="401"/>
      <c r="F257" s="410"/>
    </row>
    <row r="258" spans="1:6" ht="16.25" customHeight="1" x14ac:dyDescent="0.35">
      <c r="A258" s="384"/>
      <c r="B258" s="385"/>
      <c r="C258" s="384"/>
      <c r="D258" s="400"/>
      <c r="E258" s="401"/>
      <c r="F258" s="410"/>
    </row>
    <row r="259" spans="1:6" ht="16.25" customHeight="1" x14ac:dyDescent="0.35">
      <c r="A259" s="384"/>
      <c r="B259" s="385"/>
      <c r="C259" s="384"/>
      <c r="D259" s="400"/>
      <c r="E259" s="401"/>
      <c r="F259" s="410"/>
    </row>
    <row r="260" spans="1:6" ht="16.25" customHeight="1" x14ac:dyDescent="0.35">
      <c r="A260" s="384"/>
      <c r="B260" s="385"/>
      <c r="C260" s="384"/>
      <c r="D260" s="400"/>
      <c r="E260" s="401"/>
      <c r="F260" s="410"/>
    </row>
    <row r="261" spans="1:6" ht="16.25" customHeight="1" x14ac:dyDescent="0.35">
      <c r="A261" s="384"/>
      <c r="B261" s="385"/>
      <c r="C261" s="384"/>
      <c r="D261" s="400"/>
      <c r="E261" s="401"/>
      <c r="F261" s="410"/>
    </row>
    <row r="262" spans="1:6" ht="16.25" customHeight="1" x14ac:dyDescent="0.35">
      <c r="A262" s="384"/>
      <c r="B262" s="385"/>
      <c r="C262" s="384"/>
      <c r="D262" s="400"/>
      <c r="E262" s="401"/>
      <c r="F262" s="410"/>
    </row>
    <row r="263" spans="1:6" ht="16.25" customHeight="1" x14ac:dyDescent="0.35">
      <c r="A263" s="378"/>
      <c r="B263" s="379" t="s">
        <v>1158</v>
      </c>
      <c r="C263" s="378"/>
      <c r="D263" s="391"/>
      <c r="E263" s="391"/>
      <c r="F263" s="411">
        <f>SUM(F190:F262)</f>
        <v>148558914.22400004</v>
      </c>
    </row>
    <row r="264" spans="1:6" ht="16.25" customHeight="1" x14ac:dyDescent="0.35">
      <c r="A264" s="402"/>
      <c r="B264" s="379"/>
      <c r="C264" s="380"/>
      <c r="D264" s="403"/>
      <c r="E264" s="404"/>
      <c r="F264" s="413"/>
    </row>
    <row r="265" spans="1:6" ht="16.25" customHeight="1" x14ac:dyDescent="0.35">
      <c r="A265" s="378"/>
      <c r="B265" s="379"/>
      <c r="C265" s="378"/>
      <c r="D265" s="391"/>
      <c r="E265" s="404"/>
      <c r="F265" s="413"/>
    </row>
    <row r="266" spans="1:6" ht="16.25" customHeight="1" x14ac:dyDescent="0.35">
      <c r="A266" s="386"/>
      <c r="B266" s="383" t="s">
        <v>539</v>
      </c>
      <c r="C266" s="396"/>
      <c r="D266" s="397"/>
      <c r="E266" s="398"/>
      <c r="F266" s="412"/>
    </row>
    <row r="267" spans="1:6" ht="16.25" customHeight="1" x14ac:dyDescent="0.35">
      <c r="A267" s="386"/>
      <c r="B267" s="383" t="s">
        <v>1104</v>
      </c>
      <c r="C267" s="396"/>
      <c r="D267" s="397"/>
      <c r="E267" s="398"/>
      <c r="F267" s="413"/>
    </row>
    <row r="268" spans="1:6" ht="16.25" customHeight="1" x14ac:dyDescent="0.35">
      <c r="A268" s="386"/>
      <c r="B268" s="383" t="s">
        <v>1105</v>
      </c>
      <c r="C268" s="396"/>
      <c r="D268" s="397"/>
      <c r="E268" s="398"/>
      <c r="F268" s="413"/>
    </row>
    <row r="269" spans="1:6" ht="28.9" customHeight="1" x14ac:dyDescent="0.35">
      <c r="A269" s="386"/>
      <c r="B269" s="383" t="s">
        <v>1221</v>
      </c>
      <c r="C269" s="396"/>
      <c r="D269" s="397"/>
      <c r="E269" s="398"/>
      <c r="F269" s="413"/>
    </row>
    <row r="270" spans="1:6" ht="28.9" customHeight="1" x14ac:dyDescent="0.35">
      <c r="A270" s="386"/>
      <c r="B270" s="383" t="s">
        <v>1222</v>
      </c>
      <c r="C270" s="396"/>
      <c r="D270" s="397"/>
      <c r="E270" s="398"/>
      <c r="F270" s="413"/>
    </row>
    <row r="271" spans="1:6" ht="28.9" customHeight="1" x14ac:dyDescent="0.35">
      <c r="A271" s="386"/>
      <c r="B271" s="383" t="s">
        <v>1223</v>
      </c>
      <c r="C271" s="396"/>
      <c r="D271" s="397"/>
      <c r="E271" s="398"/>
      <c r="F271" s="413"/>
    </row>
    <row r="272" spans="1:6" ht="28.9" customHeight="1" x14ac:dyDescent="0.35">
      <c r="A272" s="386"/>
      <c r="B272" s="383" t="s">
        <v>1105</v>
      </c>
      <c r="C272" s="396"/>
      <c r="D272" s="397"/>
      <c r="E272" s="399"/>
      <c r="F272" s="413"/>
    </row>
    <row r="273" spans="1:6" ht="28.9" customHeight="1" x14ac:dyDescent="0.35">
      <c r="A273" s="384" t="s">
        <v>31</v>
      </c>
      <c r="B273" s="385" t="s">
        <v>1159</v>
      </c>
      <c r="C273" s="384" t="s">
        <v>1107</v>
      </c>
      <c r="D273" s="400">
        <v>2</v>
      </c>
      <c r="E273" s="401">
        <v>2225383.048</v>
      </c>
      <c r="F273" s="410">
        <f t="shared" ref="F273:F278" si="20">D273*E273</f>
        <v>4450766.0959999999</v>
      </c>
    </row>
    <row r="274" spans="1:6" ht="28.9" customHeight="1" x14ac:dyDescent="0.35">
      <c r="A274" s="384" t="s">
        <v>33</v>
      </c>
      <c r="B274" s="385" t="s">
        <v>1131</v>
      </c>
      <c r="C274" s="384" t="s">
        <v>1107</v>
      </c>
      <c r="D274" s="400">
        <v>1</v>
      </c>
      <c r="E274" s="401">
        <v>2333586.44</v>
      </c>
      <c r="F274" s="410">
        <f t="shared" si="20"/>
        <v>2333586.44</v>
      </c>
    </row>
    <row r="275" spans="1:6" ht="28.9" customHeight="1" x14ac:dyDescent="0.35">
      <c r="A275" s="384" t="s">
        <v>34</v>
      </c>
      <c r="B275" s="385" t="s">
        <v>1154</v>
      </c>
      <c r="C275" s="384" t="s">
        <v>1107</v>
      </c>
      <c r="D275" s="400">
        <v>1</v>
      </c>
      <c r="E275" s="401">
        <v>2614915.2560000001</v>
      </c>
      <c r="F275" s="410">
        <f t="shared" si="20"/>
        <v>2614915.2560000001</v>
      </c>
    </row>
    <row r="276" spans="1:6" ht="28.9" customHeight="1" x14ac:dyDescent="0.35">
      <c r="A276" s="384" t="s">
        <v>32</v>
      </c>
      <c r="B276" s="385" t="s">
        <v>1106</v>
      </c>
      <c r="C276" s="384" t="s">
        <v>1107</v>
      </c>
      <c r="D276" s="400">
        <v>9</v>
      </c>
      <c r="E276" s="401">
        <v>3062155.9360000002</v>
      </c>
      <c r="F276" s="410">
        <f t="shared" si="20"/>
        <v>27559403.424000002</v>
      </c>
    </row>
    <row r="277" spans="1:6" ht="28.9" customHeight="1" x14ac:dyDescent="0.35">
      <c r="A277" s="384" t="s">
        <v>33</v>
      </c>
      <c r="B277" s="385" t="s">
        <v>1132</v>
      </c>
      <c r="C277" s="384" t="s">
        <v>1107</v>
      </c>
      <c r="D277" s="400">
        <v>1</v>
      </c>
      <c r="E277" s="401">
        <v>3163145.7600000002</v>
      </c>
      <c r="F277" s="410">
        <f t="shared" si="20"/>
        <v>3163145.7600000002</v>
      </c>
    </row>
    <row r="278" spans="1:6" ht="28.9" customHeight="1" x14ac:dyDescent="0.35">
      <c r="A278" s="384" t="s">
        <v>32</v>
      </c>
      <c r="B278" s="385" t="s">
        <v>1108</v>
      </c>
      <c r="C278" s="384" t="s">
        <v>1107</v>
      </c>
      <c r="D278" s="400">
        <v>14</v>
      </c>
      <c r="E278" s="401">
        <v>360677.96800000005</v>
      </c>
      <c r="F278" s="410">
        <f t="shared" si="20"/>
        <v>5049491.5520000011</v>
      </c>
    </row>
    <row r="279" spans="1:6" ht="16.5" customHeight="1" x14ac:dyDescent="0.35">
      <c r="A279" s="386"/>
      <c r="B279" s="383" t="s">
        <v>1109</v>
      </c>
      <c r="C279" s="396"/>
      <c r="D279" s="397"/>
      <c r="E279" s="398">
        <v>0</v>
      </c>
      <c r="F279" s="413"/>
    </row>
    <row r="280" spans="1:6" ht="16.5" customHeight="1" x14ac:dyDescent="0.35">
      <c r="A280" s="384" t="s">
        <v>33</v>
      </c>
      <c r="B280" s="385" t="s">
        <v>1160</v>
      </c>
      <c r="C280" s="384" t="s">
        <v>1027</v>
      </c>
      <c r="D280" s="400">
        <v>10</v>
      </c>
      <c r="E280" s="401">
        <v>605938.98400000005</v>
      </c>
      <c r="F280" s="410">
        <f t="shared" ref="F280:F281" si="21">D280*E280</f>
        <v>6059389.8400000008</v>
      </c>
    </row>
    <row r="281" spans="1:6" ht="16.5" customHeight="1" x14ac:dyDescent="0.35">
      <c r="A281" s="386"/>
      <c r="B281" s="385" t="s">
        <v>1161</v>
      </c>
      <c r="C281" s="384" t="s">
        <v>1027</v>
      </c>
      <c r="D281" s="400">
        <v>4</v>
      </c>
      <c r="E281" s="401">
        <v>454454.24000000005</v>
      </c>
      <c r="F281" s="410">
        <f t="shared" si="21"/>
        <v>1817816.9600000002</v>
      </c>
    </row>
    <row r="282" spans="1:6" ht="16.5" customHeight="1" x14ac:dyDescent="0.35">
      <c r="A282" s="386"/>
      <c r="B282" s="383" t="s">
        <v>1111</v>
      </c>
      <c r="C282" s="396"/>
      <c r="D282" s="397"/>
      <c r="E282" s="398"/>
      <c r="F282" s="413"/>
    </row>
    <row r="283" spans="1:6" ht="28.9" customHeight="1" x14ac:dyDescent="0.35">
      <c r="A283" s="386"/>
      <c r="B283" s="383" t="s">
        <v>1190</v>
      </c>
      <c r="C283" s="396"/>
      <c r="D283" s="397"/>
      <c r="E283" s="398"/>
      <c r="F283" s="413"/>
    </row>
    <row r="284" spans="1:6" ht="28.9" customHeight="1" x14ac:dyDescent="0.35">
      <c r="A284" s="386"/>
      <c r="B284" s="383" t="s">
        <v>1191</v>
      </c>
      <c r="C284" s="396"/>
      <c r="D284" s="397"/>
      <c r="E284" s="398"/>
      <c r="F284" s="413"/>
    </row>
    <row r="285" spans="1:6" ht="28.9" customHeight="1" x14ac:dyDescent="0.35">
      <c r="A285" s="386"/>
      <c r="B285" s="383" t="s">
        <v>1192</v>
      </c>
      <c r="C285" s="396"/>
      <c r="D285" s="397"/>
      <c r="E285" s="398"/>
      <c r="F285" s="413"/>
    </row>
    <row r="286" spans="1:6" ht="15" customHeight="1" x14ac:dyDescent="0.35">
      <c r="A286" s="386"/>
      <c r="B286" s="383" t="s">
        <v>1193</v>
      </c>
      <c r="C286" s="396"/>
      <c r="D286" s="397"/>
      <c r="E286" s="398"/>
      <c r="F286" s="413"/>
    </row>
    <row r="287" spans="1:6" ht="14.75" customHeight="1" x14ac:dyDescent="0.35">
      <c r="A287" s="386"/>
      <c r="B287" s="383" t="s">
        <v>1112</v>
      </c>
      <c r="C287" s="396"/>
      <c r="D287" s="397"/>
      <c r="E287" s="398"/>
      <c r="F287" s="413"/>
    </row>
    <row r="288" spans="1:6" ht="28.9" customHeight="1" x14ac:dyDescent="0.35">
      <c r="A288" s="384" t="s">
        <v>31</v>
      </c>
      <c r="B288" s="385" t="s">
        <v>1156</v>
      </c>
      <c r="C288" s="384" t="s">
        <v>1107</v>
      </c>
      <c r="D288" s="400">
        <v>1</v>
      </c>
      <c r="E288" s="401">
        <v>23584216.952000003</v>
      </c>
      <c r="F288" s="410">
        <f t="shared" ref="F288:F289" si="22">D288*E288</f>
        <v>23584216.952000003</v>
      </c>
    </row>
    <row r="289" spans="1:6" ht="14.65" customHeight="1" x14ac:dyDescent="0.35">
      <c r="A289" s="384" t="s">
        <v>32</v>
      </c>
      <c r="B289" s="385" t="s">
        <v>1157</v>
      </c>
      <c r="C289" s="384" t="s">
        <v>1107</v>
      </c>
      <c r="D289" s="400">
        <v>1</v>
      </c>
      <c r="E289" s="401">
        <v>26895240.680000003</v>
      </c>
      <c r="F289" s="410">
        <f t="shared" si="22"/>
        <v>26895240.680000003</v>
      </c>
    </row>
    <row r="290" spans="1:6" ht="13.9" customHeight="1" x14ac:dyDescent="0.35">
      <c r="A290" s="386"/>
      <c r="B290" s="383" t="s">
        <v>1113</v>
      </c>
      <c r="C290" s="396"/>
      <c r="D290" s="397"/>
      <c r="E290" s="398">
        <v>0</v>
      </c>
      <c r="F290" s="413"/>
    </row>
    <row r="291" spans="1:6" ht="28.9" customHeight="1" x14ac:dyDescent="0.35">
      <c r="A291" s="386"/>
      <c r="B291" s="383" t="s">
        <v>1114</v>
      </c>
      <c r="C291" s="396"/>
      <c r="D291" s="397"/>
      <c r="E291" s="398"/>
      <c r="F291" s="413"/>
    </row>
    <row r="292" spans="1:6" ht="15" customHeight="1" x14ac:dyDescent="0.35">
      <c r="A292" s="384" t="s">
        <v>1138</v>
      </c>
      <c r="B292" s="385" t="s">
        <v>1115</v>
      </c>
      <c r="C292" s="384" t="s">
        <v>1107</v>
      </c>
      <c r="D292" s="400">
        <v>3</v>
      </c>
      <c r="E292" s="401">
        <v>274115.25599999999</v>
      </c>
      <c r="F292" s="410">
        <f t="shared" ref="F292:F295" si="23">D292*E292</f>
        <v>822345.76799999992</v>
      </c>
    </row>
    <row r="293" spans="1:6" ht="15" customHeight="1" x14ac:dyDescent="0.35">
      <c r="A293" s="384" t="s">
        <v>1139</v>
      </c>
      <c r="B293" s="385" t="s">
        <v>1116</v>
      </c>
      <c r="C293" s="384" t="s">
        <v>1107</v>
      </c>
      <c r="D293" s="400">
        <v>6</v>
      </c>
      <c r="E293" s="401">
        <v>346250.848</v>
      </c>
      <c r="F293" s="410">
        <f t="shared" si="23"/>
        <v>2077505.088</v>
      </c>
    </row>
    <row r="294" spans="1:6" ht="15" customHeight="1" x14ac:dyDescent="0.35">
      <c r="A294" s="384" t="s">
        <v>1140</v>
      </c>
      <c r="B294" s="385" t="s">
        <v>1141</v>
      </c>
      <c r="C294" s="384" t="s">
        <v>1107</v>
      </c>
      <c r="D294" s="400">
        <v>4</v>
      </c>
      <c r="E294" s="401">
        <v>555444.06400000001</v>
      </c>
      <c r="F294" s="410">
        <f t="shared" si="23"/>
        <v>2221776.2560000001</v>
      </c>
    </row>
    <row r="295" spans="1:6" ht="15" customHeight="1" x14ac:dyDescent="0.35">
      <c r="A295" s="384" t="s">
        <v>1142</v>
      </c>
      <c r="B295" s="385" t="s">
        <v>1143</v>
      </c>
      <c r="C295" s="384" t="s">
        <v>1107</v>
      </c>
      <c r="D295" s="400">
        <v>1</v>
      </c>
      <c r="E295" s="401">
        <v>483308.47200000001</v>
      </c>
      <c r="F295" s="410">
        <f t="shared" si="23"/>
        <v>483308.47200000001</v>
      </c>
    </row>
    <row r="296" spans="1:6" ht="15" customHeight="1" x14ac:dyDescent="0.35">
      <c r="A296" s="384" t="s">
        <v>1144</v>
      </c>
      <c r="B296" s="385" t="s">
        <v>1145</v>
      </c>
      <c r="C296" s="384" t="s">
        <v>1107</v>
      </c>
      <c r="D296" s="397"/>
      <c r="E296" s="399"/>
      <c r="F296" s="413"/>
    </row>
    <row r="297" spans="1:6" ht="19.25" customHeight="1" x14ac:dyDescent="0.35">
      <c r="A297" s="384"/>
      <c r="B297" s="385"/>
      <c r="C297" s="384"/>
      <c r="D297" s="397"/>
      <c r="E297" s="399"/>
      <c r="F297" s="413"/>
    </row>
    <row r="298" spans="1:6" ht="19.25" customHeight="1" x14ac:dyDescent="0.35">
      <c r="A298" s="384"/>
      <c r="B298" s="385"/>
      <c r="C298" s="384"/>
      <c r="D298" s="397"/>
      <c r="E298" s="399"/>
      <c r="F298" s="413"/>
    </row>
    <row r="299" spans="1:6" ht="19.25" customHeight="1" x14ac:dyDescent="0.35">
      <c r="A299" s="378"/>
      <c r="B299" s="379"/>
      <c r="C299" s="378"/>
      <c r="D299" s="391"/>
      <c r="E299" s="391"/>
      <c r="F299" s="411"/>
    </row>
    <row r="300" spans="1:6" ht="19.25" customHeight="1" x14ac:dyDescent="0.35">
      <c r="A300" s="384"/>
      <c r="B300" s="385"/>
      <c r="C300" s="384"/>
      <c r="D300" s="397"/>
      <c r="E300" s="399"/>
      <c r="F300" s="413"/>
    </row>
    <row r="301" spans="1:6" ht="19.25" customHeight="1" x14ac:dyDescent="0.35">
      <c r="A301" s="384"/>
      <c r="B301" s="385"/>
      <c r="C301" s="384"/>
      <c r="D301" s="397"/>
      <c r="E301" s="399"/>
      <c r="F301" s="413"/>
    </row>
    <row r="302" spans="1:6" ht="28.9" customHeight="1" x14ac:dyDescent="0.35">
      <c r="A302" s="386"/>
      <c r="B302" s="383" t="s">
        <v>1117</v>
      </c>
      <c r="C302" s="396"/>
      <c r="D302" s="397"/>
      <c r="E302" s="398"/>
      <c r="F302" s="413"/>
    </row>
    <row r="303" spans="1:6" ht="18" customHeight="1" x14ac:dyDescent="0.35">
      <c r="A303" s="384" t="s">
        <v>31</v>
      </c>
      <c r="B303" s="385" t="s">
        <v>1146</v>
      </c>
      <c r="C303" s="384" t="s">
        <v>112</v>
      </c>
      <c r="D303" s="400">
        <v>40</v>
      </c>
      <c r="E303" s="401">
        <v>30400</v>
      </c>
      <c r="F303" s="410">
        <f t="shared" ref="F303:F314" si="24">D303*E303</f>
        <v>1216000</v>
      </c>
    </row>
    <row r="304" spans="1:6" ht="18" customHeight="1" x14ac:dyDescent="0.35">
      <c r="A304" s="384" t="s">
        <v>32</v>
      </c>
      <c r="B304" s="385" t="s">
        <v>1118</v>
      </c>
      <c r="C304" s="384" t="s">
        <v>112</v>
      </c>
      <c r="D304" s="400">
        <v>165</v>
      </c>
      <c r="E304" s="401">
        <v>36480</v>
      </c>
      <c r="F304" s="410">
        <f t="shared" si="24"/>
        <v>6019200</v>
      </c>
    </row>
    <row r="305" spans="1:6" ht="18" customHeight="1" x14ac:dyDescent="0.35">
      <c r="A305" s="384" t="s">
        <v>33</v>
      </c>
      <c r="B305" s="385" t="s">
        <v>1147</v>
      </c>
      <c r="C305" s="384" t="s">
        <v>112</v>
      </c>
      <c r="D305" s="400">
        <v>70</v>
      </c>
      <c r="E305" s="401">
        <v>42560</v>
      </c>
      <c r="F305" s="410">
        <f t="shared" si="24"/>
        <v>2979200</v>
      </c>
    </row>
    <row r="306" spans="1:6" ht="18" customHeight="1" x14ac:dyDescent="0.35">
      <c r="A306" s="384" t="s">
        <v>34</v>
      </c>
      <c r="B306" s="385" t="s">
        <v>1119</v>
      </c>
      <c r="C306" s="384" t="s">
        <v>112</v>
      </c>
      <c r="D306" s="400">
        <v>165</v>
      </c>
      <c r="E306" s="401">
        <v>54720</v>
      </c>
      <c r="F306" s="410">
        <f t="shared" si="24"/>
        <v>9028800</v>
      </c>
    </row>
    <row r="307" spans="1:6" ht="18" customHeight="1" x14ac:dyDescent="0.35">
      <c r="A307" s="384" t="s">
        <v>35</v>
      </c>
      <c r="B307" s="385" t="s">
        <v>1120</v>
      </c>
      <c r="C307" s="384" t="s">
        <v>112</v>
      </c>
      <c r="D307" s="400">
        <v>45</v>
      </c>
      <c r="E307" s="401">
        <v>76000</v>
      </c>
      <c r="F307" s="410">
        <f t="shared" si="24"/>
        <v>3420000</v>
      </c>
    </row>
    <row r="308" spans="1:6" ht="18" customHeight="1" x14ac:dyDescent="0.35">
      <c r="A308" s="384" t="s">
        <v>36</v>
      </c>
      <c r="B308" s="385" t="s">
        <v>1121</v>
      </c>
      <c r="C308" s="384" t="s">
        <v>112</v>
      </c>
      <c r="D308" s="400">
        <v>10</v>
      </c>
      <c r="E308" s="401">
        <v>88160</v>
      </c>
      <c r="F308" s="410">
        <f t="shared" si="24"/>
        <v>881600</v>
      </c>
    </row>
    <row r="309" spans="1:6" ht="18" customHeight="1" x14ac:dyDescent="0.35">
      <c r="A309" s="384" t="s">
        <v>114</v>
      </c>
      <c r="B309" s="385" t="s">
        <v>1148</v>
      </c>
      <c r="C309" s="384" t="s">
        <v>112</v>
      </c>
      <c r="D309" s="400">
        <v>5</v>
      </c>
      <c r="E309" s="401">
        <v>106400</v>
      </c>
      <c r="F309" s="410">
        <f t="shared" si="24"/>
        <v>532000</v>
      </c>
    </row>
    <row r="310" spans="1:6" ht="18" customHeight="1" x14ac:dyDescent="0.35">
      <c r="A310" s="384" t="s">
        <v>39</v>
      </c>
      <c r="B310" s="385" t="s">
        <v>1149</v>
      </c>
      <c r="C310" s="384" t="s">
        <v>112</v>
      </c>
      <c r="D310" s="400">
        <v>5</v>
      </c>
      <c r="E310" s="401">
        <v>115520</v>
      </c>
      <c r="F310" s="410">
        <f t="shared" si="24"/>
        <v>577600</v>
      </c>
    </row>
    <row r="311" spans="1:6" ht="18" customHeight="1" x14ac:dyDescent="0.35">
      <c r="A311" s="384" t="s">
        <v>40</v>
      </c>
      <c r="B311" s="385" t="s">
        <v>1150</v>
      </c>
      <c r="C311" s="384" t="s">
        <v>112</v>
      </c>
      <c r="D311" s="400">
        <v>15</v>
      </c>
      <c r="E311" s="401">
        <v>127680</v>
      </c>
      <c r="F311" s="410">
        <f t="shared" si="24"/>
        <v>1915200</v>
      </c>
    </row>
    <row r="312" spans="1:6" ht="18" customHeight="1" x14ac:dyDescent="0.35">
      <c r="A312" s="384" t="s">
        <v>15</v>
      </c>
      <c r="B312" s="385" t="s">
        <v>1151</v>
      </c>
      <c r="C312" s="384" t="s">
        <v>112</v>
      </c>
      <c r="D312" s="400">
        <v>20</v>
      </c>
      <c r="E312" s="401">
        <v>173888</v>
      </c>
      <c r="F312" s="410">
        <f t="shared" si="24"/>
        <v>3477760</v>
      </c>
    </row>
    <row r="313" spans="1:6" ht="18" customHeight="1" x14ac:dyDescent="0.35">
      <c r="A313" s="384" t="s">
        <v>16</v>
      </c>
      <c r="B313" s="385" t="s">
        <v>1162</v>
      </c>
      <c r="C313" s="384" t="s">
        <v>112</v>
      </c>
      <c r="D313" s="397">
        <v>10</v>
      </c>
      <c r="E313" s="401">
        <v>197600</v>
      </c>
      <c r="F313" s="410">
        <f t="shared" si="24"/>
        <v>1976000</v>
      </c>
    </row>
    <row r="314" spans="1:6" ht="18" customHeight="1" x14ac:dyDescent="0.35">
      <c r="A314" s="384" t="s">
        <v>89</v>
      </c>
      <c r="B314" s="385" t="s">
        <v>1152</v>
      </c>
      <c r="C314" s="384" t="s">
        <v>112</v>
      </c>
      <c r="D314" s="397">
        <v>10</v>
      </c>
      <c r="E314" s="401">
        <v>215840</v>
      </c>
      <c r="F314" s="410">
        <f t="shared" si="24"/>
        <v>2158400</v>
      </c>
    </row>
    <row r="315" spans="1:6" ht="18" customHeight="1" x14ac:dyDescent="0.35">
      <c r="A315" s="386"/>
      <c r="B315" s="383" t="s">
        <v>1122</v>
      </c>
      <c r="C315" s="396"/>
      <c r="D315" s="397"/>
      <c r="E315" s="399"/>
      <c r="F315" s="413"/>
    </row>
    <row r="316" spans="1:6" ht="18" customHeight="1" x14ac:dyDescent="0.35">
      <c r="A316" s="384" t="s">
        <v>17</v>
      </c>
      <c r="B316" s="385" t="s">
        <v>1123</v>
      </c>
      <c r="C316" s="384" t="s">
        <v>1124</v>
      </c>
      <c r="D316" s="400">
        <v>30</v>
      </c>
      <c r="E316" s="401">
        <v>197600</v>
      </c>
      <c r="F316" s="410">
        <f>D316*E316</f>
        <v>5928000</v>
      </c>
    </row>
    <row r="317" spans="1:6" ht="46.5" customHeight="1" x14ac:dyDescent="0.35">
      <c r="A317" s="384" t="s">
        <v>90</v>
      </c>
      <c r="B317" s="385" t="s">
        <v>1125</v>
      </c>
      <c r="C317" s="384" t="s">
        <v>112</v>
      </c>
      <c r="D317" s="400">
        <v>10</v>
      </c>
      <c r="E317" s="401">
        <v>215840</v>
      </c>
      <c r="F317" s="410">
        <f>D317*E317</f>
        <v>2158400</v>
      </c>
    </row>
    <row r="318" spans="1:6" ht="40.9" customHeight="1" x14ac:dyDescent="0.35">
      <c r="A318" s="384" t="s">
        <v>88</v>
      </c>
      <c r="B318" s="385" t="s">
        <v>1126</v>
      </c>
      <c r="C318" s="384" t="s">
        <v>112</v>
      </c>
      <c r="D318" s="400">
        <v>540</v>
      </c>
      <c r="E318" s="401">
        <v>6779.6640000000007</v>
      </c>
      <c r="F318" s="410">
        <f>D318*E318</f>
        <v>3661018.5600000005</v>
      </c>
    </row>
    <row r="319" spans="1:6" ht="16.5" customHeight="1" x14ac:dyDescent="0.35">
      <c r="A319" s="386"/>
      <c r="B319" s="383" t="s">
        <v>1127</v>
      </c>
      <c r="C319" s="396"/>
      <c r="D319" s="397"/>
      <c r="E319" s="398">
        <v>0</v>
      </c>
      <c r="F319" s="413"/>
    </row>
    <row r="320" spans="1:6" ht="16.5" customHeight="1" x14ac:dyDescent="0.35">
      <c r="A320" s="384" t="s">
        <v>33</v>
      </c>
      <c r="B320" s="385" t="s">
        <v>1128</v>
      </c>
      <c r="C320" s="384" t="s">
        <v>112</v>
      </c>
      <c r="D320" s="400">
        <v>100</v>
      </c>
      <c r="E320" s="401">
        <v>6080</v>
      </c>
      <c r="F320" s="410">
        <f t="shared" ref="F320:F322" si="25">D320*E320</f>
        <v>608000</v>
      </c>
    </row>
    <row r="321" spans="1:6" ht="16.5" customHeight="1" x14ac:dyDescent="0.35">
      <c r="A321" s="384" t="s">
        <v>34</v>
      </c>
      <c r="B321" s="385" t="s">
        <v>1129</v>
      </c>
      <c r="C321" s="384" t="s">
        <v>112</v>
      </c>
      <c r="D321" s="400">
        <v>70</v>
      </c>
      <c r="E321" s="401">
        <v>9120</v>
      </c>
      <c r="F321" s="410">
        <f t="shared" si="25"/>
        <v>638400</v>
      </c>
    </row>
    <row r="322" spans="1:6" ht="16.5" customHeight="1" x14ac:dyDescent="0.35">
      <c r="A322" s="386" t="s">
        <v>34</v>
      </c>
      <c r="B322" s="385" t="s">
        <v>1130</v>
      </c>
      <c r="C322" s="384" t="s">
        <v>112</v>
      </c>
      <c r="D322" s="400">
        <v>50</v>
      </c>
      <c r="E322" s="401">
        <v>12160</v>
      </c>
      <c r="F322" s="410">
        <f t="shared" si="25"/>
        <v>608000</v>
      </c>
    </row>
    <row r="323" spans="1:6" ht="16.5" customHeight="1" x14ac:dyDescent="0.35">
      <c r="A323" s="386"/>
      <c r="B323" s="385"/>
      <c r="C323" s="384"/>
      <c r="D323" s="400"/>
      <c r="E323" s="401"/>
      <c r="F323" s="410"/>
    </row>
    <row r="324" spans="1:6" ht="16.5" customHeight="1" x14ac:dyDescent="0.35">
      <c r="A324" s="386"/>
      <c r="B324" s="385"/>
      <c r="C324" s="384"/>
      <c r="D324" s="400"/>
      <c r="E324" s="401"/>
      <c r="F324" s="410"/>
    </row>
    <row r="325" spans="1:6" ht="16.5" customHeight="1" x14ac:dyDescent="0.35">
      <c r="A325" s="386"/>
      <c r="B325" s="385"/>
      <c r="C325" s="384"/>
      <c r="D325" s="400"/>
      <c r="E325" s="401"/>
      <c r="F325" s="410"/>
    </row>
    <row r="326" spans="1:6" ht="16.5" customHeight="1" x14ac:dyDescent="0.35">
      <c r="A326" s="386"/>
      <c r="B326" s="385"/>
      <c r="C326" s="384"/>
      <c r="D326" s="400"/>
      <c r="E326" s="401"/>
      <c r="F326" s="410"/>
    </row>
    <row r="327" spans="1:6" ht="16.5" customHeight="1" x14ac:dyDescent="0.35">
      <c r="A327" s="386"/>
      <c r="B327" s="385"/>
      <c r="C327" s="384"/>
      <c r="D327" s="400"/>
      <c r="E327" s="401"/>
      <c r="F327" s="410"/>
    </row>
    <row r="328" spans="1:6" ht="16.5" customHeight="1" x14ac:dyDescent="0.35">
      <c r="A328" s="386"/>
      <c r="B328" s="385"/>
      <c r="C328" s="384"/>
      <c r="D328" s="400"/>
      <c r="E328" s="401"/>
      <c r="F328" s="410"/>
    </row>
    <row r="329" spans="1:6" ht="16.5" customHeight="1" x14ac:dyDescent="0.35">
      <c r="A329" s="386"/>
      <c r="B329" s="385"/>
      <c r="C329" s="384"/>
      <c r="D329" s="400"/>
      <c r="E329" s="401"/>
      <c r="F329" s="410"/>
    </row>
    <row r="330" spans="1:6" ht="16.5" customHeight="1" x14ac:dyDescent="0.35">
      <c r="A330" s="378"/>
      <c r="B330" s="379" t="s">
        <v>1227</v>
      </c>
      <c r="C330" s="378"/>
      <c r="D330" s="391"/>
      <c r="E330" s="391"/>
      <c r="F330" s="411">
        <f>SUM(F271:F322)</f>
        <v>156916487.10400003</v>
      </c>
    </row>
    <row r="331" spans="1:6" ht="16.149999999999999" customHeight="1" x14ac:dyDescent="0.35">
      <c r="A331" s="378"/>
      <c r="B331" s="379"/>
      <c r="C331" s="378"/>
      <c r="D331" s="391"/>
      <c r="E331" s="404"/>
      <c r="F331" s="413"/>
    </row>
    <row r="332" spans="1:6" ht="16.5" customHeight="1" x14ac:dyDescent="0.35">
      <c r="A332" s="406"/>
      <c r="B332" s="382"/>
      <c r="C332" s="406"/>
      <c r="D332" s="407"/>
      <c r="E332" s="395"/>
      <c r="F332" s="413"/>
    </row>
    <row r="333" spans="1:6" ht="16.25" customHeight="1" x14ac:dyDescent="0.35">
      <c r="A333" s="392"/>
      <c r="B333" s="382" t="s">
        <v>1183</v>
      </c>
      <c r="C333" s="393"/>
      <c r="D333" s="394"/>
      <c r="E333" s="395"/>
      <c r="F333" s="412"/>
    </row>
    <row r="334" spans="1:6" ht="16.25" customHeight="1" x14ac:dyDescent="0.35">
      <c r="A334" s="386"/>
      <c r="B334" s="383" t="s">
        <v>540</v>
      </c>
      <c r="C334" s="396"/>
      <c r="D334" s="397"/>
      <c r="E334" s="398"/>
      <c r="F334" s="412"/>
    </row>
    <row r="335" spans="1:6" ht="16.25" customHeight="1" x14ac:dyDescent="0.35">
      <c r="A335" s="386"/>
      <c r="B335" s="383" t="s">
        <v>1104</v>
      </c>
      <c r="C335" s="396"/>
      <c r="D335" s="397"/>
      <c r="E335" s="398"/>
      <c r="F335" s="413"/>
    </row>
    <row r="336" spans="1:6" ht="16.25" customHeight="1" x14ac:dyDescent="0.35">
      <c r="A336" s="386"/>
      <c r="B336" s="383" t="s">
        <v>1105</v>
      </c>
      <c r="C336" s="396"/>
      <c r="D336" s="397"/>
      <c r="E336" s="398"/>
      <c r="F336" s="413"/>
    </row>
    <row r="337" spans="1:6" ht="28.9" customHeight="1" x14ac:dyDescent="0.35">
      <c r="A337" s="386"/>
      <c r="B337" s="383" t="s">
        <v>1221</v>
      </c>
      <c r="C337" s="396"/>
      <c r="D337" s="397"/>
      <c r="E337" s="398"/>
      <c r="F337" s="413"/>
    </row>
    <row r="338" spans="1:6" ht="28.9" customHeight="1" x14ac:dyDescent="0.35">
      <c r="A338" s="386"/>
      <c r="B338" s="383" t="s">
        <v>1222</v>
      </c>
      <c r="C338" s="396"/>
      <c r="D338" s="397"/>
      <c r="E338" s="398"/>
      <c r="F338" s="413"/>
    </row>
    <row r="339" spans="1:6" ht="28.9" customHeight="1" x14ac:dyDescent="0.35">
      <c r="A339" s="386"/>
      <c r="B339" s="383" t="s">
        <v>1223</v>
      </c>
      <c r="C339" s="396"/>
      <c r="D339" s="397"/>
      <c r="E339" s="398"/>
      <c r="F339" s="413"/>
    </row>
    <row r="340" spans="1:6" ht="28.9" customHeight="1" x14ac:dyDescent="0.35">
      <c r="A340" s="386"/>
      <c r="B340" s="383" t="s">
        <v>1105</v>
      </c>
      <c r="C340" s="396"/>
      <c r="D340" s="397"/>
      <c r="E340" s="399"/>
      <c r="F340" s="413"/>
    </row>
    <row r="341" spans="1:6" ht="28.9" customHeight="1" x14ac:dyDescent="0.35">
      <c r="A341" s="384" t="s">
        <v>31</v>
      </c>
      <c r="B341" s="385" t="s">
        <v>1159</v>
      </c>
      <c r="C341" s="384" t="s">
        <v>1107</v>
      </c>
      <c r="D341" s="400">
        <v>2</v>
      </c>
      <c r="E341" s="401">
        <v>2225383.048</v>
      </c>
      <c r="F341" s="410">
        <f t="shared" ref="F341:F348" si="26">D341*E341</f>
        <v>4450766.0959999999</v>
      </c>
    </row>
    <row r="342" spans="1:6" ht="28.9" customHeight="1" x14ac:dyDescent="0.35">
      <c r="A342" s="384" t="s">
        <v>33</v>
      </c>
      <c r="B342" s="385" t="s">
        <v>1131</v>
      </c>
      <c r="C342" s="384" t="s">
        <v>1107</v>
      </c>
      <c r="D342" s="400">
        <v>1</v>
      </c>
      <c r="E342" s="401">
        <v>2333586.44</v>
      </c>
      <c r="F342" s="410">
        <f t="shared" si="26"/>
        <v>2333586.44</v>
      </c>
    </row>
    <row r="343" spans="1:6" ht="28.9" customHeight="1" x14ac:dyDescent="0.35">
      <c r="A343" s="384" t="s">
        <v>33</v>
      </c>
      <c r="B343" s="385" t="s">
        <v>1153</v>
      </c>
      <c r="C343" s="384" t="s">
        <v>1107</v>
      </c>
      <c r="D343" s="400">
        <v>2</v>
      </c>
      <c r="E343" s="401">
        <v>2434576.2719999999</v>
      </c>
      <c r="F343" s="410">
        <f t="shared" si="26"/>
        <v>4869152.5439999998</v>
      </c>
    </row>
    <row r="344" spans="1:6" ht="28.9" customHeight="1" x14ac:dyDescent="0.35">
      <c r="A344" s="384" t="s">
        <v>34</v>
      </c>
      <c r="B344" s="385" t="s">
        <v>1154</v>
      </c>
      <c r="C344" s="384" t="s">
        <v>1107</v>
      </c>
      <c r="D344" s="400">
        <v>3</v>
      </c>
      <c r="E344" s="401">
        <v>2614915.2560000001</v>
      </c>
      <c r="F344" s="410">
        <f t="shared" si="26"/>
        <v>7844745.7680000002</v>
      </c>
    </row>
    <row r="345" spans="1:6" ht="28.9" customHeight="1" x14ac:dyDescent="0.35">
      <c r="A345" s="384" t="s">
        <v>32</v>
      </c>
      <c r="B345" s="385" t="s">
        <v>1106</v>
      </c>
      <c r="C345" s="384" t="s">
        <v>1107</v>
      </c>
      <c r="D345" s="400">
        <v>4</v>
      </c>
      <c r="E345" s="401">
        <v>3062155.9360000002</v>
      </c>
      <c r="F345" s="410">
        <f t="shared" si="26"/>
        <v>12248623.744000001</v>
      </c>
    </row>
    <row r="346" spans="1:6" ht="28.9" customHeight="1" x14ac:dyDescent="0.35">
      <c r="A346" s="384" t="s">
        <v>33</v>
      </c>
      <c r="B346" s="385" t="s">
        <v>1132</v>
      </c>
      <c r="C346" s="384" t="s">
        <v>1107</v>
      </c>
      <c r="D346" s="400">
        <v>2</v>
      </c>
      <c r="E346" s="401">
        <v>3163145.7600000002</v>
      </c>
      <c r="F346" s="410">
        <f t="shared" si="26"/>
        <v>6326291.5200000005</v>
      </c>
    </row>
    <row r="347" spans="1:6" ht="28.9" customHeight="1" x14ac:dyDescent="0.35">
      <c r="A347" s="384" t="s">
        <v>34</v>
      </c>
      <c r="B347" s="385" t="s">
        <v>1133</v>
      </c>
      <c r="C347" s="384" t="s">
        <v>1107</v>
      </c>
      <c r="D347" s="400">
        <v>1</v>
      </c>
      <c r="E347" s="401">
        <v>3480542.3760000002</v>
      </c>
      <c r="F347" s="410">
        <f t="shared" si="26"/>
        <v>3480542.3760000002</v>
      </c>
    </row>
    <row r="348" spans="1:6" ht="28.9" customHeight="1" x14ac:dyDescent="0.35">
      <c r="A348" s="384" t="s">
        <v>32</v>
      </c>
      <c r="B348" s="385" t="s">
        <v>1108</v>
      </c>
      <c r="C348" s="384" t="s">
        <v>1107</v>
      </c>
      <c r="D348" s="400">
        <v>15</v>
      </c>
      <c r="E348" s="401">
        <v>360677.96800000005</v>
      </c>
      <c r="F348" s="410">
        <f t="shared" si="26"/>
        <v>5410169.5200000005</v>
      </c>
    </row>
    <row r="349" spans="1:6" ht="15.85" customHeight="1" x14ac:dyDescent="0.35">
      <c r="A349" s="386"/>
      <c r="B349" s="383" t="s">
        <v>1109</v>
      </c>
      <c r="C349" s="396"/>
      <c r="D349" s="397"/>
      <c r="E349" s="398">
        <v>0</v>
      </c>
      <c r="F349" s="413"/>
    </row>
    <row r="350" spans="1:6" ht="15.85" customHeight="1" x14ac:dyDescent="0.35">
      <c r="A350" s="384" t="s">
        <v>33</v>
      </c>
      <c r="B350" s="385" t="s">
        <v>1163</v>
      </c>
      <c r="C350" s="384" t="s">
        <v>1027</v>
      </c>
      <c r="D350" s="400">
        <v>7</v>
      </c>
      <c r="E350" s="401">
        <v>605938.98400000005</v>
      </c>
      <c r="F350" s="410">
        <f t="shared" ref="F350:F351" si="27">D350*E350</f>
        <v>4241572.8880000003</v>
      </c>
    </row>
    <row r="351" spans="1:6" ht="15.85" customHeight="1" x14ac:dyDescent="0.35">
      <c r="A351" s="386"/>
      <c r="B351" s="385" t="s">
        <v>1164</v>
      </c>
      <c r="C351" s="384" t="s">
        <v>1027</v>
      </c>
      <c r="D351" s="400">
        <v>8</v>
      </c>
      <c r="E351" s="401">
        <v>454454.24000000005</v>
      </c>
      <c r="F351" s="410">
        <f t="shared" si="27"/>
        <v>3635633.9200000004</v>
      </c>
    </row>
    <row r="352" spans="1:6" ht="15.85" customHeight="1" x14ac:dyDescent="0.35">
      <c r="A352" s="386"/>
      <c r="B352" s="383" t="s">
        <v>1111</v>
      </c>
      <c r="C352" s="396"/>
      <c r="D352" s="397"/>
      <c r="E352" s="398"/>
      <c r="F352" s="413"/>
    </row>
    <row r="353" spans="1:6" ht="28.9" customHeight="1" x14ac:dyDescent="0.35">
      <c r="A353" s="386"/>
      <c r="B353" s="383" t="s">
        <v>1190</v>
      </c>
      <c r="C353" s="396"/>
      <c r="D353" s="397"/>
      <c r="E353" s="398"/>
      <c r="F353" s="413"/>
    </row>
    <row r="354" spans="1:6" ht="28.9" customHeight="1" x14ac:dyDescent="0.35">
      <c r="A354" s="386"/>
      <c r="B354" s="383" t="s">
        <v>1191</v>
      </c>
      <c r="C354" s="396"/>
      <c r="D354" s="397"/>
      <c r="E354" s="398"/>
      <c r="F354" s="413"/>
    </row>
    <row r="355" spans="1:6" ht="28.9" customHeight="1" x14ac:dyDescent="0.35">
      <c r="A355" s="386"/>
      <c r="B355" s="383" t="s">
        <v>1192</v>
      </c>
      <c r="C355" s="396"/>
      <c r="D355" s="397"/>
      <c r="E355" s="398"/>
      <c r="F355" s="413"/>
    </row>
    <row r="356" spans="1:6" ht="28.9" customHeight="1" x14ac:dyDescent="0.35">
      <c r="A356" s="386"/>
      <c r="B356" s="383" t="s">
        <v>1193</v>
      </c>
      <c r="C356" s="396"/>
      <c r="D356" s="397"/>
      <c r="E356" s="398"/>
      <c r="F356" s="413"/>
    </row>
    <row r="357" spans="1:6" ht="28.9" customHeight="1" x14ac:dyDescent="0.35">
      <c r="A357" s="386"/>
      <c r="B357" s="383" t="s">
        <v>1112</v>
      </c>
      <c r="C357" s="396"/>
      <c r="D357" s="397"/>
      <c r="E357" s="398"/>
      <c r="F357" s="413"/>
    </row>
    <row r="358" spans="1:6" ht="28.9" customHeight="1" x14ac:dyDescent="0.35">
      <c r="A358" s="384" t="s">
        <v>31</v>
      </c>
      <c r="B358" s="385" t="s">
        <v>1156</v>
      </c>
      <c r="C358" s="384" t="s">
        <v>1107</v>
      </c>
      <c r="D358" s="400">
        <v>1</v>
      </c>
      <c r="E358" s="401">
        <v>23584216.952000003</v>
      </c>
      <c r="F358" s="410">
        <f t="shared" ref="F358:F359" si="28">D358*E358</f>
        <v>23584216.952000003</v>
      </c>
    </row>
    <row r="359" spans="1:6" ht="15.4" customHeight="1" x14ac:dyDescent="0.35">
      <c r="A359" s="384" t="s">
        <v>32</v>
      </c>
      <c r="B359" s="385" t="s">
        <v>1165</v>
      </c>
      <c r="C359" s="384" t="s">
        <v>1107</v>
      </c>
      <c r="D359" s="400">
        <v>1</v>
      </c>
      <c r="E359" s="401">
        <v>29102589.832000002</v>
      </c>
      <c r="F359" s="410">
        <f t="shared" si="28"/>
        <v>29102589.832000002</v>
      </c>
    </row>
    <row r="360" spans="1:6" ht="14.25" customHeight="1" x14ac:dyDescent="0.35">
      <c r="A360" s="386"/>
      <c r="B360" s="383" t="s">
        <v>1113</v>
      </c>
      <c r="C360" s="396"/>
      <c r="D360" s="397"/>
      <c r="E360" s="398">
        <v>0</v>
      </c>
      <c r="F360" s="413"/>
    </row>
    <row r="361" spans="1:6" ht="28.9" customHeight="1" x14ac:dyDescent="0.35">
      <c r="A361" s="386"/>
      <c r="B361" s="383" t="s">
        <v>1114</v>
      </c>
      <c r="C361" s="396"/>
      <c r="D361" s="397"/>
      <c r="E361" s="398">
        <v>0</v>
      </c>
      <c r="F361" s="413"/>
    </row>
    <row r="362" spans="1:6" ht="15" customHeight="1" x14ac:dyDescent="0.35">
      <c r="A362" s="384" t="s">
        <v>1138</v>
      </c>
      <c r="B362" s="385" t="s">
        <v>1115</v>
      </c>
      <c r="C362" s="384" t="s">
        <v>1107</v>
      </c>
      <c r="D362" s="400">
        <v>3</v>
      </c>
      <c r="E362" s="401">
        <v>274115.25599999999</v>
      </c>
      <c r="F362" s="410">
        <f t="shared" ref="F362:F365" si="29">D362*E362</f>
        <v>822345.76799999992</v>
      </c>
    </row>
    <row r="363" spans="1:6" ht="15" customHeight="1" x14ac:dyDescent="0.35">
      <c r="A363" s="384" t="s">
        <v>1139</v>
      </c>
      <c r="B363" s="385" t="s">
        <v>1116</v>
      </c>
      <c r="C363" s="384" t="s">
        <v>1107</v>
      </c>
      <c r="D363" s="400">
        <v>8</v>
      </c>
      <c r="E363" s="401">
        <v>346250.848</v>
      </c>
      <c r="F363" s="410">
        <f t="shared" si="29"/>
        <v>2770006.784</v>
      </c>
    </row>
    <row r="364" spans="1:6" ht="15" customHeight="1" x14ac:dyDescent="0.35">
      <c r="A364" s="384" t="s">
        <v>1140</v>
      </c>
      <c r="B364" s="385" t="s">
        <v>1141</v>
      </c>
      <c r="C364" s="384" t="s">
        <v>1107</v>
      </c>
      <c r="D364" s="400">
        <v>3</v>
      </c>
      <c r="E364" s="401">
        <v>555444.06400000001</v>
      </c>
      <c r="F364" s="410">
        <f t="shared" si="29"/>
        <v>1666332.192</v>
      </c>
    </row>
    <row r="365" spans="1:6" ht="15" customHeight="1" x14ac:dyDescent="0.35">
      <c r="A365" s="384" t="s">
        <v>1142</v>
      </c>
      <c r="B365" s="385" t="s">
        <v>1143</v>
      </c>
      <c r="C365" s="384" t="s">
        <v>1107</v>
      </c>
      <c r="D365" s="400">
        <v>1</v>
      </c>
      <c r="E365" s="401">
        <v>483308.47200000001</v>
      </c>
      <c r="F365" s="410">
        <f t="shared" si="29"/>
        <v>483308.47200000001</v>
      </c>
    </row>
    <row r="366" spans="1:6" ht="15" customHeight="1" x14ac:dyDescent="0.35">
      <c r="A366" s="384" t="s">
        <v>1144</v>
      </c>
      <c r="B366" s="385" t="s">
        <v>1145</v>
      </c>
      <c r="C366" s="384" t="s">
        <v>1107</v>
      </c>
      <c r="D366" s="397"/>
      <c r="E366" s="399"/>
      <c r="F366" s="413"/>
    </row>
    <row r="367" spans="1:6" ht="15" customHeight="1" x14ac:dyDescent="0.35">
      <c r="A367" s="384"/>
      <c r="B367" s="385"/>
      <c r="C367" s="384"/>
      <c r="D367" s="397"/>
      <c r="E367" s="399"/>
      <c r="F367" s="413"/>
    </row>
    <row r="368" spans="1:6" ht="15" customHeight="1" x14ac:dyDescent="0.35">
      <c r="A368" s="384"/>
      <c r="B368" s="385"/>
      <c r="C368" s="384"/>
      <c r="D368" s="397"/>
      <c r="E368" s="399"/>
      <c r="F368" s="413"/>
    </row>
    <row r="369" spans="1:6" ht="15" customHeight="1" x14ac:dyDescent="0.35">
      <c r="A369" s="384"/>
      <c r="B369" s="385"/>
      <c r="C369" s="384"/>
      <c r="D369" s="397"/>
      <c r="E369" s="399"/>
      <c r="F369" s="413"/>
    </row>
    <row r="370" spans="1:6" ht="15" customHeight="1" x14ac:dyDescent="0.35">
      <c r="A370" s="384"/>
      <c r="B370" s="385"/>
      <c r="C370" s="384"/>
      <c r="D370" s="397"/>
      <c r="E370" s="399"/>
      <c r="F370" s="413"/>
    </row>
    <row r="371" spans="1:6" ht="15" customHeight="1" x14ac:dyDescent="0.35">
      <c r="A371" s="378"/>
      <c r="B371" s="379"/>
      <c r="C371" s="378"/>
      <c r="D371" s="391"/>
      <c r="E371" s="391"/>
      <c r="F371" s="411"/>
    </row>
    <row r="372" spans="1:6" ht="15" customHeight="1" x14ac:dyDescent="0.35">
      <c r="A372" s="384"/>
      <c r="B372" s="385"/>
      <c r="C372" s="384"/>
      <c r="D372" s="397"/>
      <c r="E372" s="399"/>
      <c r="F372" s="413"/>
    </row>
    <row r="373" spans="1:6" ht="15" customHeight="1" x14ac:dyDescent="0.35">
      <c r="A373" s="384"/>
      <c r="B373" s="385"/>
      <c r="C373" s="384"/>
      <c r="D373" s="397"/>
      <c r="E373" s="399"/>
      <c r="F373" s="413"/>
    </row>
    <row r="374" spans="1:6" ht="28.9" customHeight="1" x14ac:dyDescent="0.35">
      <c r="A374" s="386"/>
      <c r="B374" s="383" t="s">
        <v>1117</v>
      </c>
      <c r="C374" s="396"/>
      <c r="D374" s="397"/>
      <c r="E374" s="398"/>
      <c r="F374" s="413"/>
    </row>
    <row r="375" spans="1:6" ht="14.35" customHeight="1" x14ac:dyDescent="0.35">
      <c r="A375" s="384" t="s">
        <v>31</v>
      </c>
      <c r="B375" s="385" t="s">
        <v>1146</v>
      </c>
      <c r="C375" s="384" t="s">
        <v>112</v>
      </c>
      <c r="D375" s="400">
        <v>80</v>
      </c>
      <c r="E375" s="401">
        <v>30400</v>
      </c>
      <c r="F375" s="410">
        <f t="shared" ref="F375:F382" si="30">D375*E375</f>
        <v>2432000</v>
      </c>
    </row>
    <row r="376" spans="1:6" ht="14.35" customHeight="1" x14ac:dyDescent="0.35">
      <c r="A376" s="384" t="s">
        <v>32</v>
      </c>
      <c r="B376" s="385" t="s">
        <v>1118</v>
      </c>
      <c r="C376" s="384" t="s">
        <v>112</v>
      </c>
      <c r="D376" s="400">
        <v>100</v>
      </c>
      <c r="E376" s="401">
        <v>36480</v>
      </c>
      <c r="F376" s="410">
        <f t="shared" si="30"/>
        <v>3648000</v>
      </c>
    </row>
    <row r="377" spans="1:6" ht="14.35" customHeight="1" x14ac:dyDescent="0.35">
      <c r="A377" s="384" t="s">
        <v>33</v>
      </c>
      <c r="B377" s="385" t="s">
        <v>1147</v>
      </c>
      <c r="C377" s="384" t="s">
        <v>112</v>
      </c>
      <c r="D377" s="400">
        <v>90</v>
      </c>
      <c r="E377" s="401">
        <v>42560</v>
      </c>
      <c r="F377" s="410">
        <f t="shared" si="30"/>
        <v>3830400</v>
      </c>
    </row>
    <row r="378" spans="1:6" ht="14.35" customHeight="1" x14ac:dyDescent="0.35">
      <c r="A378" s="384" t="s">
        <v>34</v>
      </c>
      <c r="B378" s="385" t="s">
        <v>1119</v>
      </c>
      <c r="C378" s="384" t="s">
        <v>112</v>
      </c>
      <c r="D378" s="400">
        <v>80</v>
      </c>
      <c r="E378" s="401">
        <v>54720</v>
      </c>
      <c r="F378" s="410">
        <f t="shared" si="30"/>
        <v>4377600</v>
      </c>
    </row>
    <row r="379" spans="1:6" ht="14.35" customHeight="1" x14ac:dyDescent="0.35">
      <c r="A379" s="384" t="s">
        <v>35</v>
      </c>
      <c r="B379" s="385" t="s">
        <v>1120</v>
      </c>
      <c r="C379" s="384" t="s">
        <v>112</v>
      </c>
      <c r="D379" s="400">
        <v>40</v>
      </c>
      <c r="E379" s="401">
        <v>76000</v>
      </c>
      <c r="F379" s="410">
        <f t="shared" si="30"/>
        <v>3040000</v>
      </c>
    </row>
    <row r="380" spans="1:6" ht="14.35" customHeight="1" x14ac:dyDescent="0.35">
      <c r="A380" s="384" t="s">
        <v>36</v>
      </c>
      <c r="B380" s="385" t="s">
        <v>1121</v>
      </c>
      <c r="C380" s="384" t="s">
        <v>112</v>
      </c>
      <c r="D380" s="400">
        <v>15</v>
      </c>
      <c r="E380" s="401">
        <v>88160</v>
      </c>
      <c r="F380" s="410">
        <f t="shared" si="30"/>
        <v>1322400</v>
      </c>
    </row>
    <row r="381" spans="1:6" ht="14.35" customHeight="1" x14ac:dyDescent="0.35">
      <c r="A381" s="384" t="s">
        <v>39</v>
      </c>
      <c r="B381" s="385" t="s">
        <v>1149</v>
      </c>
      <c r="C381" s="384" t="s">
        <v>112</v>
      </c>
      <c r="D381" s="400">
        <v>15</v>
      </c>
      <c r="E381" s="401">
        <v>115520</v>
      </c>
      <c r="F381" s="410">
        <f t="shared" si="30"/>
        <v>1732800</v>
      </c>
    </row>
    <row r="382" spans="1:6" ht="14.35" customHeight="1" x14ac:dyDescent="0.35">
      <c r="A382" s="384" t="s">
        <v>15</v>
      </c>
      <c r="B382" s="385" t="s">
        <v>1151</v>
      </c>
      <c r="C382" s="384" t="s">
        <v>112</v>
      </c>
      <c r="D382" s="400">
        <v>25</v>
      </c>
      <c r="E382" s="401">
        <v>173888</v>
      </c>
      <c r="F382" s="410">
        <f t="shared" si="30"/>
        <v>4347200</v>
      </c>
    </row>
    <row r="383" spans="1:6" ht="14.35" customHeight="1" x14ac:dyDescent="0.35">
      <c r="A383" s="386"/>
      <c r="B383" s="383" t="s">
        <v>1122</v>
      </c>
      <c r="C383" s="396"/>
      <c r="D383" s="397"/>
      <c r="E383" s="399"/>
      <c r="F383" s="413"/>
    </row>
    <row r="384" spans="1:6" ht="14.35" customHeight="1" x14ac:dyDescent="0.35">
      <c r="A384" s="384" t="s">
        <v>17</v>
      </c>
      <c r="B384" s="385" t="s">
        <v>1123</v>
      </c>
      <c r="C384" s="384" t="s">
        <v>1124</v>
      </c>
      <c r="D384" s="400">
        <v>30</v>
      </c>
      <c r="E384" s="401">
        <v>197600</v>
      </c>
      <c r="F384" s="410">
        <f t="shared" ref="F384:F386" si="31">D384*E384</f>
        <v>5928000</v>
      </c>
    </row>
    <row r="385" spans="1:6" ht="42" customHeight="1" x14ac:dyDescent="0.35">
      <c r="A385" s="384" t="s">
        <v>90</v>
      </c>
      <c r="B385" s="385" t="s">
        <v>1125</v>
      </c>
      <c r="C385" s="384" t="s">
        <v>112</v>
      </c>
      <c r="D385" s="400">
        <v>10</v>
      </c>
      <c r="E385" s="401">
        <v>215840</v>
      </c>
      <c r="F385" s="410">
        <f t="shared" si="31"/>
        <v>2158400</v>
      </c>
    </row>
    <row r="386" spans="1:6" ht="36.4" customHeight="1" x14ac:dyDescent="0.35">
      <c r="A386" s="384" t="s">
        <v>88</v>
      </c>
      <c r="B386" s="385" t="s">
        <v>1126</v>
      </c>
      <c r="C386" s="384" t="s">
        <v>112</v>
      </c>
      <c r="D386" s="400">
        <v>445</v>
      </c>
      <c r="E386" s="401">
        <v>6779.6640000000007</v>
      </c>
      <c r="F386" s="410">
        <f t="shared" si="31"/>
        <v>3016950.4800000004</v>
      </c>
    </row>
    <row r="387" spans="1:6" ht="15.4" customHeight="1" x14ac:dyDescent="0.35">
      <c r="A387" s="386"/>
      <c r="B387" s="383" t="s">
        <v>1127</v>
      </c>
      <c r="C387" s="396"/>
      <c r="D387" s="397"/>
      <c r="E387" s="398">
        <v>0</v>
      </c>
      <c r="F387" s="413"/>
    </row>
    <row r="388" spans="1:6" ht="15.4" customHeight="1" x14ac:dyDescent="0.35">
      <c r="A388" s="384" t="s">
        <v>33</v>
      </c>
      <c r="B388" s="385" t="s">
        <v>1128</v>
      </c>
      <c r="C388" s="384" t="s">
        <v>112</v>
      </c>
      <c r="D388" s="400">
        <v>100</v>
      </c>
      <c r="E388" s="401">
        <v>6080</v>
      </c>
      <c r="F388" s="410">
        <f t="shared" ref="F388:F390" si="32">D388*E388</f>
        <v>608000</v>
      </c>
    </row>
    <row r="389" spans="1:6" ht="15.4" customHeight="1" x14ac:dyDescent="0.35">
      <c r="A389" s="384" t="s">
        <v>34</v>
      </c>
      <c r="B389" s="385" t="s">
        <v>1129</v>
      </c>
      <c r="C389" s="384" t="s">
        <v>112</v>
      </c>
      <c r="D389" s="400">
        <v>70</v>
      </c>
      <c r="E389" s="401">
        <v>9120</v>
      </c>
      <c r="F389" s="410">
        <f t="shared" si="32"/>
        <v>638400</v>
      </c>
    </row>
    <row r="390" spans="1:6" ht="15.4" customHeight="1" x14ac:dyDescent="0.35">
      <c r="A390" s="384" t="s">
        <v>34</v>
      </c>
      <c r="B390" s="385" t="s">
        <v>1130</v>
      </c>
      <c r="C390" s="384" t="s">
        <v>112</v>
      </c>
      <c r="D390" s="400">
        <v>50</v>
      </c>
      <c r="E390" s="401">
        <v>12160</v>
      </c>
      <c r="F390" s="410">
        <f t="shared" si="32"/>
        <v>608000</v>
      </c>
    </row>
    <row r="391" spans="1:6" ht="15.4" customHeight="1" x14ac:dyDescent="0.35">
      <c r="A391" s="386"/>
      <c r="B391" s="383" t="s">
        <v>1166</v>
      </c>
      <c r="C391" s="396"/>
      <c r="D391" s="397"/>
      <c r="E391" s="398">
        <v>0</v>
      </c>
      <c r="F391" s="413"/>
    </row>
    <row r="392" spans="1:6" ht="28.9" customHeight="1" x14ac:dyDescent="0.35">
      <c r="A392" s="384" t="s">
        <v>1138</v>
      </c>
      <c r="B392" s="385" t="s">
        <v>1167</v>
      </c>
      <c r="C392" s="384" t="s">
        <v>1107</v>
      </c>
      <c r="D392" s="400">
        <v>2</v>
      </c>
      <c r="E392" s="401">
        <v>5688000</v>
      </c>
      <c r="F392" s="410">
        <f t="shared" ref="F392" si="33">D392*E392</f>
        <v>11376000</v>
      </c>
    </row>
    <row r="393" spans="1:6" ht="16.5" customHeight="1" x14ac:dyDescent="0.35">
      <c r="A393" s="384" t="s">
        <v>1139</v>
      </c>
      <c r="B393" s="385" t="s">
        <v>1168</v>
      </c>
      <c r="C393" s="396"/>
      <c r="D393" s="397"/>
      <c r="E393" s="398">
        <v>0</v>
      </c>
      <c r="F393" s="413"/>
    </row>
    <row r="394" spans="1:6" ht="16.5" customHeight="1" x14ac:dyDescent="0.35">
      <c r="A394" s="386"/>
      <c r="B394" s="385" t="s">
        <v>1169</v>
      </c>
      <c r="C394" s="384" t="s">
        <v>112</v>
      </c>
      <c r="D394" s="400">
        <v>30</v>
      </c>
      <c r="E394" s="401">
        <v>85016.952000000005</v>
      </c>
      <c r="F394" s="410">
        <f t="shared" ref="F394:F401" si="34">D394*E394</f>
        <v>2550508.56</v>
      </c>
    </row>
    <row r="395" spans="1:6" ht="16.5" customHeight="1" x14ac:dyDescent="0.35">
      <c r="A395" s="386"/>
      <c r="B395" s="385" t="s">
        <v>1170</v>
      </c>
      <c r="C395" s="384" t="s">
        <v>112</v>
      </c>
      <c r="D395" s="400">
        <v>100</v>
      </c>
      <c r="E395" s="401">
        <v>59511.864000000001</v>
      </c>
      <c r="F395" s="410">
        <f t="shared" si="34"/>
        <v>5951186.4000000004</v>
      </c>
    </row>
    <row r="396" spans="1:6" ht="16.5" customHeight="1" x14ac:dyDescent="0.35">
      <c r="A396" s="386"/>
      <c r="B396" s="385" t="s">
        <v>1171</v>
      </c>
      <c r="C396" s="384" t="s">
        <v>112</v>
      </c>
      <c r="D396" s="400">
        <v>320</v>
      </c>
      <c r="E396" s="401">
        <v>51010.168000000005</v>
      </c>
      <c r="F396" s="410">
        <f t="shared" si="34"/>
        <v>16323253.760000002</v>
      </c>
    </row>
    <row r="397" spans="1:6" ht="16.5" customHeight="1" x14ac:dyDescent="0.35">
      <c r="A397" s="386"/>
      <c r="B397" s="385" t="s">
        <v>1172</v>
      </c>
      <c r="C397" s="384" t="s">
        <v>112</v>
      </c>
      <c r="D397" s="400">
        <v>60</v>
      </c>
      <c r="E397" s="401">
        <v>60800</v>
      </c>
      <c r="F397" s="410">
        <f t="shared" si="34"/>
        <v>3648000</v>
      </c>
    </row>
    <row r="398" spans="1:6" ht="16.5" customHeight="1" x14ac:dyDescent="0.35">
      <c r="A398" s="384" t="s">
        <v>1140</v>
      </c>
      <c r="B398" s="385" t="s">
        <v>1173</v>
      </c>
      <c r="C398" s="384" t="s">
        <v>1174</v>
      </c>
      <c r="D398" s="400">
        <v>15</v>
      </c>
      <c r="E398" s="401">
        <v>121600</v>
      </c>
      <c r="F398" s="410">
        <f t="shared" si="34"/>
        <v>1824000</v>
      </c>
    </row>
    <row r="399" spans="1:6" ht="16.5" customHeight="1" x14ac:dyDescent="0.35">
      <c r="A399" s="384" t="s">
        <v>1142</v>
      </c>
      <c r="B399" s="385" t="s">
        <v>1175</v>
      </c>
      <c r="C399" s="384" t="s">
        <v>1174</v>
      </c>
      <c r="D399" s="400">
        <v>2</v>
      </c>
      <c r="E399" s="401">
        <v>212800</v>
      </c>
      <c r="F399" s="410">
        <f t="shared" si="34"/>
        <v>425600</v>
      </c>
    </row>
    <row r="400" spans="1:6" ht="16.5" customHeight="1" x14ac:dyDescent="0.35">
      <c r="A400" s="384" t="s">
        <v>1144</v>
      </c>
      <c r="B400" s="385" t="s">
        <v>1176</v>
      </c>
      <c r="C400" s="384" t="s">
        <v>1174</v>
      </c>
      <c r="D400" s="400">
        <v>85</v>
      </c>
      <c r="E400" s="401">
        <v>121600</v>
      </c>
      <c r="F400" s="410">
        <f t="shared" si="34"/>
        <v>10336000</v>
      </c>
    </row>
    <row r="401" spans="1:6" ht="28.9" customHeight="1" x14ac:dyDescent="0.35">
      <c r="A401" s="386" t="s">
        <v>32</v>
      </c>
      <c r="B401" s="385" t="s">
        <v>1177</v>
      </c>
      <c r="C401" s="384" t="s">
        <v>1100</v>
      </c>
      <c r="D401" s="400">
        <v>1</v>
      </c>
      <c r="E401" s="401">
        <v>20400000</v>
      </c>
      <c r="F401" s="410">
        <f t="shared" si="34"/>
        <v>20400000</v>
      </c>
    </row>
    <row r="402" spans="1:6" ht="17.350000000000001" customHeight="1" x14ac:dyDescent="0.35">
      <c r="A402" s="386"/>
      <c r="B402" s="385"/>
      <c r="C402" s="384"/>
      <c r="D402" s="400"/>
      <c r="E402" s="401"/>
      <c r="F402" s="410"/>
    </row>
    <row r="403" spans="1:6" ht="17.350000000000001" customHeight="1" x14ac:dyDescent="0.35">
      <c r="A403" s="386"/>
      <c r="B403" s="385"/>
      <c r="C403" s="384"/>
      <c r="D403" s="400"/>
      <c r="E403" s="401"/>
      <c r="F403" s="410"/>
    </row>
    <row r="404" spans="1:6" ht="17.350000000000001" customHeight="1" x14ac:dyDescent="0.35">
      <c r="A404" s="386"/>
      <c r="B404" s="385"/>
      <c r="C404" s="384"/>
      <c r="D404" s="400"/>
      <c r="E404" s="401"/>
      <c r="F404" s="410"/>
    </row>
    <row r="405" spans="1:6" ht="17.350000000000001" customHeight="1" x14ac:dyDescent="0.35">
      <c r="A405" s="386"/>
      <c r="B405" s="385"/>
      <c r="C405" s="384"/>
      <c r="D405" s="400"/>
      <c r="E405" s="401"/>
      <c r="F405" s="410"/>
    </row>
    <row r="406" spans="1:6" ht="17.350000000000001" customHeight="1" x14ac:dyDescent="0.35">
      <c r="A406" s="386"/>
      <c r="B406" s="385"/>
      <c r="C406" s="384"/>
      <c r="D406" s="400"/>
      <c r="E406" s="401"/>
      <c r="F406" s="410"/>
    </row>
    <row r="407" spans="1:6" ht="17.350000000000001" customHeight="1" x14ac:dyDescent="0.35">
      <c r="A407" s="386"/>
      <c r="B407" s="385"/>
      <c r="C407" s="384"/>
      <c r="D407" s="400"/>
      <c r="E407" s="401"/>
      <c r="F407" s="410"/>
    </row>
    <row r="408" spans="1:6" ht="17.350000000000001" customHeight="1" x14ac:dyDescent="0.35">
      <c r="A408" s="386"/>
      <c r="B408" s="385"/>
      <c r="C408" s="384"/>
      <c r="D408" s="400"/>
      <c r="E408" s="401"/>
      <c r="F408" s="410"/>
    </row>
    <row r="409" spans="1:6" ht="17.350000000000001" customHeight="1" x14ac:dyDescent="0.35">
      <c r="A409" s="386"/>
      <c r="B409" s="385"/>
      <c r="C409" s="384"/>
      <c r="D409" s="400"/>
      <c r="E409" s="401"/>
      <c r="F409" s="410"/>
    </row>
    <row r="410" spans="1:6" ht="17.350000000000001" customHeight="1" x14ac:dyDescent="0.35">
      <c r="A410" s="386"/>
      <c r="B410" s="385"/>
      <c r="C410" s="384"/>
      <c r="D410" s="400"/>
      <c r="E410" s="401"/>
      <c r="F410" s="410"/>
    </row>
    <row r="411" spans="1:6" ht="17.350000000000001" customHeight="1" x14ac:dyDescent="0.35">
      <c r="A411" s="386"/>
      <c r="B411" s="385"/>
      <c r="C411" s="384"/>
      <c r="D411" s="400"/>
      <c r="E411" s="401"/>
      <c r="F411" s="410"/>
    </row>
    <row r="412" spans="1:6" ht="17.350000000000001" customHeight="1" x14ac:dyDescent="0.35">
      <c r="A412" s="386"/>
      <c r="B412" s="385"/>
      <c r="C412" s="384"/>
      <c r="D412" s="400"/>
      <c r="E412" s="401"/>
      <c r="F412" s="410"/>
    </row>
    <row r="413" spans="1:6" ht="17.350000000000001" customHeight="1" x14ac:dyDescent="0.35">
      <c r="A413" s="386"/>
      <c r="B413" s="385"/>
      <c r="C413" s="384"/>
      <c r="D413" s="400"/>
      <c r="E413" s="401"/>
      <c r="F413" s="410"/>
    </row>
    <row r="414" spans="1:6" ht="17.350000000000001" customHeight="1" x14ac:dyDescent="0.35">
      <c r="A414" s="386"/>
      <c r="B414" s="385"/>
      <c r="C414" s="384"/>
      <c r="D414" s="400"/>
      <c r="E414" s="401"/>
      <c r="F414" s="410"/>
    </row>
    <row r="415" spans="1:6" ht="17.350000000000001" customHeight="1" x14ac:dyDescent="0.35">
      <c r="A415" s="386"/>
      <c r="B415" s="385"/>
      <c r="C415" s="384"/>
      <c r="D415" s="400"/>
      <c r="E415" s="401"/>
      <c r="F415" s="410"/>
    </row>
    <row r="416" spans="1:6" ht="17.350000000000001" customHeight="1" x14ac:dyDescent="0.35">
      <c r="A416" s="386"/>
      <c r="B416" s="385"/>
      <c r="C416" s="384"/>
      <c r="D416" s="400"/>
      <c r="E416" s="401"/>
      <c r="F416" s="410"/>
    </row>
    <row r="417" spans="1:6" ht="17.350000000000001" customHeight="1" x14ac:dyDescent="0.35">
      <c r="A417" s="386"/>
      <c r="B417" s="385"/>
      <c r="C417" s="384"/>
      <c r="D417" s="400"/>
      <c r="E417" s="401"/>
      <c r="F417" s="410"/>
    </row>
    <row r="418" spans="1:6" ht="17.350000000000001" customHeight="1" x14ac:dyDescent="0.35">
      <c r="A418" s="386"/>
      <c r="B418" s="385"/>
      <c r="C418" s="384"/>
      <c r="D418" s="400"/>
      <c r="E418" s="401"/>
      <c r="F418" s="410"/>
    </row>
    <row r="419" spans="1:6" ht="17.350000000000001" customHeight="1" x14ac:dyDescent="0.35">
      <c r="A419" s="386"/>
      <c r="B419" s="385"/>
      <c r="C419" s="384"/>
      <c r="D419" s="400"/>
      <c r="E419" s="401"/>
      <c r="F419" s="410"/>
    </row>
    <row r="420" spans="1:6" ht="17.350000000000001" customHeight="1" x14ac:dyDescent="0.35">
      <c r="A420" s="386"/>
      <c r="B420" s="385"/>
      <c r="C420" s="384"/>
      <c r="D420" s="400"/>
      <c r="E420" s="401"/>
      <c r="F420" s="410"/>
    </row>
    <row r="421" spans="1:6" ht="28.9" customHeight="1" x14ac:dyDescent="0.35">
      <c r="A421" s="378"/>
      <c r="B421" s="379" t="s">
        <v>1228</v>
      </c>
      <c r="C421" s="378"/>
      <c r="D421" s="391"/>
      <c r="E421" s="391"/>
      <c r="F421" s="411">
        <f>SUM(F337:F401)</f>
        <v>223792584.01600003</v>
      </c>
    </row>
    <row r="422" spans="1:6" ht="17.649999999999999" customHeight="1" x14ac:dyDescent="0.35">
      <c r="A422" s="406"/>
      <c r="B422" s="382"/>
      <c r="C422" s="406"/>
      <c r="D422" s="407"/>
      <c r="E422" s="407"/>
      <c r="F422" s="488"/>
    </row>
    <row r="423" spans="1:6" ht="16.25" customHeight="1" x14ac:dyDescent="0.35">
      <c r="A423" s="392"/>
      <c r="B423" s="382" t="s">
        <v>1183</v>
      </c>
      <c r="C423" s="393"/>
      <c r="D423" s="394"/>
      <c r="E423" s="395"/>
      <c r="F423" s="412"/>
    </row>
    <row r="424" spans="1:6" ht="16.25" customHeight="1" x14ac:dyDescent="0.35">
      <c r="A424" s="386"/>
      <c r="B424" s="383" t="s">
        <v>1234</v>
      </c>
      <c r="C424" s="396"/>
      <c r="D424" s="397"/>
      <c r="E424" s="398"/>
      <c r="F424" s="412"/>
    </row>
    <row r="425" spans="1:6" ht="16.25" customHeight="1" x14ac:dyDescent="0.35">
      <c r="A425" s="386"/>
      <c r="B425" s="383" t="s">
        <v>1104</v>
      </c>
      <c r="C425" s="396"/>
      <c r="D425" s="397"/>
      <c r="E425" s="398"/>
      <c r="F425" s="413"/>
    </row>
    <row r="426" spans="1:6" ht="16.25" customHeight="1" x14ac:dyDescent="0.35">
      <c r="A426" s="386"/>
      <c r="B426" s="383" t="s">
        <v>1105</v>
      </c>
      <c r="C426" s="396"/>
      <c r="D426" s="397"/>
      <c r="E426" s="398"/>
      <c r="F426" s="413"/>
    </row>
    <row r="427" spans="1:6" ht="28.9" customHeight="1" x14ac:dyDescent="0.35">
      <c r="A427" s="386"/>
      <c r="B427" s="383" t="s">
        <v>1221</v>
      </c>
      <c r="C427" s="396"/>
      <c r="D427" s="397"/>
      <c r="E427" s="398"/>
      <c r="F427" s="413"/>
    </row>
    <row r="428" spans="1:6" ht="28.9" customHeight="1" x14ac:dyDescent="0.35">
      <c r="A428" s="386"/>
      <c r="B428" s="383" t="s">
        <v>1222</v>
      </c>
      <c r="C428" s="396"/>
      <c r="D428" s="397"/>
      <c r="E428" s="398"/>
      <c r="F428" s="413"/>
    </row>
    <row r="429" spans="1:6" ht="28.9" customHeight="1" x14ac:dyDescent="0.35">
      <c r="A429" s="386"/>
      <c r="B429" s="383" t="s">
        <v>1223</v>
      </c>
      <c r="C429" s="396"/>
      <c r="D429" s="397"/>
      <c r="E429" s="398"/>
      <c r="F429" s="413"/>
    </row>
    <row r="430" spans="1:6" ht="28.9" customHeight="1" x14ac:dyDescent="0.35">
      <c r="A430" s="386"/>
      <c r="B430" s="383" t="s">
        <v>1105</v>
      </c>
      <c r="C430" s="396"/>
      <c r="D430" s="397"/>
      <c r="E430" s="399"/>
      <c r="F430" s="413"/>
    </row>
    <row r="431" spans="1:6" ht="28.9" customHeight="1" x14ac:dyDescent="0.35">
      <c r="A431" s="384" t="s">
        <v>31</v>
      </c>
      <c r="B431" s="385" t="s">
        <v>1159</v>
      </c>
      <c r="C431" s="384" t="s">
        <v>1107</v>
      </c>
      <c r="D431" s="400">
        <v>2</v>
      </c>
      <c r="E431" s="401">
        <v>2225383.048</v>
      </c>
      <c r="F431" s="410">
        <f t="shared" ref="F431:F438" si="35">D431*E431</f>
        <v>4450766.0959999999</v>
      </c>
    </row>
    <row r="432" spans="1:6" ht="28.9" customHeight="1" x14ac:dyDescent="0.35">
      <c r="A432" s="384" t="s">
        <v>33</v>
      </c>
      <c r="B432" s="385" t="s">
        <v>1131</v>
      </c>
      <c r="C432" s="384" t="s">
        <v>1107</v>
      </c>
      <c r="D432" s="400">
        <v>1</v>
      </c>
      <c r="E432" s="401">
        <v>2333586.44</v>
      </c>
      <c r="F432" s="410">
        <f t="shared" si="35"/>
        <v>2333586.44</v>
      </c>
    </row>
    <row r="433" spans="1:6" ht="28.9" customHeight="1" x14ac:dyDescent="0.35">
      <c r="A433" s="384" t="s">
        <v>33</v>
      </c>
      <c r="B433" s="385" t="s">
        <v>1153</v>
      </c>
      <c r="C433" s="384" t="s">
        <v>1107</v>
      </c>
      <c r="D433" s="400">
        <v>2</v>
      </c>
      <c r="E433" s="401">
        <v>2434576.2719999999</v>
      </c>
      <c r="F433" s="410">
        <f t="shared" si="35"/>
        <v>4869152.5439999998</v>
      </c>
    </row>
    <row r="434" spans="1:6" ht="28.9" customHeight="1" x14ac:dyDescent="0.35">
      <c r="A434" s="384" t="s">
        <v>34</v>
      </c>
      <c r="B434" s="385" t="s">
        <v>1154</v>
      </c>
      <c r="C434" s="384" t="s">
        <v>1107</v>
      </c>
      <c r="D434" s="400">
        <v>3</v>
      </c>
      <c r="E434" s="401">
        <v>2614915.2560000001</v>
      </c>
      <c r="F434" s="410">
        <f t="shared" si="35"/>
        <v>7844745.7680000002</v>
      </c>
    </row>
    <row r="435" spans="1:6" ht="28.9" customHeight="1" x14ac:dyDescent="0.35">
      <c r="A435" s="384" t="s">
        <v>32</v>
      </c>
      <c r="B435" s="385" t="s">
        <v>1106</v>
      </c>
      <c r="C435" s="384" t="s">
        <v>1107</v>
      </c>
      <c r="D435" s="400">
        <v>4</v>
      </c>
      <c r="E435" s="401">
        <v>3062155.9360000002</v>
      </c>
      <c r="F435" s="410">
        <f t="shared" si="35"/>
        <v>12248623.744000001</v>
      </c>
    </row>
    <row r="436" spans="1:6" ht="28.9" customHeight="1" x14ac:dyDescent="0.35">
      <c r="A436" s="384" t="s">
        <v>33</v>
      </c>
      <c r="B436" s="385" t="s">
        <v>1132</v>
      </c>
      <c r="C436" s="384" t="s">
        <v>1107</v>
      </c>
      <c r="D436" s="400">
        <v>2</v>
      </c>
      <c r="E436" s="401">
        <v>3163145.7600000002</v>
      </c>
      <c r="F436" s="410">
        <f t="shared" si="35"/>
        <v>6326291.5200000005</v>
      </c>
    </row>
    <row r="437" spans="1:6" ht="28.9" customHeight="1" x14ac:dyDescent="0.35">
      <c r="A437" s="384" t="s">
        <v>34</v>
      </c>
      <c r="B437" s="385" t="s">
        <v>1133</v>
      </c>
      <c r="C437" s="384" t="s">
        <v>1107</v>
      </c>
      <c r="D437" s="400">
        <v>1</v>
      </c>
      <c r="E437" s="401">
        <v>3480542.3760000002</v>
      </c>
      <c r="F437" s="410">
        <f t="shared" si="35"/>
        <v>3480542.3760000002</v>
      </c>
    </row>
    <row r="438" spans="1:6" ht="28.9" customHeight="1" x14ac:dyDescent="0.35">
      <c r="A438" s="384" t="s">
        <v>32</v>
      </c>
      <c r="B438" s="385" t="s">
        <v>1108</v>
      </c>
      <c r="C438" s="384" t="s">
        <v>1107</v>
      </c>
      <c r="D438" s="400">
        <v>15</v>
      </c>
      <c r="E438" s="401">
        <v>360677.96800000005</v>
      </c>
      <c r="F438" s="410">
        <f t="shared" si="35"/>
        <v>5410169.5200000005</v>
      </c>
    </row>
    <row r="439" spans="1:6" ht="15.85" customHeight="1" x14ac:dyDescent="0.35">
      <c r="A439" s="386"/>
      <c r="B439" s="383" t="s">
        <v>1109</v>
      </c>
      <c r="C439" s="396"/>
      <c r="D439" s="397"/>
      <c r="E439" s="398">
        <v>0</v>
      </c>
      <c r="F439" s="413"/>
    </row>
    <row r="440" spans="1:6" ht="15.85" customHeight="1" x14ac:dyDescent="0.35">
      <c r="A440" s="384" t="s">
        <v>33</v>
      </c>
      <c r="B440" s="385" t="s">
        <v>1163</v>
      </c>
      <c r="C440" s="384" t="s">
        <v>1027</v>
      </c>
      <c r="D440" s="400">
        <v>7</v>
      </c>
      <c r="E440" s="401">
        <v>605938.98400000005</v>
      </c>
      <c r="F440" s="410">
        <f t="shared" ref="F440:F441" si="36">D440*E440</f>
        <v>4241572.8880000003</v>
      </c>
    </row>
    <row r="441" spans="1:6" ht="15.85" customHeight="1" x14ac:dyDescent="0.35">
      <c r="A441" s="386"/>
      <c r="B441" s="385" t="s">
        <v>1164</v>
      </c>
      <c r="C441" s="384" t="s">
        <v>1027</v>
      </c>
      <c r="D441" s="400">
        <v>8</v>
      </c>
      <c r="E441" s="401">
        <v>454454.24000000005</v>
      </c>
      <c r="F441" s="410">
        <f t="shared" si="36"/>
        <v>3635633.9200000004</v>
      </c>
    </row>
    <row r="442" spans="1:6" ht="15.85" customHeight="1" x14ac:dyDescent="0.35">
      <c r="A442" s="386"/>
      <c r="B442" s="383" t="s">
        <v>1111</v>
      </c>
      <c r="C442" s="396"/>
      <c r="D442" s="397"/>
      <c r="E442" s="398"/>
      <c r="F442" s="413"/>
    </row>
    <row r="443" spans="1:6" ht="28.9" customHeight="1" x14ac:dyDescent="0.35">
      <c r="A443" s="386"/>
      <c r="B443" s="383" t="s">
        <v>1190</v>
      </c>
      <c r="C443" s="396"/>
      <c r="D443" s="397"/>
      <c r="E443" s="398"/>
      <c r="F443" s="413"/>
    </row>
    <row r="444" spans="1:6" ht="28.9" customHeight="1" x14ac:dyDescent="0.35">
      <c r="A444" s="386"/>
      <c r="B444" s="383" t="s">
        <v>1191</v>
      </c>
      <c r="C444" s="396"/>
      <c r="D444" s="397"/>
      <c r="E444" s="398"/>
      <c r="F444" s="413"/>
    </row>
    <row r="445" spans="1:6" ht="28.9" customHeight="1" x14ac:dyDescent="0.35">
      <c r="A445" s="386"/>
      <c r="B445" s="383" t="s">
        <v>1192</v>
      </c>
      <c r="C445" s="396"/>
      <c r="D445" s="397"/>
      <c r="E445" s="398"/>
      <c r="F445" s="413"/>
    </row>
    <row r="446" spans="1:6" ht="28.9" customHeight="1" x14ac:dyDescent="0.35">
      <c r="A446" s="386"/>
      <c r="B446" s="383" t="s">
        <v>1193</v>
      </c>
      <c r="C446" s="396"/>
      <c r="D446" s="397"/>
      <c r="E446" s="398"/>
      <c r="F446" s="413"/>
    </row>
    <row r="447" spans="1:6" ht="28.9" customHeight="1" x14ac:dyDescent="0.35">
      <c r="A447" s="386"/>
      <c r="B447" s="383" t="s">
        <v>1112</v>
      </c>
      <c r="C447" s="396"/>
      <c r="D447" s="397"/>
      <c r="E447" s="398"/>
      <c r="F447" s="413"/>
    </row>
    <row r="448" spans="1:6" ht="28.9" customHeight="1" x14ac:dyDescent="0.35">
      <c r="A448" s="384" t="s">
        <v>31</v>
      </c>
      <c r="B448" s="385" t="s">
        <v>1156</v>
      </c>
      <c r="C448" s="384" t="s">
        <v>1107</v>
      </c>
      <c r="D448" s="400">
        <v>1</v>
      </c>
      <c r="E448" s="401">
        <v>23584216.952000003</v>
      </c>
      <c r="F448" s="410">
        <f t="shared" ref="F448:F449" si="37">D448*E448</f>
        <v>23584216.952000003</v>
      </c>
    </row>
    <row r="449" spans="1:6" ht="15.4" customHeight="1" x14ac:dyDescent="0.35">
      <c r="A449" s="384" t="s">
        <v>32</v>
      </c>
      <c r="B449" s="385" t="s">
        <v>1165</v>
      </c>
      <c r="C449" s="384" t="s">
        <v>1107</v>
      </c>
      <c r="D449" s="400">
        <v>1</v>
      </c>
      <c r="E449" s="401">
        <v>29102589.832000002</v>
      </c>
      <c r="F449" s="410">
        <f t="shared" si="37"/>
        <v>29102589.832000002</v>
      </c>
    </row>
    <row r="450" spans="1:6" ht="14.25" customHeight="1" x14ac:dyDescent="0.35">
      <c r="A450" s="386"/>
      <c r="B450" s="383" t="s">
        <v>1113</v>
      </c>
      <c r="C450" s="396"/>
      <c r="D450" s="397"/>
      <c r="E450" s="398">
        <v>0</v>
      </c>
      <c r="F450" s="413"/>
    </row>
    <row r="451" spans="1:6" ht="28.9" customHeight="1" x14ac:dyDescent="0.35">
      <c r="A451" s="386"/>
      <c r="B451" s="383" t="s">
        <v>1114</v>
      </c>
      <c r="C451" s="396"/>
      <c r="D451" s="397"/>
      <c r="E451" s="398">
        <v>0</v>
      </c>
      <c r="F451" s="413"/>
    </row>
    <row r="452" spans="1:6" ht="15" customHeight="1" x14ac:dyDescent="0.35">
      <c r="A452" s="384" t="s">
        <v>1138</v>
      </c>
      <c r="B452" s="385" t="s">
        <v>1115</v>
      </c>
      <c r="C452" s="384" t="s">
        <v>1107</v>
      </c>
      <c r="D452" s="400">
        <v>3</v>
      </c>
      <c r="E452" s="401">
        <v>274115.25599999999</v>
      </c>
      <c r="F452" s="410">
        <f t="shared" ref="F452:F455" si="38">D452*E452</f>
        <v>822345.76799999992</v>
      </c>
    </row>
    <row r="453" spans="1:6" ht="15" customHeight="1" x14ac:dyDescent="0.35">
      <c r="A453" s="384" t="s">
        <v>1139</v>
      </c>
      <c r="B453" s="385" t="s">
        <v>1116</v>
      </c>
      <c r="C453" s="384" t="s">
        <v>1107</v>
      </c>
      <c r="D453" s="400">
        <v>8</v>
      </c>
      <c r="E453" s="401">
        <v>346250.848</v>
      </c>
      <c r="F453" s="410">
        <f t="shared" si="38"/>
        <v>2770006.784</v>
      </c>
    </row>
    <row r="454" spans="1:6" ht="15" customHeight="1" x14ac:dyDescent="0.35">
      <c r="A454" s="384" t="s">
        <v>1140</v>
      </c>
      <c r="B454" s="385" t="s">
        <v>1141</v>
      </c>
      <c r="C454" s="384" t="s">
        <v>1107</v>
      </c>
      <c r="D454" s="400">
        <v>3</v>
      </c>
      <c r="E454" s="401">
        <v>555444.06400000001</v>
      </c>
      <c r="F454" s="410">
        <f t="shared" si="38"/>
        <v>1666332.192</v>
      </c>
    </row>
    <row r="455" spans="1:6" ht="15" customHeight="1" x14ac:dyDescent="0.35">
      <c r="A455" s="384" t="s">
        <v>1142</v>
      </c>
      <c r="B455" s="385" t="s">
        <v>1143</v>
      </c>
      <c r="C455" s="384" t="s">
        <v>1107</v>
      </c>
      <c r="D455" s="400">
        <v>1</v>
      </c>
      <c r="E455" s="401">
        <v>483308.47200000001</v>
      </c>
      <c r="F455" s="410">
        <f t="shared" si="38"/>
        <v>483308.47200000001</v>
      </c>
    </row>
    <row r="456" spans="1:6" ht="15" customHeight="1" x14ac:dyDescent="0.35">
      <c r="A456" s="384" t="s">
        <v>1144</v>
      </c>
      <c r="B456" s="385" t="s">
        <v>1145</v>
      </c>
      <c r="C456" s="384" t="s">
        <v>1107</v>
      </c>
      <c r="D456" s="397"/>
      <c r="E456" s="399"/>
      <c r="F456" s="413"/>
    </row>
    <row r="457" spans="1:6" ht="15" customHeight="1" x14ac:dyDescent="0.35">
      <c r="A457" s="384"/>
      <c r="B457" s="385"/>
      <c r="C457" s="384"/>
      <c r="D457" s="397"/>
      <c r="E457" s="399"/>
      <c r="F457" s="413"/>
    </row>
    <row r="458" spans="1:6" ht="15" customHeight="1" x14ac:dyDescent="0.35">
      <c r="A458" s="384"/>
      <c r="B458" s="385"/>
      <c r="C458" s="384"/>
      <c r="D458" s="397"/>
      <c r="E458" s="399"/>
      <c r="F458" s="413"/>
    </row>
    <row r="459" spans="1:6" ht="15" customHeight="1" x14ac:dyDescent="0.35">
      <c r="A459" s="384"/>
      <c r="B459" s="385"/>
      <c r="C459" s="384"/>
      <c r="D459" s="397"/>
      <c r="E459" s="399"/>
      <c r="F459" s="413"/>
    </row>
    <row r="460" spans="1:6" ht="15" customHeight="1" x14ac:dyDescent="0.35">
      <c r="A460" s="384"/>
      <c r="B460" s="385"/>
      <c r="C460" s="384"/>
      <c r="D460" s="397"/>
      <c r="E460" s="399"/>
      <c r="F460" s="413"/>
    </row>
    <row r="461" spans="1:6" ht="15" customHeight="1" x14ac:dyDescent="0.35">
      <c r="A461" s="384"/>
      <c r="B461" s="385"/>
      <c r="C461" s="384"/>
      <c r="D461" s="397"/>
      <c r="E461" s="399"/>
      <c r="F461" s="413"/>
    </row>
    <row r="462" spans="1:6" ht="15" customHeight="1" x14ac:dyDescent="0.35">
      <c r="A462" s="384"/>
      <c r="B462" s="385"/>
      <c r="C462" s="384"/>
      <c r="D462" s="397"/>
      <c r="E462" s="399"/>
      <c r="F462" s="413"/>
    </row>
    <row r="463" spans="1:6" ht="15" customHeight="1" x14ac:dyDescent="0.35">
      <c r="A463" s="384"/>
      <c r="B463" s="385"/>
      <c r="C463" s="384"/>
      <c r="D463" s="397"/>
      <c r="E463" s="399"/>
      <c r="F463" s="413"/>
    </row>
    <row r="464" spans="1:6" ht="15" customHeight="1" x14ac:dyDescent="0.35">
      <c r="A464" s="384"/>
      <c r="B464" s="385"/>
      <c r="C464" s="384"/>
      <c r="D464" s="397"/>
      <c r="E464" s="399"/>
      <c r="F464" s="413"/>
    </row>
    <row r="465" spans="1:6" ht="15" customHeight="1" x14ac:dyDescent="0.35">
      <c r="A465" s="378"/>
      <c r="B465" s="379"/>
      <c r="C465" s="378"/>
      <c r="D465" s="391"/>
      <c r="E465" s="391"/>
      <c r="F465" s="411"/>
    </row>
    <row r="466" spans="1:6" ht="15" customHeight="1" x14ac:dyDescent="0.35">
      <c r="A466" s="384"/>
      <c r="B466" s="385"/>
      <c r="C466" s="384"/>
      <c r="D466" s="397"/>
      <c r="E466" s="399"/>
      <c r="F466" s="413"/>
    </row>
    <row r="467" spans="1:6" ht="15" customHeight="1" x14ac:dyDescent="0.35">
      <c r="A467" s="384"/>
      <c r="B467" s="385"/>
      <c r="C467" s="384"/>
      <c r="D467" s="397"/>
      <c r="E467" s="399"/>
      <c r="F467" s="413"/>
    </row>
    <row r="468" spans="1:6" ht="28.9" customHeight="1" x14ac:dyDescent="0.35">
      <c r="A468" s="386"/>
      <c r="B468" s="383" t="s">
        <v>1117</v>
      </c>
      <c r="C468" s="396"/>
      <c r="D468" s="397"/>
      <c r="E468" s="398"/>
      <c r="F468" s="413"/>
    </row>
    <row r="469" spans="1:6" ht="14.35" customHeight="1" x14ac:dyDescent="0.35">
      <c r="A469" s="384" t="s">
        <v>31</v>
      </c>
      <c r="B469" s="385" t="s">
        <v>1146</v>
      </c>
      <c r="C469" s="384" t="s">
        <v>112</v>
      </c>
      <c r="D469" s="400">
        <v>80</v>
      </c>
      <c r="E469" s="401">
        <v>30400</v>
      </c>
      <c r="F469" s="410">
        <f t="shared" ref="F469:F476" si="39">D469*E469</f>
        <v>2432000</v>
      </c>
    </row>
    <row r="470" spans="1:6" ht="14.35" customHeight="1" x14ac:dyDescent="0.35">
      <c r="A470" s="384" t="s">
        <v>32</v>
      </c>
      <c r="B470" s="385" t="s">
        <v>1118</v>
      </c>
      <c r="C470" s="384" t="s">
        <v>112</v>
      </c>
      <c r="D470" s="400">
        <v>100</v>
      </c>
      <c r="E470" s="401">
        <v>36480</v>
      </c>
      <c r="F470" s="410">
        <f t="shared" si="39"/>
        <v>3648000</v>
      </c>
    </row>
    <row r="471" spans="1:6" ht="14.35" customHeight="1" x14ac:dyDescent="0.35">
      <c r="A471" s="384" t="s">
        <v>33</v>
      </c>
      <c r="B471" s="385" t="s">
        <v>1147</v>
      </c>
      <c r="C471" s="384" t="s">
        <v>112</v>
      </c>
      <c r="D471" s="400">
        <v>90</v>
      </c>
      <c r="E471" s="401">
        <v>42560</v>
      </c>
      <c r="F471" s="410">
        <f t="shared" si="39"/>
        <v>3830400</v>
      </c>
    </row>
    <row r="472" spans="1:6" ht="14.35" customHeight="1" x14ac:dyDescent="0.35">
      <c r="A472" s="384" t="s">
        <v>34</v>
      </c>
      <c r="B472" s="385" t="s">
        <v>1119</v>
      </c>
      <c r="C472" s="384" t="s">
        <v>112</v>
      </c>
      <c r="D472" s="400">
        <v>80</v>
      </c>
      <c r="E472" s="401">
        <v>54720</v>
      </c>
      <c r="F472" s="410">
        <f t="shared" si="39"/>
        <v>4377600</v>
      </c>
    </row>
    <row r="473" spans="1:6" ht="14.35" customHeight="1" x14ac:dyDescent="0.35">
      <c r="A473" s="384" t="s">
        <v>35</v>
      </c>
      <c r="B473" s="385" t="s">
        <v>1120</v>
      </c>
      <c r="C473" s="384" t="s">
        <v>112</v>
      </c>
      <c r="D473" s="400">
        <v>40</v>
      </c>
      <c r="E473" s="401">
        <v>76000</v>
      </c>
      <c r="F473" s="410">
        <f t="shared" si="39"/>
        <v>3040000</v>
      </c>
    </row>
    <row r="474" spans="1:6" ht="14.35" customHeight="1" x14ac:dyDescent="0.35">
      <c r="A474" s="384" t="s">
        <v>36</v>
      </c>
      <c r="B474" s="385" t="s">
        <v>1121</v>
      </c>
      <c r="C474" s="384" t="s">
        <v>112</v>
      </c>
      <c r="D474" s="400">
        <v>15</v>
      </c>
      <c r="E474" s="401">
        <v>88160</v>
      </c>
      <c r="F474" s="410">
        <f t="shared" si="39"/>
        <v>1322400</v>
      </c>
    </row>
    <row r="475" spans="1:6" ht="14.35" customHeight="1" x14ac:dyDescent="0.35">
      <c r="A475" s="384" t="s">
        <v>39</v>
      </c>
      <c r="B475" s="385" t="s">
        <v>1149</v>
      </c>
      <c r="C475" s="384" t="s">
        <v>112</v>
      </c>
      <c r="D475" s="400">
        <v>15</v>
      </c>
      <c r="E475" s="401">
        <v>115520</v>
      </c>
      <c r="F475" s="410">
        <f t="shared" si="39"/>
        <v>1732800</v>
      </c>
    </row>
    <row r="476" spans="1:6" ht="14.35" customHeight="1" x14ac:dyDescent="0.35">
      <c r="A476" s="384" t="s">
        <v>15</v>
      </c>
      <c r="B476" s="385" t="s">
        <v>1151</v>
      </c>
      <c r="C476" s="384" t="s">
        <v>112</v>
      </c>
      <c r="D476" s="400">
        <v>25</v>
      </c>
      <c r="E476" s="401">
        <v>173888</v>
      </c>
      <c r="F476" s="410">
        <f t="shared" si="39"/>
        <v>4347200</v>
      </c>
    </row>
    <row r="477" spans="1:6" ht="14.35" customHeight="1" x14ac:dyDescent="0.35">
      <c r="A477" s="386"/>
      <c r="B477" s="383" t="s">
        <v>1122</v>
      </c>
      <c r="C477" s="396"/>
      <c r="D477" s="397"/>
      <c r="E477" s="399"/>
      <c r="F477" s="413"/>
    </row>
    <row r="478" spans="1:6" ht="14.35" customHeight="1" x14ac:dyDescent="0.35">
      <c r="A478" s="384" t="s">
        <v>17</v>
      </c>
      <c r="B478" s="385" t="s">
        <v>1123</v>
      </c>
      <c r="C478" s="384" t="s">
        <v>1124</v>
      </c>
      <c r="D478" s="400">
        <v>30</v>
      </c>
      <c r="E478" s="401">
        <v>197600</v>
      </c>
      <c r="F478" s="410">
        <f t="shared" ref="F478:F480" si="40">D478*E478</f>
        <v>5928000</v>
      </c>
    </row>
    <row r="479" spans="1:6" ht="42" customHeight="1" x14ac:dyDescent="0.35">
      <c r="A479" s="384" t="s">
        <v>90</v>
      </c>
      <c r="B479" s="385" t="s">
        <v>1125</v>
      </c>
      <c r="C479" s="384" t="s">
        <v>112</v>
      </c>
      <c r="D479" s="400">
        <v>10</v>
      </c>
      <c r="E479" s="401">
        <v>215840</v>
      </c>
      <c r="F479" s="410">
        <f t="shared" si="40"/>
        <v>2158400</v>
      </c>
    </row>
    <row r="480" spans="1:6" ht="36.4" customHeight="1" x14ac:dyDescent="0.35">
      <c r="A480" s="384" t="s">
        <v>88</v>
      </c>
      <c r="B480" s="385" t="s">
        <v>1126</v>
      </c>
      <c r="C480" s="384" t="s">
        <v>112</v>
      </c>
      <c r="D480" s="400">
        <v>445</v>
      </c>
      <c r="E480" s="401">
        <v>6779.6640000000007</v>
      </c>
      <c r="F480" s="410">
        <f t="shared" si="40"/>
        <v>3016950.4800000004</v>
      </c>
    </row>
    <row r="481" spans="1:6" ht="15.4" customHeight="1" x14ac:dyDescent="0.35">
      <c r="A481" s="386"/>
      <c r="B481" s="383" t="s">
        <v>1127</v>
      </c>
      <c r="C481" s="396"/>
      <c r="D481" s="397"/>
      <c r="E481" s="398">
        <v>0</v>
      </c>
      <c r="F481" s="413"/>
    </row>
    <row r="482" spans="1:6" ht="15.4" customHeight="1" x14ac:dyDescent="0.35">
      <c r="A482" s="384" t="s">
        <v>33</v>
      </c>
      <c r="B482" s="385" t="s">
        <v>1128</v>
      </c>
      <c r="C482" s="384" t="s">
        <v>112</v>
      </c>
      <c r="D482" s="400">
        <v>100</v>
      </c>
      <c r="E482" s="401">
        <v>6080</v>
      </c>
      <c r="F482" s="410">
        <f t="shared" ref="F482:F484" si="41">D482*E482</f>
        <v>608000</v>
      </c>
    </row>
    <row r="483" spans="1:6" ht="15.4" customHeight="1" x14ac:dyDescent="0.35">
      <c r="A483" s="384" t="s">
        <v>34</v>
      </c>
      <c r="B483" s="385" t="s">
        <v>1129</v>
      </c>
      <c r="C483" s="384" t="s">
        <v>112</v>
      </c>
      <c r="D483" s="400">
        <v>70</v>
      </c>
      <c r="E483" s="401">
        <v>9120</v>
      </c>
      <c r="F483" s="410">
        <f t="shared" si="41"/>
        <v>638400</v>
      </c>
    </row>
    <row r="484" spans="1:6" ht="15.4" customHeight="1" x14ac:dyDescent="0.35">
      <c r="A484" s="384" t="s">
        <v>34</v>
      </c>
      <c r="B484" s="385" t="s">
        <v>1130</v>
      </c>
      <c r="C484" s="384" t="s">
        <v>112</v>
      </c>
      <c r="D484" s="400">
        <v>50</v>
      </c>
      <c r="E484" s="401">
        <v>12160</v>
      </c>
      <c r="F484" s="410">
        <f t="shared" si="41"/>
        <v>608000</v>
      </c>
    </row>
    <row r="485" spans="1:6" ht="15.4" customHeight="1" x14ac:dyDescent="0.35">
      <c r="A485" s="386"/>
      <c r="B485" s="383" t="s">
        <v>1166</v>
      </c>
      <c r="C485" s="396"/>
      <c r="D485" s="397"/>
      <c r="E485" s="398">
        <v>0</v>
      </c>
      <c r="F485" s="413"/>
    </row>
    <row r="486" spans="1:6" ht="28.9" customHeight="1" x14ac:dyDescent="0.35">
      <c r="A486" s="384" t="s">
        <v>1138</v>
      </c>
      <c r="B486" s="385" t="s">
        <v>1167</v>
      </c>
      <c r="C486" s="384" t="s">
        <v>1107</v>
      </c>
      <c r="D486" s="400">
        <v>2</v>
      </c>
      <c r="E486" s="401">
        <v>5688000</v>
      </c>
      <c r="F486" s="410">
        <f t="shared" ref="F486" si="42">D486*E486</f>
        <v>11376000</v>
      </c>
    </row>
    <row r="487" spans="1:6" ht="16.5" customHeight="1" x14ac:dyDescent="0.35">
      <c r="A487" s="384" t="s">
        <v>1139</v>
      </c>
      <c r="B487" s="385" t="s">
        <v>1168</v>
      </c>
      <c r="C487" s="396"/>
      <c r="D487" s="397"/>
      <c r="E487" s="398">
        <v>0</v>
      </c>
      <c r="F487" s="413"/>
    </row>
    <row r="488" spans="1:6" ht="16.5" customHeight="1" x14ac:dyDescent="0.35">
      <c r="A488" s="386"/>
      <c r="B488" s="385" t="s">
        <v>1169</v>
      </c>
      <c r="C488" s="384" t="s">
        <v>112</v>
      </c>
      <c r="D488" s="400">
        <v>30</v>
      </c>
      <c r="E488" s="401">
        <v>85016.952000000005</v>
      </c>
      <c r="F488" s="410">
        <f t="shared" ref="F488:F495" si="43">D488*E488</f>
        <v>2550508.56</v>
      </c>
    </row>
    <row r="489" spans="1:6" ht="16.5" customHeight="1" x14ac:dyDescent="0.35">
      <c r="A489" s="386"/>
      <c r="B489" s="385" t="s">
        <v>1170</v>
      </c>
      <c r="C489" s="384" t="s">
        <v>112</v>
      </c>
      <c r="D489" s="400">
        <v>100</v>
      </c>
      <c r="E489" s="401">
        <v>59511.864000000001</v>
      </c>
      <c r="F489" s="410">
        <f t="shared" si="43"/>
        <v>5951186.4000000004</v>
      </c>
    </row>
    <row r="490" spans="1:6" ht="16.5" customHeight="1" x14ac:dyDescent="0.35">
      <c r="A490" s="386"/>
      <c r="B490" s="385" t="s">
        <v>1171</v>
      </c>
      <c r="C490" s="384" t="s">
        <v>112</v>
      </c>
      <c r="D490" s="400">
        <v>320</v>
      </c>
      <c r="E490" s="401">
        <v>51010.168000000005</v>
      </c>
      <c r="F490" s="410">
        <f t="shared" si="43"/>
        <v>16323253.760000002</v>
      </c>
    </row>
    <row r="491" spans="1:6" ht="16.5" customHeight="1" x14ac:dyDescent="0.35">
      <c r="A491" s="386"/>
      <c r="B491" s="385" t="s">
        <v>1172</v>
      </c>
      <c r="C491" s="384" t="s">
        <v>112</v>
      </c>
      <c r="D491" s="400">
        <v>60</v>
      </c>
      <c r="E491" s="401">
        <v>60800</v>
      </c>
      <c r="F491" s="410">
        <f t="shared" si="43"/>
        <v>3648000</v>
      </c>
    </row>
    <row r="492" spans="1:6" ht="16.5" customHeight="1" x14ac:dyDescent="0.35">
      <c r="A492" s="384" t="s">
        <v>1140</v>
      </c>
      <c r="B492" s="385" t="s">
        <v>1173</v>
      </c>
      <c r="C492" s="384" t="s">
        <v>1174</v>
      </c>
      <c r="D492" s="400">
        <v>15</v>
      </c>
      <c r="E492" s="401">
        <v>121600</v>
      </c>
      <c r="F492" s="410">
        <f t="shared" si="43"/>
        <v>1824000</v>
      </c>
    </row>
    <row r="493" spans="1:6" ht="16.5" customHeight="1" x14ac:dyDescent="0.35">
      <c r="A493" s="384" t="s">
        <v>1142</v>
      </c>
      <c r="B493" s="385" t="s">
        <v>1175</v>
      </c>
      <c r="C493" s="384" t="s">
        <v>1174</v>
      </c>
      <c r="D493" s="400">
        <v>2</v>
      </c>
      <c r="E493" s="401">
        <v>212800</v>
      </c>
      <c r="F493" s="410">
        <f t="shared" si="43"/>
        <v>425600</v>
      </c>
    </row>
    <row r="494" spans="1:6" ht="16.5" customHeight="1" x14ac:dyDescent="0.35">
      <c r="A494" s="384" t="s">
        <v>1144</v>
      </c>
      <c r="B494" s="385" t="s">
        <v>1176</v>
      </c>
      <c r="C494" s="384" t="s">
        <v>1174</v>
      </c>
      <c r="D494" s="400">
        <v>85</v>
      </c>
      <c r="E494" s="401">
        <v>121600</v>
      </c>
      <c r="F494" s="410">
        <f t="shared" si="43"/>
        <v>10336000</v>
      </c>
    </row>
    <row r="495" spans="1:6" ht="28.9" customHeight="1" x14ac:dyDescent="0.35">
      <c r="A495" s="386" t="s">
        <v>32</v>
      </c>
      <c r="B495" s="385" t="s">
        <v>1177</v>
      </c>
      <c r="C495" s="384" t="s">
        <v>1100</v>
      </c>
      <c r="D495" s="400">
        <v>1</v>
      </c>
      <c r="E495" s="401">
        <v>20400000</v>
      </c>
      <c r="F495" s="410">
        <f t="shared" si="43"/>
        <v>20400000</v>
      </c>
    </row>
    <row r="496" spans="1:6" ht="17.350000000000001" customHeight="1" x14ac:dyDescent="0.35">
      <c r="A496" s="386"/>
      <c r="B496" s="385"/>
      <c r="C496" s="384"/>
      <c r="D496" s="400"/>
      <c r="E496" s="401"/>
      <c r="F496" s="410"/>
    </row>
    <row r="497" spans="1:6" ht="17.350000000000001" customHeight="1" x14ac:dyDescent="0.35">
      <c r="A497" s="386"/>
      <c r="B497" s="385"/>
      <c r="C497" s="384"/>
      <c r="D497" s="400"/>
      <c r="E497" s="401"/>
      <c r="F497" s="410"/>
    </row>
    <row r="498" spans="1:6" ht="17.350000000000001" customHeight="1" x14ac:dyDescent="0.35">
      <c r="A498" s="386"/>
      <c r="B498" s="385"/>
      <c r="C498" s="384"/>
      <c r="D498" s="400"/>
      <c r="E498" s="401"/>
      <c r="F498" s="410"/>
    </row>
    <row r="499" spans="1:6" ht="17.350000000000001" customHeight="1" x14ac:dyDescent="0.35">
      <c r="A499" s="386"/>
      <c r="B499" s="385"/>
      <c r="C499" s="384"/>
      <c r="D499" s="400"/>
      <c r="E499" s="401"/>
      <c r="F499" s="410"/>
    </row>
    <row r="500" spans="1:6" ht="17.350000000000001" customHeight="1" x14ac:dyDescent="0.35">
      <c r="A500" s="386"/>
      <c r="B500" s="385"/>
      <c r="C500" s="384"/>
      <c r="D500" s="400"/>
      <c r="E500" s="401"/>
      <c r="F500" s="410"/>
    </row>
    <row r="501" spans="1:6" ht="17.350000000000001" customHeight="1" x14ac:dyDescent="0.35">
      <c r="A501" s="386"/>
      <c r="B501" s="385"/>
      <c r="C501" s="384"/>
      <c r="D501" s="400"/>
      <c r="E501" s="401"/>
      <c r="F501" s="410"/>
    </row>
    <row r="502" spans="1:6" ht="17.350000000000001" customHeight="1" x14ac:dyDescent="0.35">
      <c r="A502" s="386"/>
      <c r="B502" s="385"/>
      <c r="C502" s="384"/>
      <c r="D502" s="400"/>
      <c r="E502" s="401"/>
      <c r="F502" s="410"/>
    </row>
    <row r="503" spans="1:6" ht="17.350000000000001" customHeight="1" x14ac:dyDescent="0.35">
      <c r="A503" s="386"/>
      <c r="B503" s="385"/>
      <c r="C503" s="384"/>
      <c r="D503" s="400"/>
      <c r="E503" s="401"/>
      <c r="F503" s="410"/>
    </row>
    <row r="504" spans="1:6" ht="17.350000000000001" customHeight="1" x14ac:dyDescent="0.35">
      <c r="A504" s="386"/>
      <c r="B504" s="385"/>
      <c r="C504" s="384"/>
      <c r="D504" s="400"/>
      <c r="E504" s="401"/>
      <c r="F504" s="410"/>
    </row>
    <row r="505" spans="1:6" ht="17.350000000000001" customHeight="1" x14ac:dyDescent="0.35">
      <c r="A505" s="386"/>
      <c r="B505" s="385"/>
      <c r="C505" s="384"/>
      <c r="D505" s="400"/>
      <c r="E505" s="401"/>
      <c r="F505" s="410"/>
    </row>
    <row r="506" spans="1:6" ht="17.350000000000001" customHeight="1" x14ac:dyDescent="0.35">
      <c r="A506" s="386"/>
      <c r="B506" s="385"/>
      <c r="C506" s="384"/>
      <c r="D506" s="400"/>
      <c r="E506" s="401"/>
      <c r="F506" s="410"/>
    </row>
    <row r="507" spans="1:6" ht="17.350000000000001" customHeight="1" x14ac:dyDescent="0.35">
      <c r="A507" s="386"/>
      <c r="B507" s="385"/>
      <c r="C507" s="384"/>
      <c r="D507" s="400"/>
      <c r="E507" s="401"/>
      <c r="F507" s="410"/>
    </row>
    <row r="508" spans="1:6" ht="17.350000000000001" customHeight="1" x14ac:dyDescent="0.35">
      <c r="A508" s="386"/>
      <c r="B508" s="385"/>
      <c r="C508" s="384"/>
      <c r="D508" s="400"/>
      <c r="E508" s="401"/>
      <c r="F508" s="410"/>
    </row>
    <row r="509" spans="1:6" ht="17.350000000000001" customHeight="1" x14ac:dyDescent="0.35">
      <c r="A509" s="386"/>
      <c r="B509" s="385"/>
      <c r="C509" s="384"/>
      <c r="D509" s="400"/>
      <c r="E509" s="401"/>
      <c r="F509" s="410"/>
    </row>
    <row r="510" spans="1:6" ht="17.350000000000001" customHeight="1" x14ac:dyDescent="0.35">
      <c r="A510" s="386"/>
      <c r="B510" s="385"/>
      <c r="C510" s="384"/>
      <c r="D510" s="400"/>
      <c r="E510" s="401"/>
      <c r="F510" s="410"/>
    </row>
    <row r="511" spans="1:6" ht="17.350000000000001" customHeight="1" x14ac:dyDescent="0.35">
      <c r="A511" s="386"/>
      <c r="B511" s="385"/>
      <c r="C511" s="384"/>
      <c r="D511" s="400"/>
      <c r="E511" s="401"/>
      <c r="F511" s="410"/>
    </row>
    <row r="512" spans="1:6" ht="17.350000000000001" customHeight="1" x14ac:dyDescent="0.35">
      <c r="A512" s="386"/>
      <c r="B512" s="385"/>
      <c r="C512" s="384"/>
      <c r="D512" s="400"/>
      <c r="E512" s="401"/>
      <c r="F512" s="410"/>
    </row>
    <row r="513" spans="1:6" ht="17.350000000000001" customHeight="1" x14ac:dyDescent="0.35">
      <c r="A513" s="386"/>
      <c r="B513" s="385"/>
      <c r="C513" s="384"/>
      <c r="D513" s="400"/>
      <c r="E513" s="401"/>
      <c r="F513" s="410"/>
    </row>
    <row r="514" spans="1:6" ht="17.350000000000001" customHeight="1" x14ac:dyDescent="0.35">
      <c r="A514" s="386"/>
      <c r="B514" s="385"/>
      <c r="C514" s="384"/>
      <c r="D514" s="400"/>
      <c r="E514" s="401"/>
      <c r="F514" s="410"/>
    </row>
    <row r="515" spans="1:6" ht="16.149999999999999" customHeight="1" x14ac:dyDescent="0.35">
      <c r="A515" s="378"/>
      <c r="B515" s="379" t="s">
        <v>1243</v>
      </c>
      <c r="C515" s="378"/>
      <c r="D515" s="391"/>
      <c r="E515" s="391"/>
      <c r="F515" s="411">
        <f>SUM(F427:F495)</f>
        <v>223792584.01600003</v>
      </c>
    </row>
    <row r="516" spans="1:6" ht="17.75" customHeight="1" x14ac:dyDescent="0.35">
      <c r="A516" s="406"/>
      <c r="B516" s="382"/>
      <c r="C516" s="406"/>
      <c r="D516" s="407"/>
      <c r="E516" s="407"/>
      <c r="F516" s="488"/>
    </row>
    <row r="517" spans="1:6" ht="16.25" customHeight="1" x14ac:dyDescent="0.35">
      <c r="A517" s="392"/>
      <c r="B517" s="382" t="s">
        <v>1183</v>
      </c>
      <c r="C517" s="393"/>
      <c r="D517" s="394"/>
      <c r="E517" s="395"/>
      <c r="F517" s="412"/>
    </row>
    <row r="518" spans="1:6" ht="16.25" customHeight="1" x14ac:dyDescent="0.35">
      <c r="A518" s="386"/>
      <c r="B518" s="383" t="s">
        <v>1235</v>
      </c>
      <c r="C518" s="396"/>
      <c r="D518" s="397"/>
      <c r="E518" s="398"/>
      <c r="F518" s="412"/>
    </row>
    <row r="519" spans="1:6" ht="16.25" customHeight="1" x14ac:dyDescent="0.35">
      <c r="A519" s="386"/>
      <c r="B519" s="383" t="s">
        <v>1104</v>
      </c>
      <c r="C519" s="396"/>
      <c r="D519" s="397"/>
      <c r="E519" s="398"/>
      <c r="F519" s="413"/>
    </row>
    <row r="520" spans="1:6" ht="16.25" customHeight="1" x14ac:dyDescent="0.35">
      <c r="A520" s="386"/>
      <c r="B520" s="383" t="s">
        <v>1105</v>
      </c>
      <c r="C520" s="396"/>
      <c r="D520" s="397"/>
      <c r="E520" s="398"/>
      <c r="F520" s="413"/>
    </row>
    <row r="521" spans="1:6" ht="28.9" customHeight="1" x14ac:dyDescent="0.35">
      <c r="A521" s="386"/>
      <c r="B521" s="383" t="s">
        <v>1221</v>
      </c>
      <c r="C521" s="396"/>
      <c r="D521" s="397"/>
      <c r="E521" s="398"/>
      <c r="F521" s="413"/>
    </row>
    <row r="522" spans="1:6" ht="28.9" customHeight="1" x14ac:dyDescent="0.35">
      <c r="A522" s="386"/>
      <c r="B522" s="383" t="s">
        <v>1222</v>
      </c>
      <c r="C522" s="396"/>
      <c r="D522" s="397"/>
      <c r="E522" s="398"/>
      <c r="F522" s="413"/>
    </row>
    <row r="523" spans="1:6" ht="28.9" customHeight="1" x14ac:dyDescent="0.35">
      <c r="A523" s="386"/>
      <c r="B523" s="383" t="s">
        <v>1223</v>
      </c>
      <c r="C523" s="396"/>
      <c r="D523" s="397"/>
      <c r="E523" s="398"/>
      <c r="F523" s="413"/>
    </row>
    <row r="524" spans="1:6" ht="28.9" customHeight="1" x14ac:dyDescent="0.35">
      <c r="A524" s="386"/>
      <c r="B524" s="383" t="s">
        <v>1105</v>
      </c>
      <c r="C524" s="396"/>
      <c r="D524" s="397"/>
      <c r="E524" s="399"/>
      <c r="F524" s="413"/>
    </row>
    <row r="525" spans="1:6" ht="28.9" customHeight="1" x14ac:dyDescent="0.35">
      <c r="A525" s="384" t="s">
        <v>31</v>
      </c>
      <c r="B525" s="385" t="s">
        <v>1159</v>
      </c>
      <c r="C525" s="384" t="s">
        <v>1107</v>
      </c>
      <c r="D525" s="400">
        <v>2</v>
      </c>
      <c r="E525" s="401">
        <v>2225383.048</v>
      </c>
      <c r="F525" s="410">
        <f t="shared" ref="F525:F532" si="44">D525*E525</f>
        <v>4450766.0959999999</v>
      </c>
    </row>
    <row r="526" spans="1:6" ht="28.9" customHeight="1" x14ac:dyDescent="0.35">
      <c r="A526" s="384" t="s">
        <v>33</v>
      </c>
      <c r="B526" s="385" t="s">
        <v>1131</v>
      </c>
      <c r="C526" s="384" t="s">
        <v>1107</v>
      </c>
      <c r="D526" s="400">
        <v>1</v>
      </c>
      <c r="E526" s="401">
        <v>2333586.44</v>
      </c>
      <c r="F526" s="410">
        <f t="shared" si="44"/>
        <v>2333586.44</v>
      </c>
    </row>
    <row r="527" spans="1:6" ht="28.9" customHeight="1" x14ac:dyDescent="0.35">
      <c r="A527" s="384" t="s">
        <v>33</v>
      </c>
      <c r="B527" s="385" t="s">
        <v>1153</v>
      </c>
      <c r="C527" s="384" t="s">
        <v>1107</v>
      </c>
      <c r="D527" s="400">
        <v>2</v>
      </c>
      <c r="E527" s="401">
        <v>2434576.2719999999</v>
      </c>
      <c r="F527" s="410">
        <f t="shared" si="44"/>
        <v>4869152.5439999998</v>
      </c>
    </row>
    <row r="528" spans="1:6" ht="28.9" customHeight="1" x14ac:dyDescent="0.35">
      <c r="A528" s="384" t="s">
        <v>34</v>
      </c>
      <c r="B528" s="385" t="s">
        <v>1154</v>
      </c>
      <c r="C528" s="384" t="s">
        <v>1107</v>
      </c>
      <c r="D528" s="400">
        <v>3</v>
      </c>
      <c r="E528" s="401">
        <v>2614915.2560000001</v>
      </c>
      <c r="F528" s="410">
        <f t="shared" si="44"/>
        <v>7844745.7680000002</v>
      </c>
    </row>
    <row r="529" spans="1:6" ht="28.9" customHeight="1" x14ac:dyDescent="0.35">
      <c r="A529" s="384" t="s">
        <v>32</v>
      </c>
      <c r="B529" s="385" t="s">
        <v>1106</v>
      </c>
      <c r="C529" s="384" t="s">
        <v>1107</v>
      </c>
      <c r="D529" s="400">
        <v>4</v>
      </c>
      <c r="E529" s="401">
        <v>3062155.9360000002</v>
      </c>
      <c r="F529" s="410">
        <f t="shared" si="44"/>
        <v>12248623.744000001</v>
      </c>
    </row>
    <row r="530" spans="1:6" ht="28.9" customHeight="1" x14ac:dyDescent="0.35">
      <c r="A530" s="384" t="s">
        <v>33</v>
      </c>
      <c r="B530" s="385" t="s">
        <v>1132</v>
      </c>
      <c r="C530" s="384" t="s">
        <v>1107</v>
      </c>
      <c r="D530" s="400">
        <v>2</v>
      </c>
      <c r="E530" s="401">
        <v>3163145.7600000002</v>
      </c>
      <c r="F530" s="410">
        <f t="shared" si="44"/>
        <v>6326291.5200000005</v>
      </c>
    </row>
    <row r="531" spans="1:6" ht="28.9" customHeight="1" x14ac:dyDescent="0.35">
      <c r="A531" s="384" t="s">
        <v>34</v>
      </c>
      <c r="B531" s="385" t="s">
        <v>1133</v>
      </c>
      <c r="C531" s="384" t="s">
        <v>1107</v>
      </c>
      <c r="D531" s="400">
        <v>1</v>
      </c>
      <c r="E531" s="401">
        <v>3480542.3760000002</v>
      </c>
      <c r="F531" s="410">
        <f t="shared" si="44"/>
        <v>3480542.3760000002</v>
      </c>
    </row>
    <row r="532" spans="1:6" ht="28.9" customHeight="1" x14ac:dyDescent="0.35">
      <c r="A532" s="384" t="s">
        <v>32</v>
      </c>
      <c r="B532" s="385" t="s">
        <v>1108</v>
      </c>
      <c r="C532" s="384" t="s">
        <v>1107</v>
      </c>
      <c r="D532" s="400">
        <v>15</v>
      </c>
      <c r="E532" s="401">
        <v>360677.96800000005</v>
      </c>
      <c r="F532" s="410">
        <f t="shared" si="44"/>
        <v>5410169.5200000005</v>
      </c>
    </row>
    <row r="533" spans="1:6" ht="15.85" customHeight="1" x14ac:dyDescent="0.35">
      <c r="A533" s="386"/>
      <c r="B533" s="383" t="s">
        <v>1109</v>
      </c>
      <c r="C533" s="396"/>
      <c r="D533" s="397"/>
      <c r="E533" s="398">
        <v>0</v>
      </c>
      <c r="F533" s="413"/>
    </row>
    <row r="534" spans="1:6" ht="15.85" customHeight="1" x14ac:dyDescent="0.35">
      <c r="A534" s="384" t="s">
        <v>33</v>
      </c>
      <c r="B534" s="385" t="s">
        <v>1163</v>
      </c>
      <c r="C534" s="384" t="s">
        <v>1027</v>
      </c>
      <c r="D534" s="400">
        <v>7</v>
      </c>
      <c r="E534" s="401">
        <v>605938.98400000005</v>
      </c>
      <c r="F534" s="410">
        <f t="shared" ref="F534:F535" si="45">D534*E534</f>
        <v>4241572.8880000003</v>
      </c>
    </row>
    <row r="535" spans="1:6" ht="15.85" customHeight="1" x14ac:dyDescent="0.35">
      <c r="A535" s="386"/>
      <c r="B535" s="385" t="s">
        <v>1164</v>
      </c>
      <c r="C535" s="384" t="s">
        <v>1027</v>
      </c>
      <c r="D535" s="400">
        <v>8</v>
      </c>
      <c r="E535" s="401">
        <v>454454.24000000005</v>
      </c>
      <c r="F535" s="410">
        <f t="shared" si="45"/>
        <v>3635633.9200000004</v>
      </c>
    </row>
    <row r="536" spans="1:6" ht="15.85" customHeight="1" x14ac:dyDescent="0.35">
      <c r="A536" s="386"/>
      <c r="B536" s="383" t="s">
        <v>1111</v>
      </c>
      <c r="C536" s="396"/>
      <c r="D536" s="397"/>
      <c r="E536" s="398"/>
      <c r="F536" s="413"/>
    </row>
    <row r="537" spans="1:6" ht="28.9" customHeight="1" x14ac:dyDescent="0.35">
      <c r="A537" s="386"/>
      <c r="B537" s="383" t="s">
        <v>1190</v>
      </c>
      <c r="C537" s="396"/>
      <c r="D537" s="397"/>
      <c r="E537" s="398"/>
      <c r="F537" s="413"/>
    </row>
    <row r="538" spans="1:6" ht="28.9" customHeight="1" x14ac:dyDescent="0.35">
      <c r="A538" s="386"/>
      <c r="B538" s="383" t="s">
        <v>1191</v>
      </c>
      <c r="C538" s="396"/>
      <c r="D538" s="397"/>
      <c r="E538" s="398"/>
      <c r="F538" s="413"/>
    </row>
    <row r="539" spans="1:6" ht="28.9" customHeight="1" x14ac:dyDescent="0.35">
      <c r="A539" s="386"/>
      <c r="B539" s="383" t="s">
        <v>1192</v>
      </c>
      <c r="C539" s="396"/>
      <c r="D539" s="397"/>
      <c r="E539" s="398"/>
      <c r="F539" s="413"/>
    </row>
    <row r="540" spans="1:6" ht="28.9" customHeight="1" x14ac:dyDescent="0.35">
      <c r="A540" s="386"/>
      <c r="B540" s="383" t="s">
        <v>1193</v>
      </c>
      <c r="C540" s="396"/>
      <c r="D540" s="397"/>
      <c r="E540" s="398"/>
      <c r="F540" s="413"/>
    </row>
    <row r="541" spans="1:6" ht="28.9" customHeight="1" x14ac:dyDescent="0.35">
      <c r="A541" s="386"/>
      <c r="B541" s="383" t="s">
        <v>1112</v>
      </c>
      <c r="C541" s="396"/>
      <c r="D541" s="397"/>
      <c r="E541" s="398"/>
      <c r="F541" s="413"/>
    </row>
    <row r="542" spans="1:6" ht="28.9" customHeight="1" x14ac:dyDescent="0.35">
      <c r="A542" s="384" t="s">
        <v>31</v>
      </c>
      <c r="B542" s="385" t="s">
        <v>1156</v>
      </c>
      <c r="C542" s="384" t="s">
        <v>1107</v>
      </c>
      <c r="D542" s="400">
        <v>1</v>
      </c>
      <c r="E542" s="401">
        <v>23584216.952000003</v>
      </c>
      <c r="F542" s="410">
        <f t="shared" ref="F542:F543" si="46">D542*E542</f>
        <v>23584216.952000003</v>
      </c>
    </row>
    <row r="543" spans="1:6" ht="15.4" customHeight="1" x14ac:dyDescent="0.35">
      <c r="A543" s="384" t="s">
        <v>32</v>
      </c>
      <c r="B543" s="385" t="s">
        <v>1165</v>
      </c>
      <c r="C543" s="384" t="s">
        <v>1107</v>
      </c>
      <c r="D543" s="400">
        <v>1</v>
      </c>
      <c r="E543" s="401">
        <v>29102589.832000002</v>
      </c>
      <c r="F543" s="410">
        <f t="shared" si="46"/>
        <v>29102589.832000002</v>
      </c>
    </row>
    <row r="544" spans="1:6" ht="14.25" customHeight="1" x14ac:dyDescent="0.35">
      <c r="A544" s="386"/>
      <c r="B544" s="383" t="s">
        <v>1113</v>
      </c>
      <c r="C544" s="396"/>
      <c r="D544" s="397"/>
      <c r="E544" s="398">
        <v>0</v>
      </c>
      <c r="F544" s="413"/>
    </row>
    <row r="545" spans="1:6" ht="28.9" customHeight="1" x14ac:dyDescent="0.35">
      <c r="A545" s="386"/>
      <c r="B545" s="383" t="s">
        <v>1114</v>
      </c>
      <c r="C545" s="396"/>
      <c r="D545" s="397"/>
      <c r="E545" s="398">
        <v>0</v>
      </c>
      <c r="F545" s="413"/>
    </row>
    <row r="546" spans="1:6" ht="15" customHeight="1" x14ac:dyDescent="0.35">
      <c r="A546" s="384" t="s">
        <v>1138</v>
      </c>
      <c r="B546" s="385" t="s">
        <v>1115</v>
      </c>
      <c r="C546" s="384" t="s">
        <v>1107</v>
      </c>
      <c r="D546" s="400">
        <v>3</v>
      </c>
      <c r="E546" s="401">
        <v>274115.25599999999</v>
      </c>
      <c r="F546" s="410">
        <f t="shared" ref="F546:F549" si="47">D546*E546</f>
        <v>822345.76799999992</v>
      </c>
    </row>
    <row r="547" spans="1:6" ht="15" customHeight="1" x14ac:dyDescent="0.35">
      <c r="A547" s="384" t="s">
        <v>1139</v>
      </c>
      <c r="B547" s="385" t="s">
        <v>1116</v>
      </c>
      <c r="C547" s="384" t="s">
        <v>1107</v>
      </c>
      <c r="D547" s="400">
        <v>8</v>
      </c>
      <c r="E547" s="401">
        <v>346250.848</v>
      </c>
      <c r="F547" s="410">
        <f t="shared" si="47"/>
        <v>2770006.784</v>
      </c>
    </row>
    <row r="548" spans="1:6" ht="15" customHeight="1" x14ac:dyDescent="0.35">
      <c r="A548" s="384" t="s">
        <v>1140</v>
      </c>
      <c r="B548" s="385" t="s">
        <v>1141</v>
      </c>
      <c r="C548" s="384" t="s">
        <v>1107</v>
      </c>
      <c r="D548" s="400">
        <v>3</v>
      </c>
      <c r="E548" s="401">
        <v>555444.06400000001</v>
      </c>
      <c r="F548" s="410">
        <f t="shared" si="47"/>
        <v>1666332.192</v>
      </c>
    </row>
    <row r="549" spans="1:6" ht="15" customHeight="1" x14ac:dyDescent="0.35">
      <c r="A549" s="384" t="s">
        <v>1142</v>
      </c>
      <c r="B549" s="385" t="s">
        <v>1143</v>
      </c>
      <c r="C549" s="384" t="s">
        <v>1107</v>
      </c>
      <c r="D549" s="400">
        <v>1</v>
      </c>
      <c r="E549" s="401">
        <v>483308.47200000001</v>
      </c>
      <c r="F549" s="410">
        <f t="shared" si="47"/>
        <v>483308.47200000001</v>
      </c>
    </row>
    <row r="550" spans="1:6" ht="15" customHeight="1" x14ac:dyDescent="0.35">
      <c r="A550" s="384" t="s">
        <v>1144</v>
      </c>
      <c r="B550" s="385" t="s">
        <v>1145</v>
      </c>
      <c r="C550" s="384" t="s">
        <v>1107</v>
      </c>
      <c r="D550" s="397"/>
      <c r="E550" s="399"/>
      <c r="F550" s="413"/>
    </row>
    <row r="551" spans="1:6" ht="15" customHeight="1" x14ac:dyDescent="0.35">
      <c r="A551" s="384"/>
      <c r="B551" s="385"/>
      <c r="C551" s="384"/>
      <c r="D551" s="397"/>
      <c r="E551" s="399"/>
      <c r="F551" s="413"/>
    </row>
    <row r="552" spans="1:6" ht="15" customHeight="1" x14ac:dyDescent="0.35">
      <c r="A552" s="384"/>
      <c r="B552" s="385"/>
      <c r="C552" s="384"/>
      <c r="D552" s="397"/>
      <c r="E552" s="399"/>
      <c r="F552" s="413"/>
    </row>
    <row r="553" spans="1:6" ht="15" customHeight="1" x14ac:dyDescent="0.35">
      <c r="A553" s="384"/>
      <c r="B553" s="385"/>
      <c r="C553" s="384"/>
      <c r="D553" s="397"/>
      <c r="E553" s="399"/>
      <c r="F553" s="413"/>
    </row>
    <row r="554" spans="1:6" ht="15" customHeight="1" x14ac:dyDescent="0.35">
      <c r="A554" s="384"/>
      <c r="B554" s="385"/>
      <c r="C554" s="384"/>
      <c r="D554" s="397"/>
      <c r="E554" s="399"/>
      <c r="F554" s="413"/>
    </row>
    <row r="555" spans="1:6" ht="15" customHeight="1" x14ac:dyDescent="0.35">
      <c r="A555" s="384"/>
      <c r="B555" s="385"/>
      <c r="C555" s="384"/>
      <c r="D555" s="397"/>
      <c r="E555" s="399"/>
      <c r="F555" s="413"/>
    </row>
    <row r="556" spans="1:6" ht="15" customHeight="1" x14ac:dyDescent="0.35">
      <c r="A556" s="384"/>
      <c r="B556" s="385"/>
      <c r="C556" s="384"/>
      <c r="D556" s="397"/>
      <c r="E556" s="399"/>
      <c r="F556" s="413"/>
    </row>
    <row r="557" spans="1:6" ht="15" customHeight="1" x14ac:dyDescent="0.35">
      <c r="A557" s="384"/>
      <c r="B557" s="385"/>
      <c r="C557" s="384"/>
      <c r="D557" s="397"/>
      <c r="E557" s="399"/>
      <c r="F557" s="413"/>
    </row>
    <row r="558" spans="1:6" ht="15" customHeight="1" x14ac:dyDescent="0.35">
      <c r="A558" s="384"/>
      <c r="B558" s="385"/>
      <c r="C558" s="384"/>
      <c r="D558" s="397"/>
      <c r="E558" s="399"/>
      <c r="F558" s="413"/>
    </row>
    <row r="559" spans="1:6" ht="15" customHeight="1" x14ac:dyDescent="0.35">
      <c r="A559" s="378"/>
      <c r="B559" s="379"/>
      <c r="C559" s="378"/>
      <c r="D559" s="391"/>
      <c r="E559" s="391"/>
      <c r="F559" s="411"/>
    </row>
    <row r="560" spans="1:6" ht="15" customHeight="1" x14ac:dyDescent="0.35">
      <c r="A560" s="384"/>
      <c r="B560" s="385"/>
      <c r="C560" s="384"/>
      <c r="D560" s="397"/>
      <c r="E560" s="399"/>
      <c r="F560" s="413"/>
    </row>
    <row r="561" spans="1:6" ht="15" customHeight="1" x14ac:dyDescent="0.35">
      <c r="A561" s="384"/>
      <c r="B561" s="385"/>
      <c r="C561" s="384"/>
      <c r="D561" s="397"/>
      <c r="E561" s="399"/>
      <c r="F561" s="413"/>
    </row>
    <row r="562" spans="1:6" ht="28.9" customHeight="1" x14ac:dyDescent="0.35">
      <c r="A562" s="386"/>
      <c r="B562" s="383" t="s">
        <v>1117</v>
      </c>
      <c r="C562" s="396"/>
      <c r="D562" s="397"/>
      <c r="E562" s="398"/>
      <c r="F562" s="413"/>
    </row>
    <row r="563" spans="1:6" ht="14.35" customHeight="1" x14ac:dyDescent="0.35">
      <c r="A563" s="384" t="s">
        <v>31</v>
      </c>
      <c r="B563" s="385" t="s">
        <v>1146</v>
      </c>
      <c r="C563" s="384" t="s">
        <v>112</v>
      </c>
      <c r="D563" s="400">
        <v>80</v>
      </c>
      <c r="E563" s="401">
        <v>30400</v>
      </c>
      <c r="F563" s="410">
        <f t="shared" ref="F563:F570" si="48">D563*E563</f>
        <v>2432000</v>
      </c>
    </row>
    <row r="564" spans="1:6" ht="14.35" customHeight="1" x14ac:dyDescent="0.35">
      <c r="A564" s="384" t="s">
        <v>32</v>
      </c>
      <c r="B564" s="385" t="s">
        <v>1118</v>
      </c>
      <c r="C564" s="384" t="s">
        <v>112</v>
      </c>
      <c r="D564" s="400">
        <v>100</v>
      </c>
      <c r="E564" s="401">
        <v>36480</v>
      </c>
      <c r="F564" s="410">
        <f t="shared" si="48"/>
        <v>3648000</v>
      </c>
    </row>
    <row r="565" spans="1:6" ht="14.35" customHeight="1" x14ac:dyDescent="0.35">
      <c r="A565" s="384" t="s">
        <v>33</v>
      </c>
      <c r="B565" s="385" t="s">
        <v>1147</v>
      </c>
      <c r="C565" s="384" t="s">
        <v>112</v>
      </c>
      <c r="D565" s="400">
        <v>90</v>
      </c>
      <c r="E565" s="401">
        <v>42560</v>
      </c>
      <c r="F565" s="410">
        <f t="shared" si="48"/>
        <v>3830400</v>
      </c>
    </row>
    <row r="566" spans="1:6" ht="14.35" customHeight="1" x14ac:dyDescent="0.35">
      <c r="A566" s="384" t="s">
        <v>34</v>
      </c>
      <c r="B566" s="385" t="s">
        <v>1119</v>
      </c>
      <c r="C566" s="384" t="s">
        <v>112</v>
      </c>
      <c r="D566" s="400">
        <v>80</v>
      </c>
      <c r="E566" s="401">
        <v>54720</v>
      </c>
      <c r="F566" s="410">
        <f t="shared" si="48"/>
        <v>4377600</v>
      </c>
    </row>
    <row r="567" spans="1:6" ht="14.35" customHeight="1" x14ac:dyDescent="0.35">
      <c r="A567" s="384" t="s">
        <v>35</v>
      </c>
      <c r="B567" s="385" t="s">
        <v>1120</v>
      </c>
      <c r="C567" s="384" t="s">
        <v>112</v>
      </c>
      <c r="D567" s="400">
        <v>40</v>
      </c>
      <c r="E567" s="401">
        <v>76000</v>
      </c>
      <c r="F567" s="410">
        <f t="shared" si="48"/>
        <v>3040000</v>
      </c>
    </row>
    <row r="568" spans="1:6" ht="14.35" customHeight="1" x14ac:dyDescent="0.35">
      <c r="A568" s="384" t="s">
        <v>36</v>
      </c>
      <c r="B568" s="385" t="s">
        <v>1121</v>
      </c>
      <c r="C568" s="384" t="s">
        <v>112</v>
      </c>
      <c r="D568" s="400">
        <v>15</v>
      </c>
      <c r="E568" s="401">
        <v>88160</v>
      </c>
      <c r="F568" s="410">
        <f t="shared" si="48"/>
        <v>1322400</v>
      </c>
    </row>
    <row r="569" spans="1:6" ht="14.35" customHeight="1" x14ac:dyDescent="0.35">
      <c r="A569" s="384" t="s">
        <v>39</v>
      </c>
      <c r="B569" s="385" t="s">
        <v>1149</v>
      </c>
      <c r="C569" s="384" t="s">
        <v>112</v>
      </c>
      <c r="D569" s="400">
        <v>15</v>
      </c>
      <c r="E569" s="401">
        <v>115520</v>
      </c>
      <c r="F569" s="410">
        <f t="shared" si="48"/>
        <v>1732800</v>
      </c>
    </row>
    <row r="570" spans="1:6" ht="14.35" customHeight="1" x14ac:dyDescent="0.35">
      <c r="A570" s="384" t="s">
        <v>15</v>
      </c>
      <c r="B570" s="385" t="s">
        <v>1151</v>
      </c>
      <c r="C570" s="384" t="s">
        <v>112</v>
      </c>
      <c r="D570" s="400">
        <v>25</v>
      </c>
      <c r="E570" s="401">
        <v>173888</v>
      </c>
      <c r="F570" s="410">
        <f t="shared" si="48"/>
        <v>4347200</v>
      </c>
    </row>
    <row r="571" spans="1:6" ht="14.35" customHeight="1" x14ac:dyDescent="0.35">
      <c r="A571" s="386"/>
      <c r="B571" s="383" t="s">
        <v>1122</v>
      </c>
      <c r="C571" s="396"/>
      <c r="D571" s="397"/>
      <c r="E571" s="399"/>
      <c r="F571" s="413"/>
    </row>
    <row r="572" spans="1:6" ht="14.35" customHeight="1" x14ac:dyDescent="0.35">
      <c r="A572" s="384" t="s">
        <v>17</v>
      </c>
      <c r="B572" s="385" t="s">
        <v>1123</v>
      </c>
      <c r="C572" s="384" t="s">
        <v>1124</v>
      </c>
      <c r="D572" s="400">
        <v>30</v>
      </c>
      <c r="E572" s="401">
        <v>197600</v>
      </c>
      <c r="F572" s="410">
        <f t="shared" ref="F572:F574" si="49">D572*E572</f>
        <v>5928000</v>
      </c>
    </row>
    <row r="573" spans="1:6" ht="42" customHeight="1" x14ac:dyDescent="0.35">
      <c r="A573" s="384" t="s">
        <v>90</v>
      </c>
      <c r="B573" s="385" t="s">
        <v>1125</v>
      </c>
      <c r="C573" s="384" t="s">
        <v>112</v>
      </c>
      <c r="D573" s="400">
        <v>10</v>
      </c>
      <c r="E573" s="401">
        <v>215840</v>
      </c>
      <c r="F573" s="410">
        <f t="shared" si="49"/>
        <v>2158400</v>
      </c>
    </row>
    <row r="574" spans="1:6" ht="36.4" customHeight="1" x14ac:dyDescent="0.35">
      <c r="A574" s="384" t="s">
        <v>88</v>
      </c>
      <c r="B574" s="385" t="s">
        <v>1126</v>
      </c>
      <c r="C574" s="384" t="s">
        <v>112</v>
      </c>
      <c r="D574" s="400">
        <v>445</v>
      </c>
      <c r="E574" s="401">
        <v>6779.6640000000007</v>
      </c>
      <c r="F574" s="410">
        <f t="shared" si="49"/>
        <v>3016950.4800000004</v>
      </c>
    </row>
    <row r="575" spans="1:6" ht="15.4" customHeight="1" x14ac:dyDescent="0.35">
      <c r="A575" s="386"/>
      <c r="B575" s="383" t="s">
        <v>1127</v>
      </c>
      <c r="C575" s="396"/>
      <c r="D575" s="397"/>
      <c r="E575" s="398">
        <v>0</v>
      </c>
      <c r="F575" s="413"/>
    </row>
    <row r="576" spans="1:6" ht="15.4" customHeight="1" x14ac:dyDescent="0.35">
      <c r="A576" s="384" t="s">
        <v>33</v>
      </c>
      <c r="B576" s="385" t="s">
        <v>1128</v>
      </c>
      <c r="C576" s="384" t="s">
        <v>112</v>
      </c>
      <c r="D576" s="400">
        <v>100</v>
      </c>
      <c r="E576" s="401">
        <v>6080</v>
      </c>
      <c r="F576" s="410">
        <f t="shared" ref="F576:F578" si="50">D576*E576</f>
        <v>608000</v>
      </c>
    </row>
    <row r="577" spans="1:6" ht="15.4" customHeight="1" x14ac:dyDescent="0.35">
      <c r="A577" s="384" t="s">
        <v>34</v>
      </c>
      <c r="B577" s="385" t="s">
        <v>1129</v>
      </c>
      <c r="C577" s="384" t="s">
        <v>112</v>
      </c>
      <c r="D577" s="400">
        <v>70</v>
      </c>
      <c r="E577" s="401">
        <v>9120</v>
      </c>
      <c r="F577" s="410">
        <f t="shared" si="50"/>
        <v>638400</v>
      </c>
    </row>
    <row r="578" spans="1:6" ht="15.4" customHeight="1" x14ac:dyDescent="0.35">
      <c r="A578" s="384" t="s">
        <v>34</v>
      </c>
      <c r="B578" s="385" t="s">
        <v>1130</v>
      </c>
      <c r="C578" s="384" t="s">
        <v>112</v>
      </c>
      <c r="D578" s="400">
        <v>50</v>
      </c>
      <c r="E578" s="401">
        <v>12160</v>
      </c>
      <c r="F578" s="410">
        <f t="shared" si="50"/>
        <v>608000</v>
      </c>
    </row>
    <row r="579" spans="1:6" ht="15.4" customHeight="1" x14ac:dyDescent="0.35">
      <c r="A579" s="386"/>
      <c r="B579" s="383" t="s">
        <v>1166</v>
      </c>
      <c r="C579" s="396"/>
      <c r="D579" s="397"/>
      <c r="E579" s="398">
        <v>0</v>
      </c>
      <c r="F579" s="413"/>
    </row>
    <row r="580" spans="1:6" ht="28.9" customHeight="1" x14ac:dyDescent="0.35">
      <c r="A580" s="384" t="s">
        <v>1138</v>
      </c>
      <c r="B580" s="385" t="s">
        <v>1167</v>
      </c>
      <c r="C580" s="384" t="s">
        <v>1107</v>
      </c>
      <c r="D580" s="400">
        <v>2</v>
      </c>
      <c r="E580" s="401">
        <v>5688000</v>
      </c>
      <c r="F580" s="410">
        <f t="shared" ref="F580" si="51">D580*E580</f>
        <v>11376000</v>
      </c>
    </row>
    <row r="581" spans="1:6" ht="16.5" customHeight="1" x14ac:dyDescent="0.35">
      <c r="A581" s="384" t="s">
        <v>1139</v>
      </c>
      <c r="B581" s="385" t="s">
        <v>1168</v>
      </c>
      <c r="C581" s="396"/>
      <c r="D581" s="397"/>
      <c r="E581" s="398">
        <v>0</v>
      </c>
      <c r="F581" s="413"/>
    </row>
    <row r="582" spans="1:6" ht="16.5" customHeight="1" x14ac:dyDescent="0.35">
      <c r="A582" s="386"/>
      <c r="B582" s="385" t="s">
        <v>1169</v>
      </c>
      <c r="C582" s="384" t="s">
        <v>112</v>
      </c>
      <c r="D582" s="400">
        <v>30</v>
      </c>
      <c r="E582" s="401">
        <v>85016.952000000005</v>
      </c>
      <c r="F582" s="410">
        <f t="shared" ref="F582:F589" si="52">D582*E582</f>
        <v>2550508.56</v>
      </c>
    </row>
    <row r="583" spans="1:6" ht="16.5" customHeight="1" x14ac:dyDescent="0.35">
      <c r="A583" s="386"/>
      <c r="B583" s="385" t="s">
        <v>1170</v>
      </c>
      <c r="C583" s="384" t="s">
        <v>112</v>
      </c>
      <c r="D583" s="400">
        <v>100</v>
      </c>
      <c r="E583" s="401">
        <v>59511.864000000001</v>
      </c>
      <c r="F583" s="410">
        <f t="shared" si="52"/>
        <v>5951186.4000000004</v>
      </c>
    </row>
    <row r="584" spans="1:6" ht="16.5" customHeight="1" x14ac:dyDescent="0.35">
      <c r="A584" s="386"/>
      <c r="B584" s="385" t="s">
        <v>1171</v>
      </c>
      <c r="C584" s="384" t="s">
        <v>112</v>
      </c>
      <c r="D584" s="400">
        <v>320</v>
      </c>
      <c r="E584" s="401">
        <v>51010.168000000005</v>
      </c>
      <c r="F584" s="410">
        <f t="shared" si="52"/>
        <v>16323253.760000002</v>
      </c>
    </row>
    <row r="585" spans="1:6" ht="16.5" customHeight="1" x14ac:dyDescent="0.35">
      <c r="A585" s="386"/>
      <c r="B585" s="385" t="s">
        <v>1172</v>
      </c>
      <c r="C585" s="384" t="s">
        <v>112</v>
      </c>
      <c r="D585" s="400">
        <v>60</v>
      </c>
      <c r="E585" s="401">
        <v>60800</v>
      </c>
      <c r="F585" s="410">
        <f t="shared" si="52"/>
        <v>3648000</v>
      </c>
    </row>
    <row r="586" spans="1:6" ht="16.5" customHeight="1" x14ac:dyDescent="0.35">
      <c r="A586" s="384" t="s">
        <v>1140</v>
      </c>
      <c r="B586" s="385" t="s">
        <v>1173</v>
      </c>
      <c r="C586" s="384" t="s">
        <v>1174</v>
      </c>
      <c r="D586" s="400">
        <v>15</v>
      </c>
      <c r="E586" s="401">
        <v>121600</v>
      </c>
      <c r="F586" s="410">
        <f t="shared" si="52"/>
        <v>1824000</v>
      </c>
    </row>
    <row r="587" spans="1:6" ht="16.5" customHeight="1" x14ac:dyDescent="0.35">
      <c r="A587" s="384" t="s">
        <v>1142</v>
      </c>
      <c r="B587" s="385" t="s">
        <v>1175</v>
      </c>
      <c r="C587" s="384" t="s">
        <v>1174</v>
      </c>
      <c r="D587" s="400">
        <v>2</v>
      </c>
      <c r="E587" s="401">
        <v>212800</v>
      </c>
      <c r="F587" s="410">
        <f t="shared" si="52"/>
        <v>425600</v>
      </c>
    </row>
    <row r="588" spans="1:6" ht="16.5" customHeight="1" x14ac:dyDescent="0.35">
      <c r="A588" s="384" t="s">
        <v>1144</v>
      </c>
      <c r="B588" s="385" t="s">
        <v>1176</v>
      </c>
      <c r="C588" s="384" t="s">
        <v>1174</v>
      </c>
      <c r="D588" s="400">
        <v>85</v>
      </c>
      <c r="E588" s="401">
        <v>121600</v>
      </c>
      <c r="F588" s="410">
        <f t="shared" si="52"/>
        <v>10336000</v>
      </c>
    </row>
    <row r="589" spans="1:6" ht="28.9" customHeight="1" x14ac:dyDescent="0.35">
      <c r="A589" s="386" t="s">
        <v>32</v>
      </c>
      <c r="B589" s="385" t="s">
        <v>1177</v>
      </c>
      <c r="C589" s="384" t="s">
        <v>1100</v>
      </c>
      <c r="D589" s="400">
        <v>1</v>
      </c>
      <c r="E589" s="401">
        <v>20400000</v>
      </c>
      <c r="F589" s="410">
        <f t="shared" si="52"/>
        <v>20400000</v>
      </c>
    </row>
    <row r="590" spans="1:6" ht="17.350000000000001" customHeight="1" x14ac:dyDescent="0.35">
      <c r="A590" s="386"/>
      <c r="B590" s="385"/>
      <c r="C590" s="384"/>
      <c r="D590" s="400"/>
      <c r="E590" s="401"/>
      <c r="F590" s="410"/>
    </row>
    <row r="591" spans="1:6" ht="17.350000000000001" customHeight="1" x14ac:dyDescent="0.35">
      <c r="A591" s="386"/>
      <c r="B591" s="385"/>
      <c r="C591" s="384"/>
      <c r="D591" s="400"/>
      <c r="E591" s="401"/>
      <c r="F591" s="410"/>
    </row>
    <row r="592" spans="1:6" ht="17.350000000000001" customHeight="1" x14ac:dyDescent="0.35">
      <c r="A592" s="386"/>
      <c r="B592" s="385"/>
      <c r="C592" s="384"/>
      <c r="D592" s="400"/>
      <c r="E592" s="401"/>
      <c r="F592" s="410"/>
    </row>
    <row r="593" spans="1:6" ht="17.350000000000001" customHeight="1" x14ac:dyDescent="0.35">
      <c r="A593" s="386"/>
      <c r="B593" s="385"/>
      <c r="C593" s="384"/>
      <c r="D593" s="400"/>
      <c r="E593" s="401"/>
      <c r="F593" s="410"/>
    </row>
    <row r="594" spans="1:6" ht="17.350000000000001" customHeight="1" x14ac:dyDescent="0.35">
      <c r="A594" s="386"/>
      <c r="B594" s="385"/>
      <c r="C594" s="384"/>
      <c r="D594" s="400"/>
      <c r="E594" s="401"/>
      <c r="F594" s="410"/>
    </row>
    <row r="595" spans="1:6" ht="17.350000000000001" customHeight="1" x14ac:dyDescent="0.35">
      <c r="A595" s="386"/>
      <c r="B595" s="385"/>
      <c r="C595" s="384"/>
      <c r="D595" s="400"/>
      <c r="E595" s="401"/>
      <c r="F595" s="410"/>
    </row>
    <row r="596" spans="1:6" ht="17.350000000000001" customHeight="1" x14ac:dyDescent="0.35">
      <c r="A596" s="386"/>
      <c r="B596" s="385"/>
      <c r="C596" s="384"/>
      <c r="D596" s="400"/>
      <c r="E596" s="401"/>
      <c r="F596" s="410"/>
    </row>
    <row r="597" spans="1:6" ht="17.350000000000001" customHeight="1" x14ac:dyDescent="0.35">
      <c r="A597" s="386"/>
      <c r="B597" s="385"/>
      <c r="C597" s="384"/>
      <c r="D597" s="400"/>
      <c r="E597" s="401"/>
      <c r="F597" s="410"/>
    </row>
    <row r="598" spans="1:6" ht="28.9" customHeight="1" x14ac:dyDescent="0.35">
      <c r="A598" s="378"/>
      <c r="B598" s="379" t="s">
        <v>1244</v>
      </c>
      <c r="C598" s="378"/>
      <c r="D598" s="391"/>
      <c r="E598" s="391"/>
      <c r="F598" s="411">
        <f>SUM(F521:F589)</f>
        <v>223792584.01600003</v>
      </c>
    </row>
    <row r="599" spans="1:6" ht="17.350000000000001" customHeight="1" x14ac:dyDescent="0.35">
      <c r="A599" s="392"/>
      <c r="B599" s="382"/>
      <c r="C599" s="393"/>
      <c r="D599" s="394"/>
      <c r="E599" s="395"/>
      <c r="F599" s="413"/>
    </row>
  </sheetData>
  <pageMargins left="0.7" right="0.7" top="0.75" bottom="0.75" header="0.3" footer="0.3"/>
  <pageSetup paperSize="9" scale="77" fitToHeight="0" orientation="portrait" r:id="rId1"/>
  <rowBreaks count="13" manualBreakCount="13">
    <brk id="48" max="16383" man="1"/>
    <brk id="94" max="16383" man="1"/>
    <brk id="142" max="16383" man="1"/>
    <brk id="182" max="16383" man="1"/>
    <brk id="219" max="16383" man="1"/>
    <brk id="264" max="16383" man="1"/>
    <brk id="299" max="16383" man="1"/>
    <brk id="331" max="16383" man="1"/>
    <brk id="372" max="16383" man="1"/>
    <brk id="422" max="16383" man="1"/>
    <brk id="466" max="16383" man="1"/>
    <brk id="516" max="16383" man="1"/>
    <brk id="56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4"/>
  <sheetViews>
    <sheetView view="pageBreakPreview" zoomScaleNormal="100" workbookViewId="0">
      <selection activeCell="M12" sqref="M12"/>
    </sheetView>
  </sheetViews>
  <sheetFormatPr defaultColWidth="9.1328125" defaultRowHeight="20.65" x14ac:dyDescent="0.35"/>
  <cols>
    <col min="1" max="1" width="6.33203125" style="287" customWidth="1"/>
    <col min="2" max="2" width="69.86328125" style="291" customWidth="1"/>
    <col min="3" max="16384" width="9.1328125" style="287"/>
  </cols>
  <sheetData>
    <row r="1" spans="2:2" x14ac:dyDescent="0.35">
      <c r="B1" s="288"/>
    </row>
    <row r="2" spans="2:2" ht="30" customHeight="1" x14ac:dyDescent="0.35">
      <c r="B2" s="289" t="s">
        <v>987</v>
      </c>
    </row>
    <row r="3" spans="2:2" ht="40.5" customHeight="1" x14ac:dyDescent="0.35">
      <c r="B3" s="290" t="s">
        <v>982</v>
      </c>
    </row>
    <row r="4" spans="2:2" x14ac:dyDescent="0.35">
      <c r="B4" s="288"/>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K38"/>
  <sheetViews>
    <sheetView view="pageBreakPreview" zoomScale="80" zoomScaleNormal="90" zoomScaleSheetLayoutView="80" workbookViewId="0">
      <selection activeCell="A32" sqref="A32:XFD32"/>
    </sheetView>
  </sheetViews>
  <sheetFormatPr defaultRowHeight="15.4" x14ac:dyDescent="0.35"/>
  <cols>
    <col min="1" max="1" width="0.53125" style="239" customWidth="1"/>
    <col min="2" max="2" width="7" style="254" customWidth="1"/>
    <col min="3" max="3" width="65.6640625" style="239" customWidth="1"/>
    <col min="4" max="4" width="8.796875" style="255" customWidth="1"/>
    <col min="5" max="5" width="8.796875" style="254" customWidth="1"/>
    <col min="6" max="6" width="12.796875" style="256" customWidth="1"/>
    <col min="7" max="7" width="14.796875" style="256" customWidth="1"/>
    <col min="8" max="8" width="0.86328125" style="239" customWidth="1"/>
    <col min="9" max="228" width="8.86328125" style="239"/>
    <col min="229" max="229" width="0.86328125" style="239" customWidth="1"/>
    <col min="230" max="230" width="7" style="239" customWidth="1"/>
    <col min="231" max="231" width="50.6640625" style="239" customWidth="1"/>
    <col min="232" max="233" width="7.6640625" style="239" customWidth="1"/>
    <col min="234" max="234" width="11.6640625" style="239" customWidth="1"/>
    <col min="235" max="235" width="12.6640625" style="239" customWidth="1"/>
    <col min="236" max="484" width="8.86328125" style="239"/>
    <col min="485" max="485" width="0.86328125" style="239" customWidth="1"/>
    <col min="486" max="486" width="7" style="239" customWidth="1"/>
    <col min="487" max="487" width="50.6640625" style="239" customWidth="1"/>
    <col min="488" max="489" width="7.6640625" style="239" customWidth="1"/>
    <col min="490" max="490" width="11.6640625" style="239" customWidth="1"/>
    <col min="491" max="491" width="12.6640625" style="239" customWidth="1"/>
    <col min="492" max="740" width="8.86328125" style="239"/>
    <col min="741" max="741" width="0.86328125" style="239" customWidth="1"/>
    <col min="742" max="742" width="7" style="239" customWidth="1"/>
    <col min="743" max="743" width="50.6640625" style="239" customWidth="1"/>
    <col min="744" max="745" width="7.6640625" style="239" customWidth="1"/>
    <col min="746" max="746" width="11.6640625" style="239" customWidth="1"/>
    <col min="747" max="747" width="12.6640625" style="239" customWidth="1"/>
    <col min="748" max="996" width="8.86328125" style="239"/>
    <col min="997" max="997" width="0.86328125" style="239" customWidth="1"/>
    <col min="998" max="998" width="7" style="239" customWidth="1"/>
    <col min="999" max="999" width="50.6640625" style="239" customWidth="1"/>
    <col min="1000" max="1001" width="7.6640625" style="239" customWidth="1"/>
    <col min="1002" max="1002" width="11.6640625" style="239" customWidth="1"/>
    <col min="1003" max="1003" width="12.6640625" style="239" customWidth="1"/>
    <col min="1004" max="1252" width="8.86328125" style="239"/>
    <col min="1253" max="1253" width="0.86328125" style="239" customWidth="1"/>
    <col min="1254" max="1254" width="7" style="239" customWidth="1"/>
    <col min="1255" max="1255" width="50.6640625" style="239" customWidth="1"/>
    <col min="1256" max="1257" width="7.6640625" style="239" customWidth="1"/>
    <col min="1258" max="1258" width="11.6640625" style="239" customWidth="1"/>
    <col min="1259" max="1259" width="12.6640625" style="239" customWidth="1"/>
    <col min="1260" max="1508" width="8.86328125" style="239"/>
    <col min="1509" max="1509" width="0.86328125" style="239" customWidth="1"/>
    <col min="1510" max="1510" width="7" style="239" customWidth="1"/>
    <col min="1511" max="1511" width="50.6640625" style="239" customWidth="1"/>
    <col min="1512" max="1513" width="7.6640625" style="239" customWidth="1"/>
    <col min="1514" max="1514" width="11.6640625" style="239" customWidth="1"/>
    <col min="1515" max="1515" width="12.6640625" style="239" customWidth="1"/>
    <col min="1516" max="1764" width="8.86328125" style="239"/>
    <col min="1765" max="1765" width="0.86328125" style="239" customWidth="1"/>
    <col min="1766" max="1766" width="7" style="239" customWidth="1"/>
    <col min="1767" max="1767" width="50.6640625" style="239" customWidth="1"/>
    <col min="1768" max="1769" width="7.6640625" style="239" customWidth="1"/>
    <col min="1770" max="1770" width="11.6640625" style="239" customWidth="1"/>
    <col min="1771" max="1771" width="12.6640625" style="239" customWidth="1"/>
    <col min="1772" max="2020" width="8.86328125" style="239"/>
    <col min="2021" max="2021" width="0.86328125" style="239" customWidth="1"/>
    <col min="2022" max="2022" width="7" style="239" customWidth="1"/>
    <col min="2023" max="2023" width="50.6640625" style="239" customWidth="1"/>
    <col min="2024" max="2025" width="7.6640625" style="239" customWidth="1"/>
    <col min="2026" max="2026" width="11.6640625" style="239" customWidth="1"/>
    <col min="2027" max="2027" width="12.6640625" style="239" customWidth="1"/>
    <col min="2028" max="2276" width="8.86328125" style="239"/>
    <col min="2277" max="2277" width="0.86328125" style="239" customWidth="1"/>
    <col min="2278" max="2278" width="7" style="239" customWidth="1"/>
    <col min="2279" max="2279" width="50.6640625" style="239" customWidth="1"/>
    <col min="2280" max="2281" width="7.6640625" style="239" customWidth="1"/>
    <col min="2282" max="2282" width="11.6640625" style="239" customWidth="1"/>
    <col min="2283" max="2283" width="12.6640625" style="239" customWidth="1"/>
    <col min="2284" max="2532" width="8.86328125" style="239"/>
    <col min="2533" max="2533" width="0.86328125" style="239" customWidth="1"/>
    <col min="2534" max="2534" width="7" style="239" customWidth="1"/>
    <col min="2535" max="2535" width="50.6640625" style="239" customWidth="1"/>
    <col min="2536" max="2537" width="7.6640625" style="239" customWidth="1"/>
    <col min="2538" max="2538" width="11.6640625" style="239" customWidth="1"/>
    <col min="2539" max="2539" width="12.6640625" style="239" customWidth="1"/>
    <col min="2540" max="2788" width="8.86328125" style="239"/>
    <col min="2789" max="2789" width="0.86328125" style="239" customWidth="1"/>
    <col min="2790" max="2790" width="7" style="239" customWidth="1"/>
    <col min="2791" max="2791" width="50.6640625" style="239" customWidth="1"/>
    <col min="2792" max="2793" width="7.6640625" style="239" customWidth="1"/>
    <col min="2794" max="2794" width="11.6640625" style="239" customWidth="1"/>
    <col min="2795" max="2795" width="12.6640625" style="239" customWidth="1"/>
    <col min="2796" max="3044" width="8.86328125" style="239"/>
    <col min="3045" max="3045" width="0.86328125" style="239" customWidth="1"/>
    <col min="3046" max="3046" width="7" style="239" customWidth="1"/>
    <col min="3047" max="3047" width="50.6640625" style="239" customWidth="1"/>
    <col min="3048" max="3049" width="7.6640625" style="239" customWidth="1"/>
    <col min="3050" max="3050" width="11.6640625" style="239" customWidth="1"/>
    <col min="3051" max="3051" width="12.6640625" style="239" customWidth="1"/>
    <col min="3052" max="3300" width="8.86328125" style="239"/>
    <col min="3301" max="3301" width="0.86328125" style="239" customWidth="1"/>
    <col min="3302" max="3302" width="7" style="239" customWidth="1"/>
    <col min="3303" max="3303" width="50.6640625" style="239" customWidth="1"/>
    <col min="3304" max="3305" width="7.6640625" style="239" customWidth="1"/>
    <col min="3306" max="3306" width="11.6640625" style="239" customWidth="1"/>
    <col min="3307" max="3307" width="12.6640625" style="239" customWidth="1"/>
    <col min="3308" max="3556" width="8.86328125" style="239"/>
    <col min="3557" max="3557" width="0.86328125" style="239" customWidth="1"/>
    <col min="3558" max="3558" width="7" style="239" customWidth="1"/>
    <col min="3559" max="3559" width="50.6640625" style="239" customWidth="1"/>
    <col min="3560" max="3561" width="7.6640625" style="239" customWidth="1"/>
    <col min="3562" max="3562" width="11.6640625" style="239" customWidth="1"/>
    <col min="3563" max="3563" width="12.6640625" style="239" customWidth="1"/>
    <col min="3564" max="3812" width="8.86328125" style="239"/>
    <col min="3813" max="3813" width="0.86328125" style="239" customWidth="1"/>
    <col min="3814" max="3814" width="7" style="239" customWidth="1"/>
    <col min="3815" max="3815" width="50.6640625" style="239" customWidth="1"/>
    <col min="3816" max="3817" width="7.6640625" style="239" customWidth="1"/>
    <col min="3818" max="3818" width="11.6640625" style="239" customWidth="1"/>
    <col min="3819" max="3819" width="12.6640625" style="239" customWidth="1"/>
    <col min="3820" max="4068" width="8.86328125" style="239"/>
    <col min="4069" max="4069" width="0.86328125" style="239" customWidth="1"/>
    <col min="4070" max="4070" width="7" style="239" customWidth="1"/>
    <col min="4071" max="4071" width="50.6640625" style="239" customWidth="1"/>
    <col min="4072" max="4073" width="7.6640625" style="239" customWidth="1"/>
    <col min="4074" max="4074" width="11.6640625" style="239" customWidth="1"/>
    <col min="4075" max="4075" width="12.6640625" style="239" customWidth="1"/>
    <col min="4076" max="4324" width="8.86328125" style="239"/>
    <col min="4325" max="4325" width="0.86328125" style="239" customWidth="1"/>
    <col min="4326" max="4326" width="7" style="239" customWidth="1"/>
    <col min="4327" max="4327" width="50.6640625" style="239" customWidth="1"/>
    <col min="4328" max="4329" width="7.6640625" style="239" customWidth="1"/>
    <col min="4330" max="4330" width="11.6640625" style="239" customWidth="1"/>
    <col min="4331" max="4331" width="12.6640625" style="239" customWidth="1"/>
    <col min="4332" max="4580" width="8.86328125" style="239"/>
    <col min="4581" max="4581" width="0.86328125" style="239" customWidth="1"/>
    <col min="4582" max="4582" width="7" style="239" customWidth="1"/>
    <col min="4583" max="4583" width="50.6640625" style="239" customWidth="1"/>
    <col min="4584" max="4585" width="7.6640625" style="239" customWidth="1"/>
    <col min="4586" max="4586" width="11.6640625" style="239" customWidth="1"/>
    <col min="4587" max="4587" width="12.6640625" style="239" customWidth="1"/>
    <col min="4588" max="4836" width="8.86328125" style="239"/>
    <col min="4837" max="4837" width="0.86328125" style="239" customWidth="1"/>
    <col min="4838" max="4838" width="7" style="239" customWidth="1"/>
    <col min="4839" max="4839" width="50.6640625" style="239" customWidth="1"/>
    <col min="4840" max="4841" width="7.6640625" style="239" customWidth="1"/>
    <col min="4842" max="4842" width="11.6640625" style="239" customWidth="1"/>
    <col min="4843" max="4843" width="12.6640625" style="239" customWidth="1"/>
    <col min="4844" max="5092" width="8.86328125" style="239"/>
    <col min="5093" max="5093" width="0.86328125" style="239" customWidth="1"/>
    <col min="5094" max="5094" width="7" style="239" customWidth="1"/>
    <col min="5095" max="5095" width="50.6640625" style="239" customWidth="1"/>
    <col min="5096" max="5097" width="7.6640625" style="239" customWidth="1"/>
    <col min="5098" max="5098" width="11.6640625" style="239" customWidth="1"/>
    <col min="5099" max="5099" width="12.6640625" style="239" customWidth="1"/>
    <col min="5100" max="5348" width="8.86328125" style="239"/>
    <col min="5349" max="5349" width="0.86328125" style="239" customWidth="1"/>
    <col min="5350" max="5350" width="7" style="239" customWidth="1"/>
    <col min="5351" max="5351" width="50.6640625" style="239" customWidth="1"/>
    <col min="5352" max="5353" width="7.6640625" style="239" customWidth="1"/>
    <col min="5354" max="5354" width="11.6640625" style="239" customWidth="1"/>
    <col min="5355" max="5355" width="12.6640625" style="239" customWidth="1"/>
    <col min="5356" max="5604" width="8.86328125" style="239"/>
    <col min="5605" max="5605" width="0.86328125" style="239" customWidth="1"/>
    <col min="5606" max="5606" width="7" style="239" customWidth="1"/>
    <col min="5607" max="5607" width="50.6640625" style="239" customWidth="1"/>
    <col min="5608" max="5609" width="7.6640625" style="239" customWidth="1"/>
    <col min="5610" max="5610" width="11.6640625" style="239" customWidth="1"/>
    <col min="5611" max="5611" width="12.6640625" style="239" customWidth="1"/>
    <col min="5612" max="5860" width="8.86328125" style="239"/>
    <col min="5861" max="5861" width="0.86328125" style="239" customWidth="1"/>
    <col min="5862" max="5862" width="7" style="239" customWidth="1"/>
    <col min="5863" max="5863" width="50.6640625" style="239" customWidth="1"/>
    <col min="5864" max="5865" width="7.6640625" style="239" customWidth="1"/>
    <col min="5866" max="5866" width="11.6640625" style="239" customWidth="1"/>
    <col min="5867" max="5867" width="12.6640625" style="239" customWidth="1"/>
    <col min="5868" max="6116" width="8.86328125" style="239"/>
    <col min="6117" max="6117" width="0.86328125" style="239" customWidth="1"/>
    <col min="6118" max="6118" width="7" style="239" customWidth="1"/>
    <col min="6119" max="6119" width="50.6640625" style="239" customWidth="1"/>
    <col min="6120" max="6121" width="7.6640625" style="239" customWidth="1"/>
    <col min="6122" max="6122" width="11.6640625" style="239" customWidth="1"/>
    <col min="6123" max="6123" width="12.6640625" style="239" customWidth="1"/>
    <col min="6124" max="6372" width="8.86328125" style="239"/>
    <col min="6373" max="6373" width="0.86328125" style="239" customWidth="1"/>
    <col min="6374" max="6374" width="7" style="239" customWidth="1"/>
    <col min="6375" max="6375" width="50.6640625" style="239" customWidth="1"/>
    <col min="6376" max="6377" width="7.6640625" style="239" customWidth="1"/>
    <col min="6378" max="6378" width="11.6640625" style="239" customWidth="1"/>
    <col min="6379" max="6379" width="12.6640625" style="239" customWidth="1"/>
    <col min="6380" max="6628" width="8.86328125" style="239"/>
    <col min="6629" max="6629" width="0.86328125" style="239" customWidth="1"/>
    <col min="6630" max="6630" width="7" style="239" customWidth="1"/>
    <col min="6631" max="6631" width="50.6640625" style="239" customWidth="1"/>
    <col min="6632" max="6633" width="7.6640625" style="239" customWidth="1"/>
    <col min="6634" max="6634" width="11.6640625" style="239" customWidth="1"/>
    <col min="6635" max="6635" width="12.6640625" style="239" customWidth="1"/>
    <col min="6636" max="6884" width="8.86328125" style="239"/>
    <col min="6885" max="6885" width="0.86328125" style="239" customWidth="1"/>
    <col min="6886" max="6886" width="7" style="239" customWidth="1"/>
    <col min="6887" max="6887" width="50.6640625" style="239" customWidth="1"/>
    <col min="6888" max="6889" width="7.6640625" style="239" customWidth="1"/>
    <col min="6890" max="6890" width="11.6640625" style="239" customWidth="1"/>
    <col min="6891" max="6891" width="12.6640625" style="239" customWidth="1"/>
    <col min="6892" max="7140" width="8.86328125" style="239"/>
    <col min="7141" max="7141" width="0.86328125" style="239" customWidth="1"/>
    <col min="7142" max="7142" width="7" style="239" customWidth="1"/>
    <col min="7143" max="7143" width="50.6640625" style="239" customWidth="1"/>
    <col min="7144" max="7145" width="7.6640625" style="239" customWidth="1"/>
    <col min="7146" max="7146" width="11.6640625" style="239" customWidth="1"/>
    <col min="7147" max="7147" width="12.6640625" style="239" customWidth="1"/>
    <col min="7148" max="7396" width="8.86328125" style="239"/>
    <col min="7397" max="7397" width="0.86328125" style="239" customWidth="1"/>
    <col min="7398" max="7398" width="7" style="239" customWidth="1"/>
    <col min="7399" max="7399" width="50.6640625" style="239" customWidth="1"/>
    <col min="7400" max="7401" width="7.6640625" style="239" customWidth="1"/>
    <col min="7402" max="7402" width="11.6640625" style="239" customWidth="1"/>
    <col min="7403" max="7403" width="12.6640625" style="239" customWidth="1"/>
    <col min="7404" max="7652" width="8.86328125" style="239"/>
    <col min="7653" max="7653" width="0.86328125" style="239" customWidth="1"/>
    <col min="7654" max="7654" width="7" style="239" customWidth="1"/>
    <col min="7655" max="7655" width="50.6640625" style="239" customWidth="1"/>
    <col min="7656" max="7657" width="7.6640625" style="239" customWidth="1"/>
    <col min="7658" max="7658" width="11.6640625" style="239" customWidth="1"/>
    <col min="7659" max="7659" width="12.6640625" style="239" customWidth="1"/>
    <col min="7660" max="7908" width="8.86328125" style="239"/>
    <col min="7909" max="7909" width="0.86328125" style="239" customWidth="1"/>
    <col min="7910" max="7910" width="7" style="239" customWidth="1"/>
    <col min="7911" max="7911" width="50.6640625" style="239" customWidth="1"/>
    <col min="7912" max="7913" width="7.6640625" style="239" customWidth="1"/>
    <col min="7914" max="7914" width="11.6640625" style="239" customWidth="1"/>
    <col min="7915" max="7915" width="12.6640625" style="239" customWidth="1"/>
    <col min="7916" max="8164" width="8.86328125" style="239"/>
    <col min="8165" max="8165" width="0.86328125" style="239" customWidth="1"/>
    <col min="8166" max="8166" width="7" style="239" customWidth="1"/>
    <col min="8167" max="8167" width="50.6640625" style="239" customWidth="1"/>
    <col min="8168" max="8169" width="7.6640625" style="239" customWidth="1"/>
    <col min="8170" max="8170" width="11.6640625" style="239" customWidth="1"/>
    <col min="8171" max="8171" width="12.6640625" style="239" customWidth="1"/>
    <col min="8172" max="8420" width="8.86328125" style="239"/>
    <col min="8421" max="8421" width="0.86328125" style="239" customWidth="1"/>
    <col min="8422" max="8422" width="7" style="239" customWidth="1"/>
    <col min="8423" max="8423" width="50.6640625" style="239" customWidth="1"/>
    <col min="8424" max="8425" width="7.6640625" style="239" customWidth="1"/>
    <col min="8426" max="8426" width="11.6640625" style="239" customWidth="1"/>
    <col min="8427" max="8427" width="12.6640625" style="239" customWidth="1"/>
    <col min="8428" max="8676" width="8.86328125" style="239"/>
    <col min="8677" max="8677" width="0.86328125" style="239" customWidth="1"/>
    <col min="8678" max="8678" width="7" style="239" customWidth="1"/>
    <col min="8679" max="8679" width="50.6640625" style="239" customWidth="1"/>
    <col min="8680" max="8681" width="7.6640625" style="239" customWidth="1"/>
    <col min="8682" max="8682" width="11.6640625" style="239" customWidth="1"/>
    <col min="8683" max="8683" width="12.6640625" style="239" customWidth="1"/>
    <col min="8684" max="8932" width="8.86328125" style="239"/>
    <col min="8933" max="8933" width="0.86328125" style="239" customWidth="1"/>
    <col min="8934" max="8934" width="7" style="239" customWidth="1"/>
    <col min="8935" max="8935" width="50.6640625" style="239" customWidth="1"/>
    <col min="8936" max="8937" width="7.6640625" style="239" customWidth="1"/>
    <col min="8938" max="8938" width="11.6640625" style="239" customWidth="1"/>
    <col min="8939" max="8939" width="12.6640625" style="239" customWidth="1"/>
    <col min="8940" max="9188" width="8.86328125" style="239"/>
    <col min="9189" max="9189" width="0.86328125" style="239" customWidth="1"/>
    <col min="9190" max="9190" width="7" style="239" customWidth="1"/>
    <col min="9191" max="9191" width="50.6640625" style="239" customWidth="1"/>
    <col min="9192" max="9193" width="7.6640625" style="239" customWidth="1"/>
    <col min="9194" max="9194" width="11.6640625" style="239" customWidth="1"/>
    <col min="9195" max="9195" width="12.6640625" style="239" customWidth="1"/>
    <col min="9196" max="9444" width="8.86328125" style="239"/>
    <col min="9445" max="9445" width="0.86328125" style="239" customWidth="1"/>
    <col min="9446" max="9446" width="7" style="239" customWidth="1"/>
    <col min="9447" max="9447" width="50.6640625" style="239" customWidth="1"/>
    <col min="9448" max="9449" width="7.6640625" style="239" customWidth="1"/>
    <col min="9450" max="9450" width="11.6640625" style="239" customWidth="1"/>
    <col min="9451" max="9451" width="12.6640625" style="239" customWidth="1"/>
    <col min="9452" max="9700" width="8.86328125" style="239"/>
    <col min="9701" max="9701" width="0.86328125" style="239" customWidth="1"/>
    <col min="9702" max="9702" width="7" style="239" customWidth="1"/>
    <col min="9703" max="9703" width="50.6640625" style="239" customWidth="1"/>
    <col min="9704" max="9705" width="7.6640625" style="239" customWidth="1"/>
    <col min="9706" max="9706" width="11.6640625" style="239" customWidth="1"/>
    <col min="9707" max="9707" width="12.6640625" style="239" customWidth="1"/>
    <col min="9708" max="9956" width="8.86328125" style="239"/>
    <col min="9957" max="9957" width="0.86328125" style="239" customWidth="1"/>
    <col min="9958" max="9958" width="7" style="239" customWidth="1"/>
    <col min="9959" max="9959" width="50.6640625" style="239" customWidth="1"/>
    <col min="9960" max="9961" width="7.6640625" style="239" customWidth="1"/>
    <col min="9962" max="9962" width="11.6640625" style="239" customWidth="1"/>
    <col min="9963" max="9963" width="12.6640625" style="239" customWidth="1"/>
    <col min="9964" max="10212" width="8.86328125" style="239"/>
    <col min="10213" max="10213" width="0.86328125" style="239" customWidth="1"/>
    <col min="10214" max="10214" width="7" style="239" customWidth="1"/>
    <col min="10215" max="10215" width="50.6640625" style="239" customWidth="1"/>
    <col min="10216" max="10217" width="7.6640625" style="239" customWidth="1"/>
    <col min="10218" max="10218" width="11.6640625" style="239" customWidth="1"/>
    <col min="10219" max="10219" width="12.6640625" style="239" customWidth="1"/>
    <col min="10220" max="10468" width="8.86328125" style="239"/>
    <col min="10469" max="10469" width="0.86328125" style="239" customWidth="1"/>
    <col min="10470" max="10470" width="7" style="239" customWidth="1"/>
    <col min="10471" max="10471" width="50.6640625" style="239" customWidth="1"/>
    <col min="10472" max="10473" width="7.6640625" style="239" customWidth="1"/>
    <col min="10474" max="10474" width="11.6640625" style="239" customWidth="1"/>
    <col min="10475" max="10475" width="12.6640625" style="239" customWidth="1"/>
    <col min="10476" max="10724" width="8.86328125" style="239"/>
    <col min="10725" max="10725" width="0.86328125" style="239" customWidth="1"/>
    <col min="10726" max="10726" width="7" style="239" customWidth="1"/>
    <col min="10727" max="10727" width="50.6640625" style="239" customWidth="1"/>
    <col min="10728" max="10729" width="7.6640625" style="239" customWidth="1"/>
    <col min="10730" max="10730" width="11.6640625" style="239" customWidth="1"/>
    <col min="10731" max="10731" width="12.6640625" style="239" customWidth="1"/>
    <col min="10732" max="10980" width="8.86328125" style="239"/>
    <col min="10981" max="10981" width="0.86328125" style="239" customWidth="1"/>
    <col min="10982" max="10982" width="7" style="239" customWidth="1"/>
    <col min="10983" max="10983" width="50.6640625" style="239" customWidth="1"/>
    <col min="10984" max="10985" width="7.6640625" style="239" customWidth="1"/>
    <col min="10986" max="10986" width="11.6640625" style="239" customWidth="1"/>
    <col min="10987" max="10987" width="12.6640625" style="239" customWidth="1"/>
    <col min="10988" max="11236" width="8.86328125" style="239"/>
    <col min="11237" max="11237" width="0.86328125" style="239" customWidth="1"/>
    <col min="11238" max="11238" width="7" style="239" customWidth="1"/>
    <col min="11239" max="11239" width="50.6640625" style="239" customWidth="1"/>
    <col min="11240" max="11241" width="7.6640625" style="239" customWidth="1"/>
    <col min="11242" max="11242" width="11.6640625" style="239" customWidth="1"/>
    <col min="11243" max="11243" width="12.6640625" style="239" customWidth="1"/>
    <col min="11244" max="11492" width="8.86328125" style="239"/>
    <col min="11493" max="11493" width="0.86328125" style="239" customWidth="1"/>
    <col min="11494" max="11494" width="7" style="239" customWidth="1"/>
    <col min="11495" max="11495" width="50.6640625" style="239" customWidth="1"/>
    <col min="11496" max="11497" width="7.6640625" style="239" customWidth="1"/>
    <col min="11498" max="11498" width="11.6640625" style="239" customWidth="1"/>
    <col min="11499" max="11499" width="12.6640625" style="239" customWidth="1"/>
    <col min="11500" max="11748" width="8.86328125" style="239"/>
    <col min="11749" max="11749" width="0.86328125" style="239" customWidth="1"/>
    <col min="11750" max="11750" width="7" style="239" customWidth="1"/>
    <col min="11751" max="11751" width="50.6640625" style="239" customWidth="1"/>
    <col min="11752" max="11753" width="7.6640625" style="239" customWidth="1"/>
    <col min="11754" max="11754" width="11.6640625" style="239" customWidth="1"/>
    <col min="11755" max="11755" width="12.6640625" style="239" customWidth="1"/>
    <col min="11756" max="12004" width="8.86328125" style="239"/>
    <col min="12005" max="12005" width="0.86328125" style="239" customWidth="1"/>
    <col min="12006" max="12006" width="7" style="239" customWidth="1"/>
    <col min="12007" max="12007" width="50.6640625" style="239" customWidth="1"/>
    <col min="12008" max="12009" width="7.6640625" style="239" customWidth="1"/>
    <col min="12010" max="12010" width="11.6640625" style="239" customWidth="1"/>
    <col min="12011" max="12011" width="12.6640625" style="239" customWidth="1"/>
    <col min="12012" max="12260" width="8.86328125" style="239"/>
    <col min="12261" max="12261" width="0.86328125" style="239" customWidth="1"/>
    <col min="12262" max="12262" width="7" style="239" customWidth="1"/>
    <col min="12263" max="12263" width="50.6640625" style="239" customWidth="1"/>
    <col min="12264" max="12265" width="7.6640625" style="239" customWidth="1"/>
    <col min="12266" max="12266" width="11.6640625" style="239" customWidth="1"/>
    <col min="12267" max="12267" width="12.6640625" style="239" customWidth="1"/>
    <col min="12268" max="12516" width="8.86328125" style="239"/>
    <col min="12517" max="12517" width="0.86328125" style="239" customWidth="1"/>
    <col min="12518" max="12518" width="7" style="239" customWidth="1"/>
    <col min="12519" max="12519" width="50.6640625" style="239" customWidth="1"/>
    <col min="12520" max="12521" width="7.6640625" style="239" customWidth="1"/>
    <col min="12522" max="12522" width="11.6640625" style="239" customWidth="1"/>
    <col min="12523" max="12523" width="12.6640625" style="239" customWidth="1"/>
    <col min="12524" max="12772" width="8.86328125" style="239"/>
    <col min="12773" max="12773" width="0.86328125" style="239" customWidth="1"/>
    <col min="12774" max="12774" width="7" style="239" customWidth="1"/>
    <col min="12775" max="12775" width="50.6640625" style="239" customWidth="1"/>
    <col min="12776" max="12777" width="7.6640625" style="239" customWidth="1"/>
    <col min="12778" max="12778" width="11.6640625" style="239" customWidth="1"/>
    <col min="12779" max="12779" width="12.6640625" style="239" customWidth="1"/>
    <col min="12780" max="13028" width="8.86328125" style="239"/>
    <col min="13029" max="13029" width="0.86328125" style="239" customWidth="1"/>
    <col min="13030" max="13030" width="7" style="239" customWidth="1"/>
    <col min="13031" max="13031" width="50.6640625" style="239" customWidth="1"/>
    <col min="13032" max="13033" width="7.6640625" style="239" customWidth="1"/>
    <col min="13034" max="13034" width="11.6640625" style="239" customWidth="1"/>
    <col min="13035" max="13035" width="12.6640625" style="239" customWidth="1"/>
    <col min="13036" max="13284" width="8.86328125" style="239"/>
    <col min="13285" max="13285" width="0.86328125" style="239" customWidth="1"/>
    <col min="13286" max="13286" width="7" style="239" customWidth="1"/>
    <col min="13287" max="13287" width="50.6640625" style="239" customWidth="1"/>
    <col min="13288" max="13289" width="7.6640625" style="239" customWidth="1"/>
    <col min="13290" max="13290" width="11.6640625" style="239" customWidth="1"/>
    <col min="13291" max="13291" width="12.6640625" style="239" customWidth="1"/>
    <col min="13292" max="13540" width="8.86328125" style="239"/>
    <col min="13541" max="13541" width="0.86328125" style="239" customWidth="1"/>
    <col min="13542" max="13542" width="7" style="239" customWidth="1"/>
    <col min="13543" max="13543" width="50.6640625" style="239" customWidth="1"/>
    <col min="13544" max="13545" width="7.6640625" style="239" customWidth="1"/>
    <col min="13546" max="13546" width="11.6640625" style="239" customWidth="1"/>
    <col min="13547" max="13547" width="12.6640625" style="239" customWidth="1"/>
    <col min="13548" max="13796" width="8.86328125" style="239"/>
    <col min="13797" max="13797" width="0.86328125" style="239" customWidth="1"/>
    <col min="13798" max="13798" width="7" style="239" customWidth="1"/>
    <col min="13799" max="13799" width="50.6640625" style="239" customWidth="1"/>
    <col min="13800" max="13801" width="7.6640625" style="239" customWidth="1"/>
    <col min="13802" max="13802" width="11.6640625" style="239" customWidth="1"/>
    <col min="13803" max="13803" width="12.6640625" style="239" customWidth="1"/>
    <col min="13804" max="14052" width="8.86328125" style="239"/>
    <col min="14053" max="14053" width="0.86328125" style="239" customWidth="1"/>
    <col min="14054" max="14054" width="7" style="239" customWidth="1"/>
    <col min="14055" max="14055" width="50.6640625" style="239" customWidth="1"/>
    <col min="14056" max="14057" width="7.6640625" style="239" customWidth="1"/>
    <col min="14058" max="14058" width="11.6640625" style="239" customWidth="1"/>
    <col min="14059" max="14059" width="12.6640625" style="239" customWidth="1"/>
    <col min="14060" max="14308" width="8.86328125" style="239"/>
    <col min="14309" max="14309" width="0.86328125" style="239" customWidth="1"/>
    <col min="14310" max="14310" width="7" style="239" customWidth="1"/>
    <col min="14311" max="14311" width="50.6640625" style="239" customWidth="1"/>
    <col min="14312" max="14313" width="7.6640625" style="239" customWidth="1"/>
    <col min="14314" max="14314" width="11.6640625" style="239" customWidth="1"/>
    <col min="14315" max="14315" width="12.6640625" style="239" customWidth="1"/>
    <col min="14316" max="14564" width="8.86328125" style="239"/>
    <col min="14565" max="14565" width="0.86328125" style="239" customWidth="1"/>
    <col min="14566" max="14566" width="7" style="239" customWidth="1"/>
    <col min="14567" max="14567" width="50.6640625" style="239" customWidth="1"/>
    <col min="14568" max="14569" width="7.6640625" style="239" customWidth="1"/>
    <col min="14570" max="14570" width="11.6640625" style="239" customWidth="1"/>
    <col min="14571" max="14571" width="12.6640625" style="239" customWidth="1"/>
    <col min="14572" max="14820" width="8.86328125" style="239"/>
    <col min="14821" max="14821" width="0.86328125" style="239" customWidth="1"/>
    <col min="14822" max="14822" width="7" style="239" customWidth="1"/>
    <col min="14823" max="14823" width="50.6640625" style="239" customWidth="1"/>
    <col min="14824" max="14825" width="7.6640625" style="239" customWidth="1"/>
    <col min="14826" max="14826" width="11.6640625" style="239" customWidth="1"/>
    <col min="14827" max="14827" width="12.6640625" style="239" customWidth="1"/>
    <col min="14828" max="15076" width="8.86328125" style="239"/>
    <col min="15077" max="15077" width="0.86328125" style="239" customWidth="1"/>
    <col min="15078" max="15078" width="7" style="239" customWidth="1"/>
    <col min="15079" max="15079" width="50.6640625" style="239" customWidth="1"/>
    <col min="15080" max="15081" width="7.6640625" style="239" customWidth="1"/>
    <col min="15082" max="15082" width="11.6640625" style="239" customWidth="1"/>
    <col min="15083" max="15083" width="12.6640625" style="239" customWidth="1"/>
    <col min="15084" max="15332" width="8.86328125" style="239"/>
    <col min="15333" max="15333" width="0.86328125" style="239" customWidth="1"/>
    <col min="15334" max="15334" width="7" style="239" customWidth="1"/>
    <col min="15335" max="15335" width="50.6640625" style="239" customWidth="1"/>
    <col min="15336" max="15337" width="7.6640625" style="239" customWidth="1"/>
    <col min="15338" max="15338" width="11.6640625" style="239" customWidth="1"/>
    <col min="15339" max="15339" width="12.6640625" style="239" customWidth="1"/>
    <col min="15340" max="15588" width="8.86328125" style="239"/>
    <col min="15589" max="15589" width="0.86328125" style="239" customWidth="1"/>
    <col min="15590" max="15590" width="7" style="239" customWidth="1"/>
    <col min="15591" max="15591" width="50.6640625" style="239" customWidth="1"/>
    <col min="15592" max="15593" width="7.6640625" style="239" customWidth="1"/>
    <col min="15594" max="15594" width="11.6640625" style="239" customWidth="1"/>
    <col min="15595" max="15595" width="12.6640625" style="239" customWidth="1"/>
    <col min="15596" max="15844" width="8.86328125" style="239"/>
    <col min="15845" max="15845" width="0.86328125" style="239" customWidth="1"/>
    <col min="15846" max="15846" width="7" style="239" customWidth="1"/>
    <col min="15847" max="15847" width="50.6640625" style="239" customWidth="1"/>
    <col min="15848" max="15849" width="7.6640625" style="239" customWidth="1"/>
    <col min="15850" max="15850" width="11.6640625" style="239" customWidth="1"/>
    <col min="15851" max="15851" width="12.6640625" style="239" customWidth="1"/>
    <col min="15852" max="16100" width="8.86328125" style="239"/>
    <col min="16101" max="16101" width="0.86328125" style="239" customWidth="1"/>
    <col min="16102" max="16102" width="7" style="239" customWidth="1"/>
    <col min="16103" max="16103" width="50.6640625" style="239" customWidth="1"/>
    <col min="16104" max="16105" width="7.6640625" style="239" customWidth="1"/>
    <col min="16106" max="16106" width="11.6640625" style="239" customWidth="1"/>
    <col min="16107" max="16107" width="12.6640625" style="239" customWidth="1"/>
    <col min="16108" max="16384" width="8.86328125" style="239"/>
  </cols>
  <sheetData>
    <row r="1" spans="1:11" ht="3.75" customHeight="1" x14ac:dyDescent="0.35"/>
    <row r="2" spans="1:11" s="257" customFormat="1" ht="30.75" x14ac:dyDescent="0.35">
      <c r="A2" s="238"/>
      <c r="B2" s="245" t="s">
        <v>37</v>
      </c>
      <c r="C2" s="246" t="s">
        <v>38</v>
      </c>
      <c r="D2" s="247" t="s">
        <v>73</v>
      </c>
      <c r="E2" s="246" t="s">
        <v>54</v>
      </c>
      <c r="F2" s="248" t="s">
        <v>533</v>
      </c>
      <c r="G2" s="249" t="s">
        <v>534</v>
      </c>
    </row>
    <row r="3" spans="1:11" ht="22.05" customHeight="1" x14ac:dyDescent="0.35">
      <c r="B3" s="242"/>
      <c r="C3" s="259" t="s">
        <v>987</v>
      </c>
      <c r="D3" s="260"/>
      <c r="E3" s="261"/>
      <c r="F3" s="262"/>
      <c r="G3" s="244"/>
    </row>
    <row r="4" spans="1:11" ht="22.05" customHeight="1" x14ac:dyDescent="0.35">
      <c r="B4" s="242"/>
      <c r="C4" s="259" t="s">
        <v>982</v>
      </c>
      <c r="D4" s="260"/>
      <c r="E4" s="261"/>
      <c r="F4" s="262"/>
      <c r="G4" s="244"/>
    </row>
    <row r="5" spans="1:11" ht="31.5" customHeight="1" x14ac:dyDescent="0.35">
      <c r="B5" s="242"/>
      <c r="C5" s="311" t="s">
        <v>543</v>
      </c>
      <c r="D5" s="260"/>
      <c r="E5" s="261"/>
      <c r="F5" s="262"/>
      <c r="G5" s="244"/>
    </row>
    <row r="6" spans="1:11" ht="67.5" customHeight="1" x14ac:dyDescent="0.35">
      <c r="B6" s="242"/>
      <c r="C6" s="311" t="s">
        <v>544</v>
      </c>
      <c r="D6" s="260"/>
      <c r="E6" s="261"/>
      <c r="F6" s="262"/>
      <c r="G6" s="244"/>
    </row>
    <row r="7" spans="1:11" ht="21.95" customHeight="1" x14ac:dyDescent="0.35">
      <c r="B7" s="242"/>
      <c r="C7" s="311" t="s">
        <v>760</v>
      </c>
      <c r="D7" s="260"/>
      <c r="E7" s="261"/>
      <c r="F7" s="253"/>
      <c r="G7" s="251"/>
      <c r="J7" s="320"/>
      <c r="K7" s="365"/>
    </row>
    <row r="8" spans="1:11" ht="49.5" customHeight="1" x14ac:dyDescent="0.35">
      <c r="B8" s="242"/>
      <c r="C8" s="311" t="s">
        <v>761</v>
      </c>
      <c r="D8" s="260"/>
      <c r="E8" s="261"/>
      <c r="F8" s="262"/>
      <c r="G8" s="244"/>
    </row>
    <row r="9" spans="1:11" ht="29.75" customHeight="1" x14ac:dyDescent="0.35">
      <c r="B9" s="242"/>
      <c r="C9" s="311" t="s">
        <v>762</v>
      </c>
      <c r="D9" s="260"/>
      <c r="E9" s="261"/>
      <c r="F9" s="262"/>
      <c r="G9" s="244"/>
    </row>
    <row r="10" spans="1:11" ht="46.9" customHeight="1" x14ac:dyDescent="0.35">
      <c r="B10" s="242"/>
      <c r="C10" s="311" t="s">
        <v>763</v>
      </c>
      <c r="D10" s="260"/>
      <c r="E10" s="261"/>
      <c r="F10" s="262"/>
      <c r="G10" s="244"/>
    </row>
    <row r="11" spans="1:11" ht="50.25" customHeight="1" x14ac:dyDescent="0.35">
      <c r="B11" s="242"/>
      <c r="C11" s="311" t="s">
        <v>764</v>
      </c>
      <c r="D11" s="260"/>
      <c r="E11" s="261"/>
      <c r="F11" s="253"/>
      <c r="G11" s="251"/>
      <c r="J11" s="320"/>
      <c r="K11" s="365"/>
    </row>
    <row r="12" spans="1:11" ht="21.95" customHeight="1" x14ac:dyDescent="0.35">
      <c r="B12" s="242"/>
      <c r="C12" s="311" t="s">
        <v>765</v>
      </c>
      <c r="D12" s="260"/>
      <c r="E12" s="261"/>
      <c r="F12" s="253"/>
      <c r="G12" s="251"/>
      <c r="J12" s="320"/>
      <c r="K12" s="365"/>
    </row>
    <row r="13" spans="1:11" ht="31.15" customHeight="1" x14ac:dyDescent="0.35">
      <c r="B13" s="242"/>
      <c r="C13" s="311" t="s">
        <v>766</v>
      </c>
      <c r="D13" s="260"/>
      <c r="E13" s="261"/>
      <c r="F13" s="253"/>
      <c r="G13" s="251"/>
      <c r="J13" s="320"/>
      <c r="K13" s="365"/>
    </row>
    <row r="14" spans="1:11" ht="63.4" customHeight="1" x14ac:dyDescent="0.35">
      <c r="B14" s="242"/>
      <c r="C14" s="311" t="s">
        <v>767</v>
      </c>
      <c r="D14" s="260"/>
      <c r="E14" s="261"/>
      <c r="F14" s="253"/>
      <c r="G14" s="251"/>
      <c r="J14" s="320"/>
      <c r="K14" s="365"/>
    </row>
    <row r="15" spans="1:11" ht="22.05" customHeight="1" x14ac:dyDescent="0.35">
      <c r="B15" s="242" t="s">
        <v>31</v>
      </c>
      <c r="C15" s="310" t="s">
        <v>768</v>
      </c>
      <c r="D15" s="260">
        <v>2</v>
      </c>
      <c r="E15" s="261" t="s">
        <v>113</v>
      </c>
      <c r="F15" s="253">
        <v>169000000</v>
      </c>
      <c r="G15" s="313">
        <f>F15*D15</f>
        <v>338000000</v>
      </c>
    </row>
    <row r="16" spans="1:11" ht="22.05" customHeight="1" x14ac:dyDescent="0.35">
      <c r="B16" s="242"/>
      <c r="C16" s="310" t="s">
        <v>1239</v>
      </c>
      <c r="D16" s="260"/>
      <c r="E16" s="261"/>
      <c r="F16" s="253"/>
      <c r="G16" s="313"/>
    </row>
    <row r="17" spans="2:7" ht="22.05" customHeight="1" x14ac:dyDescent="0.35">
      <c r="B17" s="242"/>
      <c r="C17" s="310" t="s">
        <v>1240</v>
      </c>
      <c r="D17" s="260"/>
      <c r="E17" s="261"/>
      <c r="F17" s="253"/>
      <c r="G17" s="313"/>
    </row>
    <row r="18" spans="2:7" ht="22.05" customHeight="1" x14ac:dyDescent="0.35">
      <c r="B18" s="242"/>
      <c r="C18" s="310" t="s">
        <v>1241</v>
      </c>
      <c r="D18" s="260"/>
      <c r="E18" s="261"/>
      <c r="F18" s="253"/>
      <c r="G18" s="313"/>
    </row>
    <row r="19" spans="2:7" ht="19.5" customHeight="1" x14ac:dyDescent="0.35">
      <c r="B19" s="242"/>
      <c r="C19" s="310" t="s">
        <v>769</v>
      </c>
      <c r="D19" s="260"/>
      <c r="E19" s="261"/>
      <c r="F19" s="253"/>
      <c r="G19" s="313"/>
    </row>
    <row r="20" spans="2:7" ht="22.05" customHeight="1" x14ac:dyDescent="0.35">
      <c r="B20" s="242"/>
      <c r="C20" s="310" t="s">
        <v>770</v>
      </c>
      <c r="D20" s="260"/>
      <c r="E20" s="261"/>
      <c r="F20" s="253"/>
      <c r="G20" s="313"/>
    </row>
    <row r="21" spans="2:7" ht="17.75" customHeight="1" x14ac:dyDescent="0.35">
      <c r="B21" s="242" t="s">
        <v>53</v>
      </c>
      <c r="C21" s="310" t="s">
        <v>1032</v>
      </c>
      <c r="D21" s="260"/>
      <c r="E21" s="261"/>
      <c r="F21" s="253"/>
      <c r="G21" s="313"/>
    </row>
    <row r="22" spans="2:7" ht="17.75" customHeight="1" x14ac:dyDescent="0.35">
      <c r="B22" s="242"/>
      <c r="C22" s="310" t="s">
        <v>771</v>
      </c>
      <c r="D22" s="260"/>
      <c r="E22" s="261"/>
      <c r="F22" s="253"/>
      <c r="G22" s="313"/>
    </row>
    <row r="23" spans="2:7" ht="17.75" customHeight="1" x14ac:dyDescent="0.35">
      <c r="B23" s="242"/>
      <c r="C23" s="310" t="s">
        <v>772</v>
      </c>
      <c r="D23" s="260"/>
      <c r="E23" s="261"/>
      <c r="F23" s="253"/>
      <c r="G23" s="313"/>
    </row>
    <row r="24" spans="2:7" ht="17.75" customHeight="1" x14ac:dyDescent="0.35">
      <c r="B24" s="242" t="s">
        <v>53</v>
      </c>
      <c r="C24" s="310" t="s">
        <v>773</v>
      </c>
      <c r="D24" s="260"/>
      <c r="E24" s="261"/>
      <c r="F24" s="253"/>
      <c r="G24" s="313"/>
    </row>
    <row r="25" spans="2:7" ht="17.75" customHeight="1" x14ac:dyDescent="0.35">
      <c r="B25" s="242"/>
      <c r="C25" s="310" t="s">
        <v>774</v>
      </c>
      <c r="D25" s="260"/>
      <c r="E25" s="261"/>
      <c r="F25" s="253"/>
      <c r="G25" s="313"/>
    </row>
    <row r="26" spans="2:7" ht="17.75" customHeight="1" x14ac:dyDescent="0.35">
      <c r="B26" s="242"/>
      <c r="C26" s="310" t="s">
        <v>775</v>
      </c>
      <c r="D26" s="260"/>
      <c r="E26" s="261"/>
      <c r="F26" s="253"/>
      <c r="G26" s="313"/>
    </row>
    <row r="27" spans="2:7" ht="17.75" customHeight="1" x14ac:dyDescent="0.35">
      <c r="B27" s="242"/>
      <c r="C27" s="310" t="s">
        <v>776</v>
      </c>
      <c r="D27" s="260"/>
      <c r="E27" s="261"/>
      <c r="F27" s="253"/>
      <c r="G27" s="313"/>
    </row>
    <row r="28" spans="2:7" ht="17.75" customHeight="1" x14ac:dyDescent="0.35">
      <c r="B28" s="242"/>
      <c r="C28" s="310" t="s">
        <v>777</v>
      </c>
      <c r="D28" s="260"/>
      <c r="E28" s="261"/>
      <c r="F28" s="253"/>
      <c r="G28" s="313"/>
    </row>
    <row r="29" spans="2:7" ht="17.75" customHeight="1" x14ac:dyDescent="0.35">
      <c r="B29" s="242"/>
      <c r="C29" s="310" t="s">
        <v>778</v>
      </c>
      <c r="D29" s="260"/>
      <c r="E29" s="261"/>
      <c r="F29" s="253"/>
      <c r="G29" s="313"/>
    </row>
    <row r="30" spans="2:7" ht="17.75" customHeight="1" x14ac:dyDescent="0.35">
      <c r="B30" s="242"/>
      <c r="C30" s="310" t="s">
        <v>779</v>
      </c>
      <c r="D30" s="260"/>
      <c r="E30" s="261"/>
      <c r="F30" s="253"/>
      <c r="G30" s="313"/>
    </row>
    <row r="31" spans="2:7" ht="17.75" customHeight="1" x14ac:dyDescent="0.35">
      <c r="B31" s="242"/>
      <c r="C31" s="310" t="s">
        <v>780</v>
      </c>
      <c r="D31" s="260"/>
      <c r="E31" s="261"/>
      <c r="F31" s="253"/>
      <c r="G31" s="313"/>
    </row>
    <row r="32" spans="2:7" ht="17.75" customHeight="1" x14ac:dyDescent="0.35">
      <c r="B32" s="242" t="s">
        <v>31</v>
      </c>
      <c r="C32" s="310" t="s">
        <v>781</v>
      </c>
      <c r="D32" s="260">
        <v>2</v>
      </c>
      <c r="E32" s="261" t="s">
        <v>113</v>
      </c>
      <c r="F32" s="253">
        <v>7350000</v>
      </c>
      <c r="G32" s="313">
        <f t="shared" ref="G32:G34" si="0">F32*D32</f>
        <v>14700000</v>
      </c>
    </row>
    <row r="33" spans="2:11" ht="17.75" customHeight="1" x14ac:dyDescent="0.35">
      <c r="B33" s="242" t="s">
        <v>32</v>
      </c>
      <c r="C33" s="310" t="s">
        <v>782</v>
      </c>
      <c r="D33" s="260">
        <v>2</v>
      </c>
      <c r="E33" s="261" t="s">
        <v>37</v>
      </c>
      <c r="F33" s="253">
        <v>1750000</v>
      </c>
      <c r="G33" s="313">
        <f t="shared" si="0"/>
        <v>3500000</v>
      </c>
    </row>
    <row r="34" spans="2:11" ht="17.75" customHeight="1" x14ac:dyDescent="0.35">
      <c r="B34" s="242" t="s">
        <v>33</v>
      </c>
      <c r="C34" s="310" t="s">
        <v>783</v>
      </c>
      <c r="D34" s="260">
        <v>2</v>
      </c>
      <c r="E34" s="261" t="s">
        <v>113</v>
      </c>
      <c r="F34" s="253">
        <v>350000</v>
      </c>
      <c r="G34" s="313">
        <f t="shared" si="0"/>
        <v>700000</v>
      </c>
    </row>
    <row r="35" spans="2:11" ht="24.4" customHeight="1" x14ac:dyDescent="0.35">
      <c r="B35" s="242"/>
      <c r="C35" s="310"/>
      <c r="D35" s="260"/>
      <c r="E35" s="261"/>
      <c r="F35" s="253"/>
      <c r="G35" s="313"/>
    </row>
    <row r="36" spans="2:11" ht="25.05" customHeight="1" x14ac:dyDescent="0.35">
      <c r="B36" s="242"/>
      <c r="C36" s="310"/>
      <c r="D36" s="260"/>
      <c r="E36" s="261"/>
      <c r="F36" s="253"/>
      <c r="G36" s="313"/>
    </row>
    <row r="37" spans="2:11" s="241" customFormat="1" ht="30" customHeight="1" thickBot="1" x14ac:dyDescent="0.4">
      <c r="B37" s="252"/>
      <c r="C37" s="316" t="s">
        <v>55</v>
      </c>
      <c r="D37" s="263"/>
      <c r="E37" s="243"/>
      <c r="F37" s="250"/>
      <c r="G37" s="314">
        <f>SUM(G15:G35)</f>
        <v>356900000</v>
      </c>
      <c r="H37" s="239"/>
      <c r="J37" s="320"/>
      <c r="K37" s="365"/>
    </row>
    <row r="38" spans="2:11" s="258" customFormat="1" ht="30" customHeight="1" thickTop="1" x14ac:dyDescent="0.35">
      <c r="B38" s="317"/>
      <c r="C38" s="318" t="s">
        <v>988</v>
      </c>
      <c r="D38" s="319"/>
      <c r="E38" s="319"/>
      <c r="F38" s="312"/>
      <c r="G38" s="315"/>
      <c r="H38" s="239"/>
      <c r="J38" s="320"/>
      <c r="K38" s="365"/>
    </row>
  </sheetData>
  <printOptions horizontalCentered="1"/>
  <pageMargins left="0.11811023622047245" right="0.11811023622047245" top="0.27559055118110237" bottom="0.31496062992125984" header="0.11811023622047245" footer="0.11811023622047245"/>
  <pageSetup paperSize="9" scale="86" fitToHeight="0" orientation="portrait" r:id="rId1"/>
  <headerFooter>
    <oddHeader>&amp;R&amp;"Arial,Italic"&amp;8&amp;F</oddHeader>
    <oddFooter>&amp;L&amp;"Arial,Italic"&amp;8&amp;A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B4"/>
  <sheetViews>
    <sheetView view="pageBreakPreview" zoomScaleNormal="100" workbookViewId="0">
      <selection activeCell="M12" sqref="M12"/>
    </sheetView>
  </sheetViews>
  <sheetFormatPr defaultColWidth="9.1328125" defaultRowHeight="20.65" x14ac:dyDescent="0.35"/>
  <cols>
    <col min="1" max="1" width="6.33203125" style="287" customWidth="1"/>
    <col min="2" max="2" width="69.86328125" style="291" customWidth="1"/>
    <col min="3" max="16384" width="9.1328125" style="287"/>
  </cols>
  <sheetData>
    <row r="1" spans="2:2" x14ac:dyDescent="0.35">
      <c r="B1" s="288"/>
    </row>
    <row r="2" spans="2:2" ht="30" customHeight="1" x14ac:dyDescent="0.35">
      <c r="B2" s="289" t="s">
        <v>989</v>
      </c>
    </row>
    <row r="3" spans="2:2" ht="40.5" customHeight="1" x14ac:dyDescent="0.35">
      <c r="B3" s="290" t="s">
        <v>983</v>
      </c>
    </row>
    <row r="4" spans="2:2" x14ac:dyDescent="0.35">
      <c r="B4" s="288"/>
    </row>
  </sheetData>
  <printOptions horizontalCentered="1" verticalCentered="1"/>
  <pageMargins left="0.5" right="0.5" top="0.5" bottom="0.5" header="0.5" footer="0.25"/>
  <pageSetup paperSize="9" firstPageNumber="113" orientation="portrait" useFirstPageNumber="1" r:id="rId1"/>
  <headerFooter alignWithMargins="0">
    <oddHeader>&amp;R&amp;"Arial,Italic"&amp;8&amp;F</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5"/>
  <sheetViews>
    <sheetView view="pageBreakPreview" topLeftCell="A5" zoomScale="90" zoomScaleNormal="100" zoomScaleSheetLayoutView="90" workbookViewId="0">
      <selection activeCell="H23" sqref="H23"/>
    </sheetView>
  </sheetViews>
  <sheetFormatPr defaultColWidth="9.1328125" defaultRowHeight="15.4" x14ac:dyDescent="0.35"/>
  <cols>
    <col min="1" max="1" width="0.6640625" style="273" customWidth="1"/>
    <col min="2" max="2" width="11.33203125" style="274" customWidth="1"/>
    <col min="3" max="3" width="56.6640625" style="273" customWidth="1"/>
    <col min="4" max="4" width="15.6640625" style="274" customWidth="1"/>
    <col min="5" max="5" width="16.6640625" style="266" customWidth="1"/>
    <col min="6" max="6" width="1.33203125" style="268" customWidth="1"/>
    <col min="7" max="7" width="12.86328125" style="274" bestFit="1" customWidth="1"/>
    <col min="8" max="8" width="17" style="274" bestFit="1" customWidth="1"/>
    <col min="9" max="9" width="11.1328125" style="274" customWidth="1"/>
    <col min="10" max="13" width="9.1328125" style="274"/>
    <col min="14" max="14" width="14" style="274" bestFit="1" customWidth="1"/>
    <col min="15" max="16384" width="9.1328125" style="274"/>
  </cols>
  <sheetData>
    <row r="1" spans="2:14" s="265" customFormat="1" ht="6" customHeight="1" x14ac:dyDescent="0.35">
      <c r="B1" s="264"/>
      <c r="D1" s="264"/>
      <c r="E1" s="266"/>
      <c r="F1" s="267"/>
    </row>
    <row r="2" spans="2:14" s="322" customFormat="1" ht="30.75" x14ac:dyDescent="0.35">
      <c r="B2" s="328" t="s">
        <v>50</v>
      </c>
      <c r="C2" s="329" t="s">
        <v>38</v>
      </c>
      <c r="D2" s="329" t="s">
        <v>30</v>
      </c>
      <c r="E2" s="330" t="s">
        <v>532</v>
      </c>
      <c r="F2" s="321"/>
    </row>
    <row r="3" spans="2:14" s="265" customFormat="1" x14ac:dyDescent="0.35">
      <c r="B3" s="276"/>
      <c r="C3" s="277"/>
      <c r="D3" s="278"/>
      <c r="E3" s="279"/>
      <c r="F3" s="268"/>
    </row>
    <row r="4" spans="2:14" s="265" customFormat="1" ht="30" customHeight="1" x14ac:dyDescent="0.35">
      <c r="B4" s="276"/>
      <c r="C4" s="280" t="str">
        <f>'Fly Sht. Bill No.9'!B2</f>
        <v>BILL NO.9</v>
      </c>
      <c r="D4" s="278"/>
      <c r="E4" s="279"/>
      <c r="F4" s="268"/>
    </row>
    <row r="5" spans="2:14" s="265" customFormat="1" ht="30" customHeight="1" x14ac:dyDescent="0.35">
      <c r="B5" s="276"/>
      <c r="C5" s="280" t="str">
        <f>'Fly Sht. Bill No.9'!B3</f>
        <v>ICT INSTALLATIONS</v>
      </c>
      <c r="D5" s="278"/>
      <c r="E5" s="279"/>
      <c r="F5" s="268"/>
    </row>
    <row r="6" spans="2:14" s="265" customFormat="1" ht="30" customHeight="1" x14ac:dyDescent="0.35">
      <c r="B6" s="276"/>
      <c r="C6" s="280" t="s">
        <v>52</v>
      </c>
      <c r="D6" s="278"/>
      <c r="E6" s="279"/>
      <c r="F6" s="268"/>
    </row>
    <row r="7" spans="2:14" s="265" customFormat="1" ht="30" customHeight="1" x14ac:dyDescent="0.35">
      <c r="B7" s="281">
        <v>3</v>
      </c>
      <c r="C7" s="282" t="s">
        <v>928</v>
      </c>
      <c r="D7" s="283" t="str">
        <f>'Bill No.9 ICT Inst.'!C44</f>
        <v>9/3/2</v>
      </c>
      <c r="E7" s="325">
        <f>'Bill No.9 ICT Inst.'!G43</f>
        <v>38685000</v>
      </c>
      <c r="F7" s="268"/>
      <c r="G7" s="269"/>
      <c r="H7" s="368"/>
      <c r="N7" s="270"/>
    </row>
    <row r="8" spans="2:14" s="265" customFormat="1" ht="30" customHeight="1" x14ac:dyDescent="0.35">
      <c r="B8" s="281">
        <v>4</v>
      </c>
      <c r="C8" s="282" t="s">
        <v>897</v>
      </c>
      <c r="D8" s="283" t="str">
        <f>'Bill No.9 ICT Inst.'!C78</f>
        <v>9/4/1</v>
      </c>
      <c r="E8" s="325">
        <f>'Bill No.9 ICT Inst.'!G77</f>
        <v>28520000</v>
      </c>
      <c r="F8" s="268"/>
      <c r="G8" s="269"/>
      <c r="H8" s="368"/>
      <c r="N8" s="270"/>
    </row>
    <row r="9" spans="2:14" s="265" customFormat="1" ht="30" customHeight="1" x14ac:dyDescent="0.35">
      <c r="B9" s="281">
        <v>5</v>
      </c>
      <c r="C9" s="282" t="s">
        <v>996</v>
      </c>
      <c r="D9" s="283" t="str">
        <f>'Bill No.9 ICT Inst.'!C161</f>
        <v>9/5/5</v>
      </c>
      <c r="E9" s="325">
        <f>'Bill No.9 ICT Inst.'!G160</f>
        <v>105024000</v>
      </c>
      <c r="F9" s="268"/>
      <c r="G9" s="269"/>
      <c r="H9" s="368"/>
      <c r="N9" s="270"/>
    </row>
    <row r="10" spans="2:14" s="265" customFormat="1" ht="30" customHeight="1" x14ac:dyDescent="0.35">
      <c r="B10" s="281">
        <v>6</v>
      </c>
      <c r="C10" s="282" t="s">
        <v>997</v>
      </c>
      <c r="D10" s="283" t="str">
        <f>'Bill No.9 ICT Inst.'!C195</f>
        <v>9/6/1</v>
      </c>
      <c r="E10" s="325">
        <f>'Bill No.9 ICT Inst.'!G194</f>
        <v>8832500</v>
      </c>
      <c r="F10" s="268"/>
      <c r="G10" s="269"/>
      <c r="H10" s="368"/>
      <c r="N10" s="270"/>
    </row>
    <row r="11" spans="2:14" s="265" customFormat="1" ht="30" customHeight="1" x14ac:dyDescent="0.35">
      <c r="B11" s="281">
        <v>7</v>
      </c>
      <c r="C11" s="282" t="s">
        <v>1004</v>
      </c>
      <c r="D11" s="283" t="str">
        <f>'Bill No.9 ICT Inst.'!C236</f>
        <v>9/7/3</v>
      </c>
      <c r="E11" s="325">
        <f>'Bill No.9 ICT Inst.'!G235</f>
        <v>150760500</v>
      </c>
      <c r="F11" s="268"/>
      <c r="G11" s="269"/>
      <c r="H11" s="368"/>
      <c r="N11" s="270"/>
    </row>
    <row r="12" spans="2:14" s="265" customFormat="1" ht="30" customHeight="1" x14ac:dyDescent="0.35">
      <c r="B12" s="281">
        <v>8</v>
      </c>
      <c r="C12" s="282" t="s">
        <v>1005</v>
      </c>
      <c r="D12" s="283" t="str">
        <f>'Bill No.9 ICT Inst.'!C259</f>
        <v>9/8/3</v>
      </c>
      <c r="E12" s="325">
        <f>'Bill No.9 ICT Inst.'!G258</f>
        <v>30635000</v>
      </c>
      <c r="F12" s="268"/>
      <c r="G12" s="269"/>
      <c r="H12" s="368"/>
      <c r="N12" s="270"/>
    </row>
    <row r="13" spans="2:14" s="265" customFormat="1" ht="30" customHeight="1" x14ac:dyDescent="0.35">
      <c r="B13" s="281">
        <v>9</v>
      </c>
      <c r="C13" s="282" t="s">
        <v>1006</v>
      </c>
      <c r="D13" s="283" t="str">
        <f>'Bill No.9 ICT Inst.'!C281</f>
        <v>9/9/2</v>
      </c>
      <c r="E13" s="325">
        <f>'Bill No.9 ICT Inst.'!G280</f>
        <v>39307500</v>
      </c>
      <c r="F13" s="268"/>
      <c r="G13" s="269"/>
      <c r="H13" s="368"/>
      <c r="N13" s="270"/>
    </row>
    <row r="14" spans="2:14" s="265" customFormat="1" ht="30" customHeight="1" x14ac:dyDescent="0.35">
      <c r="B14" s="281">
        <v>10</v>
      </c>
      <c r="C14" s="282" t="s">
        <v>1007</v>
      </c>
      <c r="D14" s="283" t="str">
        <f>'Bill No.9 ICT Inst.'!C300</f>
        <v>9/10/2</v>
      </c>
      <c r="E14" s="325">
        <f>'Bill No.9 ICT Inst.'!G299</f>
        <v>28502000</v>
      </c>
      <c r="F14" s="268"/>
      <c r="G14" s="269"/>
      <c r="H14" s="368"/>
      <c r="N14" s="270"/>
    </row>
    <row r="15" spans="2:14" s="265" customFormat="1" ht="30" customHeight="1" x14ac:dyDescent="0.35">
      <c r="B15" s="281"/>
      <c r="C15" s="282"/>
      <c r="D15" s="283"/>
      <c r="E15" s="325"/>
      <c r="F15" s="268"/>
      <c r="G15" s="269"/>
      <c r="H15" s="368"/>
      <c r="N15" s="270"/>
    </row>
    <row r="16" spans="2:14" s="265" customFormat="1" ht="30" customHeight="1" x14ac:dyDescent="0.35">
      <c r="B16" s="281"/>
      <c r="C16" s="277"/>
      <c r="D16" s="283"/>
      <c r="E16" s="284"/>
      <c r="F16" s="268"/>
      <c r="G16" s="269"/>
    </row>
    <row r="17" spans="2:12" s="265" customFormat="1" ht="30" customHeight="1" x14ac:dyDescent="0.35">
      <c r="B17" s="281"/>
      <c r="C17" s="277"/>
      <c r="D17" s="283"/>
      <c r="E17" s="284"/>
      <c r="F17" s="268"/>
      <c r="G17" s="269"/>
    </row>
    <row r="18" spans="2:12" s="265" customFormat="1" ht="30" customHeight="1" x14ac:dyDescent="0.35">
      <c r="B18" s="281"/>
      <c r="C18" s="277"/>
      <c r="D18" s="283"/>
      <c r="E18" s="286"/>
      <c r="F18" s="268"/>
      <c r="G18" s="271"/>
    </row>
    <row r="19" spans="2:12" s="265" customFormat="1" ht="30" customHeight="1" x14ac:dyDescent="0.35">
      <c r="B19" s="281"/>
      <c r="C19" s="277"/>
      <c r="D19" s="283"/>
      <c r="E19" s="286"/>
      <c r="F19" s="268"/>
      <c r="G19" s="271"/>
      <c r="H19" s="271"/>
    </row>
    <row r="20" spans="2:12" s="265" customFormat="1" ht="30" customHeight="1" x14ac:dyDescent="0.35">
      <c r="B20" s="281"/>
      <c r="C20" s="277"/>
      <c r="D20" s="283"/>
      <c r="E20" s="286"/>
      <c r="F20" s="268"/>
      <c r="G20" s="271"/>
      <c r="H20" s="271"/>
    </row>
    <row r="21" spans="2:12" s="265" customFormat="1" ht="33.75" customHeight="1" x14ac:dyDescent="0.35">
      <c r="B21" s="281"/>
      <c r="C21" s="277"/>
      <c r="D21" s="283"/>
      <c r="E21" s="286"/>
      <c r="F21" s="268"/>
      <c r="G21" s="271"/>
      <c r="H21" s="271"/>
    </row>
    <row r="22" spans="2:12" s="265" customFormat="1" ht="30" customHeight="1" x14ac:dyDescent="0.35">
      <c r="B22" s="281"/>
      <c r="C22" s="277"/>
      <c r="D22" s="283"/>
      <c r="E22" s="286"/>
      <c r="F22" s="268"/>
      <c r="G22" s="271"/>
      <c r="H22" s="271"/>
    </row>
    <row r="23" spans="2:12" s="265" customFormat="1" ht="30" customHeight="1" x14ac:dyDescent="0.35">
      <c r="B23" s="281"/>
      <c r="C23" s="277"/>
      <c r="D23" s="283"/>
      <c r="E23" s="286"/>
      <c r="F23" s="268"/>
      <c r="G23" s="271"/>
    </row>
    <row r="24" spans="2:12" s="265" customFormat="1" ht="30" customHeight="1" thickBot="1" x14ac:dyDescent="0.4">
      <c r="B24" s="276"/>
      <c r="C24" s="326" t="s">
        <v>1011</v>
      </c>
      <c r="D24" s="278"/>
      <c r="E24" s="327">
        <f>SUM(E7:E23)</f>
        <v>430266500</v>
      </c>
      <c r="F24" s="268"/>
      <c r="G24" s="272"/>
    </row>
    <row r="25" spans="2:12" ht="30" customHeight="1" thickTop="1" x14ac:dyDescent="0.35">
      <c r="C25" s="292" t="s">
        <v>1012</v>
      </c>
      <c r="E25" s="275"/>
      <c r="H25" s="268"/>
      <c r="I25" s="265"/>
      <c r="J25" s="265"/>
      <c r="K25" s="265"/>
      <c r="L25" s="265"/>
    </row>
  </sheetData>
  <printOptions horizontalCentered="1"/>
  <pageMargins left="0.19685039370078741" right="0.15748031496062992" top="0.43307086614173229" bottom="0.39370078740157483" header="0.19685039370078741" footer="0.19685039370078741"/>
  <pageSetup paperSize="9" orientation="portrait" r:id="rId1"/>
  <headerFooter>
    <oddHeader>&amp;R&amp;"Arial,Italic"&amp;8&amp;F</oddHeader>
    <oddFooter>&amp;L&amp;"Arial,Italic"&amp;8&amp;A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K300"/>
  <sheetViews>
    <sheetView view="pageBreakPreview" topLeftCell="A158" zoomScale="90" zoomScaleNormal="90" zoomScaleSheetLayoutView="90" workbookViewId="0">
      <selection activeCell="I211" sqref="I211"/>
    </sheetView>
  </sheetViews>
  <sheetFormatPr defaultRowHeight="15.4" x14ac:dyDescent="0.35"/>
  <cols>
    <col min="1" max="1" width="0.86328125" style="239" customWidth="1"/>
    <col min="2" max="2" width="7" style="254" customWidth="1"/>
    <col min="3" max="3" width="63.73046875" style="239" customWidth="1"/>
    <col min="4" max="4" width="8.796875" style="255" customWidth="1"/>
    <col min="5" max="5" width="8.796875" style="254" customWidth="1"/>
    <col min="6" max="6" width="14.9296875" style="375" customWidth="1"/>
    <col min="7" max="7" width="14.796875" style="256" customWidth="1"/>
    <col min="8" max="8" width="0.86328125" style="239" customWidth="1"/>
    <col min="9" max="9" width="8.86328125" style="239"/>
    <col min="10" max="10" width="17.86328125" style="239" bestFit="1" customWidth="1"/>
    <col min="11" max="11" width="19.53125" style="239" customWidth="1"/>
    <col min="12" max="235" width="8.86328125" style="239"/>
    <col min="236" max="236" width="0.86328125" style="239" customWidth="1"/>
    <col min="237" max="237" width="7" style="239" customWidth="1"/>
    <col min="238" max="238" width="50.6640625" style="239" customWidth="1"/>
    <col min="239" max="240" width="7.6640625" style="239" customWidth="1"/>
    <col min="241" max="241" width="11.6640625" style="239" customWidth="1"/>
    <col min="242" max="242" width="12.6640625" style="239" customWidth="1"/>
    <col min="243" max="491" width="8.86328125" style="239"/>
    <col min="492" max="492" width="0.86328125" style="239" customWidth="1"/>
    <col min="493" max="493" width="7" style="239" customWidth="1"/>
    <col min="494" max="494" width="50.6640625" style="239" customWidth="1"/>
    <col min="495" max="496" width="7.6640625" style="239" customWidth="1"/>
    <col min="497" max="497" width="11.6640625" style="239" customWidth="1"/>
    <col min="498" max="498" width="12.6640625" style="239" customWidth="1"/>
    <col min="499" max="747" width="8.86328125" style="239"/>
    <col min="748" max="748" width="0.86328125" style="239" customWidth="1"/>
    <col min="749" max="749" width="7" style="239" customWidth="1"/>
    <col min="750" max="750" width="50.6640625" style="239" customWidth="1"/>
    <col min="751" max="752" width="7.6640625" style="239" customWidth="1"/>
    <col min="753" max="753" width="11.6640625" style="239" customWidth="1"/>
    <col min="754" max="754" width="12.6640625" style="239" customWidth="1"/>
    <col min="755" max="1003" width="8.86328125" style="239"/>
    <col min="1004" max="1004" width="0.86328125" style="239" customWidth="1"/>
    <col min="1005" max="1005" width="7" style="239" customWidth="1"/>
    <col min="1006" max="1006" width="50.6640625" style="239" customWidth="1"/>
    <col min="1007" max="1008" width="7.6640625" style="239" customWidth="1"/>
    <col min="1009" max="1009" width="11.6640625" style="239" customWidth="1"/>
    <col min="1010" max="1010" width="12.6640625" style="239" customWidth="1"/>
    <col min="1011" max="1259" width="8.86328125" style="239"/>
    <col min="1260" max="1260" width="0.86328125" style="239" customWidth="1"/>
    <col min="1261" max="1261" width="7" style="239" customWidth="1"/>
    <col min="1262" max="1262" width="50.6640625" style="239" customWidth="1"/>
    <col min="1263" max="1264" width="7.6640625" style="239" customWidth="1"/>
    <col min="1265" max="1265" width="11.6640625" style="239" customWidth="1"/>
    <col min="1266" max="1266" width="12.6640625" style="239" customWidth="1"/>
    <col min="1267" max="1515" width="8.86328125" style="239"/>
    <col min="1516" max="1516" width="0.86328125" style="239" customWidth="1"/>
    <col min="1517" max="1517" width="7" style="239" customWidth="1"/>
    <col min="1518" max="1518" width="50.6640625" style="239" customWidth="1"/>
    <col min="1519" max="1520" width="7.6640625" style="239" customWidth="1"/>
    <col min="1521" max="1521" width="11.6640625" style="239" customWidth="1"/>
    <col min="1522" max="1522" width="12.6640625" style="239" customWidth="1"/>
    <col min="1523" max="1771" width="8.86328125" style="239"/>
    <col min="1772" max="1772" width="0.86328125" style="239" customWidth="1"/>
    <col min="1773" max="1773" width="7" style="239" customWidth="1"/>
    <col min="1774" max="1774" width="50.6640625" style="239" customWidth="1"/>
    <col min="1775" max="1776" width="7.6640625" style="239" customWidth="1"/>
    <col min="1777" max="1777" width="11.6640625" style="239" customWidth="1"/>
    <col min="1778" max="1778" width="12.6640625" style="239" customWidth="1"/>
    <col min="1779" max="2027" width="8.86328125" style="239"/>
    <col min="2028" max="2028" width="0.86328125" style="239" customWidth="1"/>
    <col min="2029" max="2029" width="7" style="239" customWidth="1"/>
    <col min="2030" max="2030" width="50.6640625" style="239" customWidth="1"/>
    <col min="2031" max="2032" width="7.6640625" style="239" customWidth="1"/>
    <col min="2033" max="2033" width="11.6640625" style="239" customWidth="1"/>
    <col min="2034" max="2034" width="12.6640625" style="239" customWidth="1"/>
    <col min="2035" max="2283" width="8.86328125" style="239"/>
    <col min="2284" max="2284" width="0.86328125" style="239" customWidth="1"/>
    <col min="2285" max="2285" width="7" style="239" customWidth="1"/>
    <col min="2286" max="2286" width="50.6640625" style="239" customWidth="1"/>
    <col min="2287" max="2288" width="7.6640625" style="239" customWidth="1"/>
    <col min="2289" max="2289" width="11.6640625" style="239" customWidth="1"/>
    <col min="2290" max="2290" width="12.6640625" style="239" customWidth="1"/>
    <col min="2291" max="2539" width="8.86328125" style="239"/>
    <col min="2540" max="2540" width="0.86328125" style="239" customWidth="1"/>
    <col min="2541" max="2541" width="7" style="239" customWidth="1"/>
    <col min="2542" max="2542" width="50.6640625" style="239" customWidth="1"/>
    <col min="2543" max="2544" width="7.6640625" style="239" customWidth="1"/>
    <col min="2545" max="2545" width="11.6640625" style="239" customWidth="1"/>
    <col min="2546" max="2546" width="12.6640625" style="239" customWidth="1"/>
    <col min="2547" max="2795" width="8.86328125" style="239"/>
    <col min="2796" max="2796" width="0.86328125" style="239" customWidth="1"/>
    <col min="2797" max="2797" width="7" style="239" customWidth="1"/>
    <col min="2798" max="2798" width="50.6640625" style="239" customWidth="1"/>
    <col min="2799" max="2800" width="7.6640625" style="239" customWidth="1"/>
    <col min="2801" max="2801" width="11.6640625" style="239" customWidth="1"/>
    <col min="2802" max="2802" width="12.6640625" style="239" customWidth="1"/>
    <col min="2803" max="3051" width="8.86328125" style="239"/>
    <col min="3052" max="3052" width="0.86328125" style="239" customWidth="1"/>
    <col min="3053" max="3053" width="7" style="239" customWidth="1"/>
    <col min="3054" max="3054" width="50.6640625" style="239" customWidth="1"/>
    <col min="3055" max="3056" width="7.6640625" style="239" customWidth="1"/>
    <col min="3057" max="3057" width="11.6640625" style="239" customWidth="1"/>
    <col min="3058" max="3058" width="12.6640625" style="239" customWidth="1"/>
    <col min="3059" max="3307" width="8.86328125" style="239"/>
    <col min="3308" max="3308" width="0.86328125" style="239" customWidth="1"/>
    <col min="3309" max="3309" width="7" style="239" customWidth="1"/>
    <col min="3310" max="3310" width="50.6640625" style="239" customWidth="1"/>
    <col min="3311" max="3312" width="7.6640625" style="239" customWidth="1"/>
    <col min="3313" max="3313" width="11.6640625" style="239" customWidth="1"/>
    <col min="3314" max="3314" width="12.6640625" style="239" customWidth="1"/>
    <col min="3315" max="3563" width="8.86328125" style="239"/>
    <col min="3564" max="3564" width="0.86328125" style="239" customWidth="1"/>
    <col min="3565" max="3565" width="7" style="239" customWidth="1"/>
    <col min="3566" max="3566" width="50.6640625" style="239" customWidth="1"/>
    <col min="3567" max="3568" width="7.6640625" style="239" customWidth="1"/>
    <col min="3569" max="3569" width="11.6640625" style="239" customWidth="1"/>
    <col min="3570" max="3570" width="12.6640625" style="239" customWidth="1"/>
    <col min="3571" max="3819" width="8.86328125" style="239"/>
    <col min="3820" max="3820" width="0.86328125" style="239" customWidth="1"/>
    <col min="3821" max="3821" width="7" style="239" customWidth="1"/>
    <col min="3822" max="3822" width="50.6640625" style="239" customWidth="1"/>
    <col min="3823" max="3824" width="7.6640625" style="239" customWidth="1"/>
    <col min="3825" max="3825" width="11.6640625" style="239" customWidth="1"/>
    <col min="3826" max="3826" width="12.6640625" style="239" customWidth="1"/>
    <col min="3827" max="4075" width="8.86328125" style="239"/>
    <col min="4076" max="4076" width="0.86328125" style="239" customWidth="1"/>
    <col min="4077" max="4077" width="7" style="239" customWidth="1"/>
    <col min="4078" max="4078" width="50.6640625" style="239" customWidth="1"/>
    <col min="4079" max="4080" width="7.6640625" style="239" customWidth="1"/>
    <col min="4081" max="4081" width="11.6640625" style="239" customWidth="1"/>
    <col min="4082" max="4082" width="12.6640625" style="239" customWidth="1"/>
    <col min="4083" max="4331" width="8.86328125" style="239"/>
    <col min="4332" max="4332" width="0.86328125" style="239" customWidth="1"/>
    <col min="4333" max="4333" width="7" style="239" customWidth="1"/>
    <col min="4334" max="4334" width="50.6640625" style="239" customWidth="1"/>
    <col min="4335" max="4336" width="7.6640625" style="239" customWidth="1"/>
    <col min="4337" max="4337" width="11.6640625" style="239" customWidth="1"/>
    <col min="4338" max="4338" width="12.6640625" style="239" customWidth="1"/>
    <col min="4339" max="4587" width="8.86328125" style="239"/>
    <col min="4588" max="4588" width="0.86328125" style="239" customWidth="1"/>
    <col min="4589" max="4589" width="7" style="239" customWidth="1"/>
    <col min="4590" max="4590" width="50.6640625" style="239" customWidth="1"/>
    <col min="4591" max="4592" width="7.6640625" style="239" customWidth="1"/>
    <col min="4593" max="4593" width="11.6640625" style="239" customWidth="1"/>
    <col min="4594" max="4594" width="12.6640625" style="239" customWidth="1"/>
    <col min="4595" max="4843" width="8.86328125" style="239"/>
    <col min="4844" max="4844" width="0.86328125" style="239" customWidth="1"/>
    <col min="4845" max="4845" width="7" style="239" customWidth="1"/>
    <col min="4846" max="4846" width="50.6640625" style="239" customWidth="1"/>
    <col min="4847" max="4848" width="7.6640625" style="239" customWidth="1"/>
    <col min="4849" max="4849" width="11.6640625" style="239" customWidth="1"/>
    <col min="4850" max="4850" width="12.6640625" style="239" customWidth="1"/>
    <col min="4851" max="5099" width="8.86328125" style="239"/>
    <col min="5100" max="5100" width="0.86328125" style="239" customWidth="1"/>
    <col min="5101" max="5101" width="7" style="239" customWidth="1"/>
    <col min="5102" max="5102" width="50.6640625" style="239" customWidth="1"/>
    <col min="5103" max="5104" width="7.6640625" style="239" customWidth="1"/>
    <col min="5105" max="5105" width="11.6640625" style="239" customWidth="1"/>
    <col min="5106" max="5106" width="12.6640625" style="239" customWidth="1"/>
    <col min="5107" max="5355" width="8.86328125" style="239"/>
    <col min="5356" max="5356" width="0.86328125" style="239" customWidth="1"/>
    <col min="5357" max="5357" width="7" style="239" customWidth="1"/>
    <col min="5358" max="5358" width="50.6640625" style="239" customWidth="1"/>
    <col min="5359" max="5360" width="7.6640625" style="239" customWidth="1"/>
    <col min="5361" max="5361" width="11.6640625" style="239" customWidth="1"/>
    <col min="5362" max="5362" width="12.6640625" style="239" customWidth="1"/>
    <col min="5363" max="5611" width="8.86328125" style="239"/>
    <col min="5612" max="5612" width="0.86328125" style="239" customWidth="1"/>
    <col min="5613" max="5613" width="7" style="239" customWidth="1"/>
    <col min="5614" max="5614" width="50.6640625" style="239" customWidth="1"/>
    <col min="5615" max="5616" width="7.6640625" style="239" customWidth="1"/>
    <col min="5617" max="5617" width="11.6640625" style="239" customWidth="1"/>
    <col min="5618" max="5618" width="12.6640625" style="239" customWidth="1"/>
    <col min="5619" max="5867" width="8.86328125" style="239"/>
    <col min="5868" max="5868" width="0.86328125" style="239" customWidth="1"/>
    <col min="5869" max="5869" width="7" style="239" customWidth="1"/>
    <col min="5870" max="5870" width="50.6640625" style="239" customWidth="1"/>
    <col min="5871" max="5872" width="7.6640625" style="239" customWidth="1"/>
    <col min="5873" max="5873" width="11.6640625" style="239" customWidth="1"/>
    <col min="5874" max="5874" width="12.6640625" style="239" customWidth="1"/>
    <col min="5875" max="6123" width="8.86328125" style="239"/>
    <col min="6124" max="6124" width="0.86328125" style="239" customWidth="1"/>
    <col min="6125" max="6125" width="7" style="239" customWidth="1"/>
    <col min="6126" max="6126" width="50.6640625" style="239" customWidth="1"/>
    <col min="6127" max="6128" width="7.6640625" style="239" customWidth="1"/>
    <col min="6129" max="6129" width="11.6640625" style="239" customWidth="1"/>
    <col min="6130" max="6130" width="12.6640625" style="239" customWidth="1"/>
    <col min="6131" max="6379" width="8.86328125" style="239"/>
    <col min="6380" max="6380" width="0.86328125" style="239" customWidth="1"/>
    <col min="6381" max="6381" width="7" style="239" customWidth="1"/>
    <col min="6382" max="6382" width="50.6640625" style="239" customWidth="1"/>
    <col min="6383" max="6384" width="7.6640625" style="239" customWidth="1"/>
    <col min="6385" max="6385" width="11.6640625" style="239" customWidth="1"/>
    <col min="6386" max="6386" width="12.6640625" style="239" customWidth="1"/>
    <col min="6387" max="6635" width="8.86328125" style="239"/>
    <col min="6636" max="6636" width="0.86328125" style="239" customWidth="1"/>
    <col min="6637" max="6637" width="7" style="239" customWidth="1"/>
    <col min="6638" max="6638" width="50.6640625" style="239" customWidth="1"/>
    <col min="6639" max="6640" width="7.6640625" style="239" customWidth="1"/>
    <col min="6641" max="6641" width="11.6640625" style="239" customWidth="1"/>
    <col min="6642" max="6642" width="12.6640625" style="239" customWidth="1"/>
    <col min="6643" max="6891" width="8.86328125" style="239"/>
    <col min="6892" max="6892" width="0.86328125" style="239" customWidth="1"/>
    <col min="6893" max="6893" width="7" style="239" customWidth="1"/>
    <col min="6894" max="6894" width="50.6640625" style="239" customWidth="1"/>
    <col min="6895" max="6896" width="7.6640625" style="239" customWidth="1"/>
    <col min="6897" max="6897" width="11.6640625" style="239" customWidth="1"/>
    <col min="6898" max="6898" width="12.6640625" style="239" customWidth="1"/>
    <col min="6899" max="7147" width="8.86328125" style="239"/>
    <col min="7148" max="7148" width="0.86328125" style="239" customWidth="1"/>
    <col min="7149" max="7149" width="7" style="239" customWidth="1"/>
    <col min="7150" max="7150" width="50.6640625" style="239" customWidth="1"/>
    <col min="7151" max="7152" width="7.6640625" style="239" customWidth="1"/>
    <col min="7153" max="7153" width="11.6640625" style="239" customWidth="1"/>
    <col min="7154" max="7154" width="12.6640625" style="239" customWidth="1"/>
    <col min="7155" max="7403" width="8.86328125" style="239"/>
    <col min="7404" max="7404" width="0.86328125" style="239" customWidth="1"/>
    <col min="7405" max="7405" width="7" style="239" customWidth="1"/>
    <col min="7406" max="7406" width="50.6640625" style="239" customWidth="1"/>
    <col min="7407" max="7408" width="7.6640625" style="239" customWidth="1"/>
    <col min="7409" max="7409" width="11.6640625" style="239" customWidth="1"/>
    <col min="7410" max="7410" width="12.6640625" style="239" customWidth="1"/>
    <col min="7411" max="7659" width="8.86328125" style="239"/>
    <col min="7660" max="7660" width="0.86328125" style="239" customWidth="1"/>
    <col min="7661" max="7661" width="7" style="239" customWidth="1"/>
    <col min="7662" max="7662" width="50.6640625" style="239" customWidth="1"/>
    <col min="7663" max="7664" width="7.6640625" style="239" customWidth="1"/>
    <col min="7665" max="7665" width="11.6640625" style="239" customWidth="1"/>
    <col min="7666" max="7666" width="12.6640625" style="239" customWidth="1"/>
    <col min="7667" max="7915" width="8.86328125" style="239"/>
    <col min="7916" max="7916" width="0.86328125" style="239" customWidth="1"/>
    <col min="7917" max="7917" width="7" style="239" customWidth="1"/>
    <col min="7918" max="7918" width="50.6640625" style="239" customWidth="1"/>
    <col min="7919" max="7920" width="7.6640625" style="239" customWidth="1"/>
    <col min="7921" max="7921" width="11.6640625" style="239" customWidth="1"/>
    <col min="7922" max="7922" width="12.6640625" style="239" customWidth="1"/>
    <col min="7923" max="8171" width="8.86328125" style="239"/>
    <col min="8172" max="8172" width="0.86328125" style="239" customWidth="1"/>
    <col min="8173" max="8173" width="7" style="239" customWidth="1"/>
    <col min="8174" max="8174" width="50.6640625" style="239" customWidth="1"/>
    <col min="8175" max="8176" width="7.6640625" style="239" customWidth="1"/>
    <col min="8177" max="8177" width="11.6640625" style="239" customWidth="1"/>
    <col min="8178" max="8178" width="12.6640625" style="239" customWidth="1"/>
    <col min="8179" max="8427" width="8.86328125" style="239"/>
    <col min="8428" max="8428" width="0.86328125" style="239" customWidth="1"/>
    <col min="8429" max="8429" width="7" style="239" customWidth="1"/>
    <col min="8430" max="8430" width="50.6640625" style="239" customWidth="1"/>
    <col min="8431" max="8432" width="7.6640625" style="239" customWidth="1"/>
    <col min="8433" max="8433" width="11.6640625" style="239" customWidth="1"/>
    <col min="8434" max="8434" width="12.6640625" style="239" customWidth="1"/>
    <col min="8435" max="8683" width="8.86328125" style="239"/>
    <col min="8684" max="8684" width="0.86328125" style="239" customWidth="1"/>
    <col min="8685" max="8685" width="7" style="239" customWidth="1"/>
    <col min="8686" max="8686" width="50.6640625" style="239" customWidth="1"/>
    <col min="8687" max="8688" width="7.6640625" style="239" customWidth="1"/>
    <col min="8689" max="8689" width="11.6640625" style="239" customWidth="1"/>
    <col min="8690" max="8690" width="12.6640625" style="239" customWidth="1"/>
    <col min="8691" max="8939" width="8.86328125" style="239"/>
    <col min="8940" max="8940" width="0.86328125" style="239" customWidth="1"/>
    <col min="8941" max="8941" width="7" style="239" customWidth="1"/>
    <col min="8942" max="8942" width="50.6640625" style="239" customWidth="1"/>
    <col min="8943" max="8944" width="7.6640625" style="239" customWidth="1"/>
    <col min="8945" max="8945" width="11.6640625" style="239" customWidth="1"/>
    <col min="8946" max="8946" width="12.6640625" style="239" customWidth="1"/>
    <col min="8947" max="9195" width="8.86328125" style="239"/>
    <col min="9196" max="9196" width="0.86328125" style="239" customWidth="1"/>
    <col min="9197" max="9197" width="7" style="239" customWidth="1"/>
    <col min="9198" max="9198" width="50.6640625" style="239" customWidth="1"/>
    <col min="9199" max="9200" width="7.6640625" style="239" customWidth="1"/>
    <col min="9201" max="9201" width="11.6640625" style="239" customWidth="1"/>
    <col min="9202" max="9202" width="12.6640625" style="239" customWidth="1"/>
    <col min="9203" max="9451" width="8.86328125" style="239"/>
    <col min="9452" max="9452" width="0.86328125" style="239" customWidth="1"/>
    <col min="9453" max="9453" width="7" style="239" customWidth="1"/>
    <col min="9454" max="9454" width="50.6640625" style="239" customWidth="1"/>
    <col min="9455" max="9456" width="7.6640625" style="239" customWidth="1"/>
    <col min="9457" max="9457" width="11.6640625" style="239" customWidth="1"/>
    <col min="9458" max="9458" width="12.6640625" style="239" customWidth="1"/>
    <col min="9459" max="9707" width="8.86328125" style="239"/>
    <col min="9708" max="9708" width="0.86328125" style="239" customWidth="1"/>
    <col min="9709" max="9709" width="7" style="239" customWidth="1"/>
    <col min="9710" max="9710" width="50.6640625" style="239" customWidth="1"/>
    <col min="9711" max="9712" width="7.6640625" style="239" customWidth="1"/>
    <col min="9713" max="9713" width="11.6640625" style="239" customWidth="1"/>
    <col min="9714" max="9714" width="12.6640625" style="239" customWidth="1"/>
    <col min="9715" max="9963" width="8.86328125" style="239"/>
    <col min="9964" max="9964" width="0.86328125" style="239" customWidth="1"/>
    <col min="9965" max="9965" width="7" style="239" customWidth="1"/>
    <col min="9966" max="9966" width="50.6640625" style="239" customWidth="1"/>
    <col min="9967" max="9968" width="7.6640625" style="239" customWidth="1"/>
    <col min="9969" max="9969" width="11.6640625" style="239" customWidth="1"/>
    <col min="9970" max="9970" width="12.6640625" style="239" customWidth="1"/>
    <col min="9971" max="10219" width="8.86328125" style="239"/>
    <col min="10220" max="10220" width="0.86328125" style="239" customWidth="1"/>
    <col min="10221" max="10221" width="7" style="239" customWidth="1"/>
    <col min="10222" max="10222" width="50.6640625" style="239" customWidth="1"/>
    <col min="10223" max="10224" width="7.6640625" style="239" customWidth="1"/>
    <col min="10225" max="10225" width="11.6640625" style="239" customWidth="1"/>
    <col min="10226" max="10226" width="12.6640625" style="239" customWidth="1"/>
    <col min="10227" max="10475" width="8.86328125" style="239"/>
    <col min="10476" max="10476" width="0.86328125" style="239" customWidth="1"/>
    <col min="10477" max="10477" width="7" style="239" customWidth="1"/>
    <col min="10478" max="10478" width="50.6640625" style="239" customWidth="1"/>
    <col min="10479" max="10480" width="7.6640625" style="239" customWidth="1"/>
    <col min="10481" max="10481" width="11.6640625" style="239" customWidth="1"/>
    <col min="10482" max="10482" width="12.6640625" style="239" customWidth="1"/>
    <col min="10483" max="10731" width="8.86328125" style="239"/>
    <col min="10732" max="10732" width="0.86328125" style="239" customWidth="1"/>
    <col min="10733" max="10733" width="7" style="239" customWidth="1"/>
    <col min="10734" max="10734" width="50.6640625" style="239" customWidth="1"/>
    <col min="10735" max="10736" width="7.6640625" style="239" customWidth="1"/>
    <col min="10737" max="10737" width="11.6640625" style="239" customWidth="1"/>
    <col min="10738" max="10738" width="12.6640625" style="239" customWidth="1"/>
    <col min="10739" max="10987" width="8.86328125" style="239"/>
    <col min="10988" max="10988" width="0.86328125" style="239" customWidth="1"/>
    <col min="10989" max="10989" width="7" style="239" customWidth="1"/>
    <col min="10990" max="10990" width="50.6640625" style="239" customWidth="1"/>
    <col min="10991" max="10992" width="7.6640625" style="239" customWidth="1"/>
    <col min="10993" max="10993" width="11.6640625" style="239" customWidth="1"/>
    <col min="10994" max="10994" width="12.6640625" style="239" customWidth="1"/>
    <col min="10995" max="11243" width="8.86328125" style="239"/>
    <col min="11244" max="11244" width="0.86328125" style="239" customWidth="1"/>
    <col min="11245" max="11245" width="7" style="239" customWidth="1"/>
    <col min="11246" max="11246" width="50.6640625" style="239" customWidth="1"/>
    <col min="11247" max="11248" width="7.6640625" style="239" customWidth="1"/>
    <col min="11249" max="11249" width="11.6640625" style="239" customWidth="1"/>
    <col min="11250" max="11250" width="12.6640625" style="239" customWidth="1"/>
    <col min="11251" max="11499" width="8.86328125" style="239"/>
    <col min="11500" max="11500" width="0.86328125" style="239" customWidth="1"/>
    <col min="11501" max="11501" width="7" style="239" customWidth="1"/>
    <col min="11502" max="11502" width="50.6640625" style="239" customWidth="1"/>
    <col min="11503" max="11504" width="7.6640625" style="239" customWidth="1"/>
    <col min="11505" max="11505" width="11.6640625" style="239" customWidth="1"/>
    <col min="11506" max="11506" width="12.6640625" style="239" customWidth="1"/>
    <col min="11507" max="11755" width="8.86328125" style="239"/>
    <col min="11756" max="11756" width="0.86328125" style="239" customWidth="1"/>
    <col min="11757" max="11757" width="7" style="239" customWidth="1"/>
    <col min="11758" max="11758" width="50.6640625" style="239" customWidth="1"/>
    <col min="11759" max="11760" width="7.6640625" style="239" customWidth="1"/>
    <col min="11761" max="11761" width="11.6640625" style="239" customWidth="1"/>
    <col min="11762" max="11762" width="12.6640625" style="239" customWidth="1"/>
    <col min="11763" max="12011" width="8.86328125" style="239"/>
    <col min="12012" max="12012" width="0.86328125" style="239" customWidth="1"/>
    <col min="12013" max="12013" width="7" style="239" customWidth="1"/>
    <col min="12014" max="12014" width="50.6640625" style="239" customWidth="1"/>
    <col min="12015" max="12016" width="7.6640625" style="239" customWidth="1"/>
    <col min="12017" max="12017" width="11.6640625" style="239" customWidth="1"/>
    <col min="12018" max="12018" width="12.6640625" style="239" customWidth="1"/>
    <col min="12019" max="12267" width="8.86328125" style="239"/>
    <col min="12268" max="12268" width="0.86328125" style="239" customWidth="1"/>
    <col min="12269" max="12269" width="7" style="239" customWidth="1"/>
    <col min="12270" max="12270" width="50.6640625" style="239" customWidth="1"/>
    <col min="12271" max="12272" width="7.6640625" style="239" customWidth="1"/>
    <col min="12273" max="12273" width="11.6640625" style="239" customWidth="1"/>
    <col min="12274" max="12274" width="12.6640625" style="239" customWidth="1"/>
    <col min="12275" max="12523" width="8.86328125" style="239"/>
    <col min="12524" max="12524" width="0.86328125" style="239" customWidth="1"/>
    <col min="12525" max="12525" width="7" style="239" customWidth="1"/>
    <col min="12526" max="12526" width="50.6640625" style="239" customWidth="1"/>
    <col min="12527" max="12528" width="7.6640625" style="239" customWidth="1"/>
    <col min="12529" max="12529" width="11.6640625" style="239" customWidth="1"/>
    <col min="12530" max="12530" width="12.6640625" style="239" customWidth="1"/>
    <col min="12531" max="12779" width="8.86328125" style="239"/>
    <col min="12780" max="12780" width="0.86328125" style="239" customWidth="1"/>
    <col min="12781" max="12781" width="7" style="239" customWidth="1"/>
    <col min="12782" max="12782" width="50.6640625" style="239" customWidth="1"/>
    <col min="12783" max="12784" width="7.6640625" style="239" customWidth="1"/>
    <col min="12785" max="12785" width="11.6640625" style="239" customWidth="1"/>
    <col min="12786" max="12786" width="12.6640625" style="239" customWidth="1"/>
    <col min="12787" max="13035" width="8.86328125" style="239"/>
    <col min="13036" max="13036" width="0.86328125" style="239" customWidth="1"/>
    <col min="13037" max="13037" width="7" style="239" customWidth="1"/>
    <col min="13038" max="13038" width="50.6640625" style="239" customWidth="1"/>
    <col min="13039" max="13040" width="7.6640625" style="239" customWidth="1"/>
    <col min="13041" max="13041" width="11.6640625" style="239" customWidth="1"/>
    <col min="13042" max="13042" width="12.6640625" style="239" customWidth="1"/>
    <col min="13043" max="13291" width="8.86328125" style="239"/>
    <col min="13292" max="13292" width="0.86328125" style="239" customWidth="1"/>
    <col min="13293" max="13293" width="7" style="239" customWidth="1"/>
    <col min="13294" max="13294" width="50.6640625" style="239" customWidth="1"/>
    <col min="13295" max="13296" width="7.6640625" style="239" customWidth="1"/>
    <col min="13297" max="13297" width="11.6640625" style="239" customWidth="1"/>
    <col min="13298" max="13298" width="12.6640625" style="239" customWidth="1"/>
    <col min="13299" max="13547" width="8.86328125" style="239"/>
    <col min="13548" max="13548" width="0.86328125" style="239" customWidth="1"/>
    <col min="13549" max="13549" width="7" style="239" customWidth="1"/>
    <col min="13550" max="13550" width="50.6640625" style="239" customWidth="1"/>
    <col min="13551" max="13552" width="7.6640625" style="239" customWidth="1"/>
    <col min="13553" max="13553" width="11.6640625" style="239" customWidth="1"/>
    <col min="13554" max="13554" width="12.6640625" style="239" customWidth="1"/>
    <col min="13555" max="13803" width="8.86328125" style="239"/>
    <col min="13804" max="13804" width="0.86328125" style="239" customWidth="1"/>
    <col min="13805" max="13805" width="7" style="239" customWidth="1"/>
    <col min="13806" max="13806" width="50.6640625" style="239" customWidth="1"/>
    <col min="13807" max="13808" width="7.6640625" style="239" customWidth="1"/>
    <col min="13809" max="13809" width="11.6640625" style="239" customWidth="1"/>
    <col min="13810" max="13810" width="12.6640625" style="239" customWidth="1"/>
    <col min="13811" max="14059" width="8.86328125" style="239"/>
    <col min="14060" max="14060" width="0.86328125" style="239" customWidth="1"/>
    <col min="14061" max="14061" width="7" style="239" customWidth="1"/>
    <col min="14062" max="14062" width="50.6640625" style="239" customWidth="1"/>
    <col min="14063" max="14064" width="7.6640625" style="239" customWidth="1"/>
    <col min="14065" max="14065" width="11.6640625" style="239" customWidth="1"/>
    <col min="14066" max="14066" width="12.6640625" style="239" customWidth="1"/>
    <col min="14067" max="14315" width="8.86328125" style="239"/>
    <col min="14316" max="14316" width="0.86328125" style="239" customWidth="1"/>
    <col min="14317" max="14317" width="7" style="239" customWidth="1"/>
    <col min="14318" max="14318" width="50.6640625" style="239" customWidth="1"/>
    <col min="14319" max="14320" width="7.6640625" style="239" customWidth="1"/>
    <col min="14321" max="14321" width="11.6640625" style="239" customWidth="1"/>
    <col min="14322" max="14322" width="12.6640625" style="239" customWidth="1"/>
    <col min="14323" max="14571" width="8.86328125" style="239"/>
    <col min="14572" max="14572" width="0.86328125" style="239" customWidth="1"/>
    <col min="14573" max="14573" width="7" style="239" customWidth="1"/>
    <col min="14574" max="14574" width="50.6640625" style="239" customWidth="1"/>
    <col min="14575" max="14576" width="7.6640625" style="239" customWidth="1"/>
    <col min="14577" max="14577" width="11.6640625" style="239" customWidth="1"/>
    <col min="14578" max="14578" width="12.6640625" style="239" customWidth="1"/>
    <col min="14579" max="14827" width="8.86328125" style="239"/>
    <col min="14828" max="14828" width="0.86328125" style="239" customWidth="1"/>
    <col min="14829" max="14829" width="7" style="239" customWidth="1"/>
    <col min="14830" max="14830" width="50.6640625" style="239" customWidth="1"/>
    <col min="14831" max="14832" width="7.6640625" style="239" customWidth="1"/>
    <col min="14833" max="14833" width="11.6640625" style="239" customWidth="1"/>
    <col min="14834" max="14834" width="12.6640625" style="239" customWidth="1"/>
    <col min="14835" max="15083" width="8.86328125" style="239"/>
    <col min="15084" max="15084" width="0.86328125" style="239" customWidth="1"/>
    <col min="15085" max="15085" width="7" style="239" customWidth="1"/>
    <col min="15086" max="15086" width="50.6640625" style="239" customWidth="1"/>
    <col min="15087" max="15088" width="7.6640625" style="239" customWidth="1"/>
    <col min="15089" max="15089" width="11.6640625" style="239" customWidth="1"/>
    <col min="15090" max="15090" width="12.6640625" style="239" customWidth="1"/>
    <col min="15091" max="15339" width="8.86328125" style="239"/>
    <col min="15340" max="15340" width="0.86328125" style="239" customWidth="1"/>
    <col min="15341" max="15341" width="7" style="239" customWidth="1"/>
    <col min="15342" max="15342" width="50.6640625" style="239" customWidth="1"/>
    <col min="15343" max="15344" width="7.6640625" style="239" customWidth="1"/>
    <col min="15345" max="15345" width="11.6640625" style="239" customWidth="1"/>
    <col min="15346" max="15346" width="12.6640625" style="239" customWidth="1"/>
    <col min="15347" max="15595" width="8.86328125" style="239"/>
    <col min="15596" max="15596" width="0.86328125" style="239" customWidth="1"/>
    <col min="15597" max="15597" width="7" style="239" customWidth="1"/>
    <col min="15598" max="15598" width="50.6640625" style="239" customWidth="1"/>
    <col min="15599" max="15600" width="7.6640625" style="239" customWidth="1"/>
    <col min="15601" max="15601" width="11.6640625" style="239" customWidth="1"/>
    <col min="15602" max="15602" width="12.6640625" style="239" customWidth="1"/>
    <col min="15603" max="15851" width="8.86328125" style="239"/>
    <col min="15852" max="15852" width="0.86328125" style="239" customWidth="1"/>
    <col min="15853" max="15853" width="7" style="239" customWidth="1"/>
    <col min="15854" max="15854" width="50.6640625" style="239" customWidth="1"/>
    <col min="15855" max="15856" width="7.6640625" style="239" customWidth="1"/>
    <col min="15857" max="15857" width="11.6640625" style="239" customWidth="1"/>
    <col min="15858" max="15858" width="12.6640625" style="239" customWidth="1"/>
    <col min="15859" max="16107" width="8.86328125" style="239"/>
    <col min="16108" max="16108" width="0.86328125" style="239" customWidth="1"/>
    <col min="16109" max="16109" width="7" style="239" customWidth="1"/>
    <col min="16110" max="16110" width="50.6640625" style="239" customWidth="1"/>
    <col min="16111" max="16112" width="7.6640625" style="239" customWidth="1"/>
    <col min="16113" max="16113" width="11.6640625" style="239" customWidth="1"/>
    <col min="16114" max="16114" width="12.6640625" style="239" customWidth="1"/>
    <col min="16115" max="16384" width="8.86328125" style="239"/>
  </cols>
  <sheetData>
    <row r="1" spans="1:7" ht="3.75" customHeight="1" x14ac:dyDescent="0.35"/>
    <row r="2" spans="1:7" s="257" customFormat="1" ht="30.75" x14ac:dyDescent="0.35">
      <c r="A2" s="238"/>
      <c r="B2" s="245" t="s">
        <v>37</v>
      </c>
      <c r="C2" s="246" t="s">
        <v>38</v>
      </c>
      <c r="D2" s="247" t="s">
        <v>73</v>
      </c>
      <c r="E2" s="246" t="s">
        <v>54</v>
      </c>
      <c r="F2" s="376" t="s">
        <v>533</v>
      </c>
      <c r="G2" s="249" t="s">
        <v>534</v>
      </c>
    </row>
    <row r="3" spans="1:7" ht="22.05" customHeight="1" x14ac:dyDescent="0.35">
      <c r="B3" s="242"/>
      <c r="C3" s="259" t="s">
        <v>989</v>
      </c>
      <c r="D3" s="260"/>
      <c r="E3" s="261"/>
      <c r="F3" s="377"/>
      <c r="G3" s="244"/>
    </row>
    <row r="4" spans="1:7" ht="22.05" customHeight="1" x14ac:dyDescent="0.35">
      <c r="B4" s="242"/>
      <c r="C4" s="259" t="s">
        <v>983</v>
      </c>
      <c r="D4" s="260"/>
      <c r="E4" s="261"/>
      <c r="F4" s="377"/>
      <c r="G4" s="244"/>
    </row>
    <row r="5" spans="1:7" ht="22.05" customHeight="1" x14ac:dyDescent="0.35">
      <c r="B5" s="242"/>
      <c r="C5" s="259" t="s">
        <v>51</v>
      </c>
      <c r="D5" s="260"/>
      <c r="E5" s="261"/>
      <c r="F5" s="377"/>
      <c r="G5" s="244"/>
    </row>
    <row r="6" spans="1:7" ht="31.5" customHeight="1" x14ac:dyDescent="0.35">
      <c r="B6" s="242"/>
      <c r="C6" s="311" t="s">
        <v>543</v>
      </c>
      <c r="D6" s="260"/>
      <c r="E6" s="261"/>
      <c r="F6" s="377"/>
      <c r="G6" s="244"/>
    </row>
    <row r="7" spans="1:7" ht="63" customHeight="1" x14ac:dyDescent="0.35">
      <c r="B7" s="242"/>
      <c r="C7" s="311" t="s">
        <v>544</v>
      </c>
      <c r="D7" s="260"/>
      <c r="E7" s="261"/>
      <c r="F7" s="377"/>
      <c r="G7" s="244"/>
    </row>
    <row r="8" spans="1:7" ht="22.05" customHeight="1" x14ac:dyDescent="0.35">
      <c r="B8" s="242"/>
      <c r="C8" s="259" t="s">
        <v>989</v>
      </c>
      <c r="D8" s="260"/>
      <c r="E8" s="261"/>
      <c r="F8" s="377"/>
      <c r="G8" s="244"/>
    </row>
    <row r="9" spans="1:7" ht="22.05" customHeight="1" x14ac:dyDescent="0.35">
      <c r="B9" s="242"/>
      <c r="C9" s="259" t="s">
        <v>983</v>
      </c>
      <c r="D9" s="260"/>
      <c r="E9" s="261"/>
      <c r="F9" s="377"/>
      <c r="G9" s="244"/>
    </row>
    <row r="10" spans="1:7" ht="22.05" customHeight="1" x14ac:dyDescent="0.35">
      <c r="B10" s="242"/>
      <c r="C10" s="259" t="s">
        <v>81</v>
      </c>
      <c r="D10" s="260"/>
      <c r="E10" s="261"/>
      <c r="F10" s="377"/>
      <c r="G10" s="244"/>
    </row>
    <row r="11" spans="1:7" ht="22.05" customHeight="1" x14ac:dyDescent="0.35">
      <c r="B11" s="242"/>
      <c r="C11" s="259" t="s">
        <v>928</v>
      </c>
      <c r="D11" s="260"/>
      <c r="E11" s="261"/>
      <c r="F11" s="377"/>
      <c r="G11" s="244"/>
    </row>
    <row r="12" spans="1:7" ht="13.5" customHeight="1" x14ac:dyDescent="0.35">
      <c r="B12" s="242" t="s">
        <v>31</v>
      </c>
      <c r="C12" s="310" t="s">
        <v>927</v>
      </c>
      <c r="D12" s="260">
        <v>1</v>
      </c>
      <c r="E12" s="261" t="s">
        <v>113</v>
      </c>
      <c r="F12" s="377">
        <v>6200000</v>
      </c>
      <c r="G12" s="313">
        <f>F12*D12</f>
        <v>6200000</v>
      </c>
    </row>
    <row r="13" spans="1:7" ht="13.5" customHeight="1" x14ac:dyDescent="0.35">
      <c r="B13" s="242"/>
      <c r="C13" s="310" t="s">
        <v>926</v>
      </c>
      <c r="D13" s="260"/>
      <c r="E13" s="261"/>
      <c r="F13" s="377"/>
      <c r="G13" s="313"/>
    </row>
    <row r="14" spans="1:7" ht="25.5" customHeight="1" x14ac:dyDescent="0.35">
      <c r="B14" s="242"/>
      <c r="C14" s="310" t="s">
        <v>925</v>
      </c>
      <c r="D14" s="260"/>
      <c r="E14" s="261"/>
      <c r="F14" s="377"/>
      <c r="G14" s="313"/>
    </row>
    <row r="15" spans="1:7" ht="13.5" customHeight="1" x14ac:dyDescent="0.35">
      <c r="B15" s="242"/>
      <c r="C15" s="310" t="s">
        <v>924</v>
      </c>
      <c r="D15" s="260"/>
      <c r="E15" s="261"/>
      <c r="F15" s="377"/>
      <c r="G15" s="313"/>
    </row>
    <row r="16" spans="1:7" ht="13.5" customHeight="1" x14ac:dyDescent="0.35">
      <c r="B16" s="242"/>
      <c r="C16" s="310" t="s">
        <v>923</v>
      </c>
      <c r="D16" s="260"/>
      <c r="E16" s="261"/>
      <c r="F16" s="377"/>
      <c r="G16" s="313"/>
    </row>
    <row r="17" spans="2:7" ht="13.5" customHeight="1" x14ac:dyDescent="0.35">
      <c r="B17" s="242"/>
      <c r="C17" s="310" t="s">
        <v>922</v>
      </c>
      <c r="D17" s="260"/>
      <c r="E17" s="261"/>
      <c r="F17" s="377"/>
      <c r="G17" s="313"/>
    </row>
    <row r="18" spans="2:7" ht="13.5" customHeight="1" x14ac:dyDescent="0.35">
      <c r="B18" s="242"/>
      <c r="C18" s="310" t="s">
        <v>921</v>
      </c>
      <c r="D18" s="260"/>
      <c r="E18" s="261"/>
      <c r="F18" s="377"/>
      <c r="G18" s="313"/>
    </row>
    <row r="19" spans="2:7" ht="13.5" customHeight="1" x14ac:dyDescent="0.35">
      <c r="B19" s="242"/>
      <c r="C19" s="310" t="s">
        <v>920</v>
      </c>
      <c r="D19" s="260"/>
      <c r="E19" s="261"/>
      <c r="F19" s="377"/>
      <c r="G19" s="313"/>
    </row>
    <row r="20" spans="2:7" ht="13.5" customHeight="1" x14ac:dyDescent="0.35">
      <c r="B20" s="242"/>
      <c r="C20" s="310" t="s">
        <v>919</v>
      </c>
      <c r="D20" s="260"/>
      <c r="E20" s="261"/>
      <c r="F20" s="377"/>
      <c r="G20" s="313"/>
    </row>
    <row r="21" spans="2:7" ht="13.5" customHeight="1" x14ac:dyDescent="0.35">
      <c r="B21" s="242"/>
      <c r="C21" s="310" t="s">
        <v>918</v>
      </c>
      <c r="D21" s="260"/>
      <c r="E21" s="261"/>
      <c r="F21" s="377"/>
      <c r="G21" s="313"/>
    </row>
    <row r="22" spans="2:7" ht="13.5" customHeight="1" x14ac:dyDescent="0.35">
      <c r="B22" s="242"/>
      <c r="C22" s="310" t="s">
        <v>917</v>
      </c>
      <c r="D22" s="260"/>
      <c r="E22" s="261"/>
      <c r="F22" s="377"/>
      <c r="G22" s="313"/>
    </row>
    <row r="23" spans="2:7" ht="13.5" customHeight="1" x14ac:dyDescent="0.35">
      <c r="B23" s="242"/>
      <c r="C23" s="310" t="s">
        <v>916</v>
      </c>
      <c r="D23" s="260"/>
      <c r="E23" s="261"/>
      <c r="F23" s="377"/>
      <c r="G23" s="313"/>
    </row>
    <row r="24" spans="2:7" ht="13.5" customHeight="1" x14ac:dyDescent="0.35">
      <c r="B24" s="242"/>
      <c r="C24" s="310" t="s">
        <v>915</v>
      </c>
      <c r="D24" s="260"/>
      <c r="E24" s="261"/>
      <c r="F24" s="377"/>
      <c r="G24" s="313"/>
    </row>
    <row r="25" spans="2:7" ht="13.5" customHeight="1" x14ac:dyDescent="0.35">
      <c r="B25" s="242"/>
      <c r="C25" s="310" t="s">
        <v>914</v>
      </c>
      <c r="D25" s="260"/>
      <c r="E25" s="261"/>
      <c r="F25" s="377"/>
      <c r="G25" s="313"/>
    </row>
    <row r="26" spans="2:7" ht="13.5" customHeight="1" x14ac:dyDescent="0.35">
      <c r="B26" s="242"/>
      <c r="C26" s="310" t="s">
        <v>913</v>
      </c>
      <c r="D26" s="260"/>
      <c r="E26" s="261"/>
      <c r="F26" s="377"/>
      <c r="G26" s="313"/>
    </row>
    <row r="27" spans="2:7" ht="13.5" customHeight="1" x14ac:dyDescent="0.35">
      <c r="B27" s="242"/>
      <c r="C27" s="311" t="s">
        <v>912</v>
      </c>
      <c r="D27" s="260"/>
      <c r="E27" s="261"/>
      <c r="F27" s="377"/>
      <c r="G27" s="313"/>
    </row>
    <row r="28" spans="2:7" ht="13.5" customHeight="1" x14ac:dyDescent="0.35">
      <c r="B28" s="242" t="s">
        <v>32</v>
      </c>
      <c r="C28" s="310" t="s">
        <v>911</v>
      </c>
      <c r="D28" s="260">
        <v>1</v>
      </c>
      <c r="E28" s="261" t="s">
        <v>113</v>
      </c>
      <c r="F28" s="377">
        <v>1800000</v>
      </c>
      <c r="G28" s="313">
        <f t="shared" ref="G28:G41" si="0">F28*D28</f>
        <v>1800000</v>
      </c>
    </row>
    <row r="29" spans="2:7" ht="13.5" customHeight="1" x14ac:dyDescent="0.35">
      <c r="B29" s="242"/>
      <c r="C29" s="310" t="s">
        <v>910</v>
      </c>
      <c r="D29" s="260"/>
      <c r="E29" s="261"/>
      <c r="F29" s="377"/>
      <c r="G29" s="313"/>
    </row>
    <row r="30" spans="2:7" ht="13.5" customHeight="1" x14ac:dyDescent="0.35">
      <c r="B30" s="242"/>
      <c r="C30" s="310" t="s">
        <v>909</v>
      </c>
      <c r="D30" s="260"/>
      <c r="E30" s="261"/>
      <c r="F30" s="377"/>
      <c r="G30" s="313"/>
    </row>
    <row r="31" spans="2:7" ht="13.5" customHeight="1" x14ac:dyDescent="0.35">
      <c r="B31" s="242"/>
      <c r="C31" s="311" t="s">
        <v>908</v>
      </c>
      <c r="D31" s="260"/>
      <c r="E31" s="261"/>
      <c r="F31" s="377"/>
      <c r="G31" s="313"/>
    </row>
    <row r="32" spans="2:7" ht="31.25" customHeight="1" x14ac:dyDescent="0.35">
      <c r="B32" s="242" t="s">
        <v>33</v>
      </c>
      <c r="C32" s="310" t="s">
        <v>907</v>
      </c>
      <c r="D32" s="260">
        <v>125</v>
      </c>
      <c r="E32" s="261" t="s">
        <v>113</v>
      </c>
      <c r="F32" s="377">
        <v>105000</v>
      </c>
      <c r="G32" s="313">
        <f t="shared" si="0"/>
        <v>13125000</v>
      </c>
    </row>
    <row r="33" spans="2:11" ht="43.8" customHeight="1" x14ac:dyDescent="0.35">
      <c r="B33" s="242" t="s">
        <v>34</v>
      </c>
      <c r="C33" s="310" t="s">
        <v>906</v>
      </c>
      <c r="D33" s="260">
        <v>20</v>
      </c>
      <c r="E33" s="261" t="s">
        <v>113</v>
      </c>
      <c r="F33" s="377">
        <v>145000</v>
      </c>
      <c r="G33" s="313">
        <f t="shared" si="0"/>
        <v>2900000</v>
      </c>
    </row>
    <row r="34" spans="2:11" ht="35.450000000000003" customHeight="1" x14ac:dyDescent="0.35">
      <c r="B34" s="242" t="s">
        <v>35</v>
      </c>
      <c r="C34" s="310" t="s">
        <v>905</v>
      </c>
      <c r="D34" s="260">
        <v>10</v>
      </c>
      <c r="E34" s="261" t="s">
        <v>113</v>
      </c>
      <c r="F34" s="377">
        <v>175000</v>
      </c>
      <c r="G34" s="313">
        <f t="shared" si="0"/>
        <v>1750000</v>
      </c>
    </row>
    <row r="35" spans="2:11" ht="17.75" customHeight="1" x14ac:dyDescent="0.35">
      <c r="B35" s="242" t="s">
        <v>36</v>
      </c>
      <c r="C35" s="310" t="s">
        <v>904</v>
      </c>
      <c r="D35" s="260">
        <v>10</v>
      </c>
      <c r="E35" s="261" t="s">
        <v>113</v>
      </c>
      <c r="F35" s="377">
        <v>157500</v>
      </c>
      <c r="G35" s="313">
        <f t="shared" si="0"/>
        <v>1575000</v>
      </c>
    </row>
    <row r="36" spans="2:11" ht="17.75" customHeight="1" x14ac:dyDescent="0.35">
      <c r="B36" s="242" t="s">
        <v>114</v>
      </c>
      <c r="C36" s="310" t="s">
        <v>903</v>
      </c>
      <c r="D36" s="260">
        <v>10</v>
      </c>
      <c r="E36" s="261" t="s">
        <v>113</v>
      </c>
      <c r="F36" s="377">
        <v>210000</v>
      </c>
      <c r="G36" s="313">
        <f t="shared" si="0"/>
        <v>2100000</v>
      </c>
    </row>
    <row r="37" spans="2:11" ht="17.75" customHeight="1" x14ac:dyDescent="0.35">
      <c r="B37" s="242" t="s">
        <v>39</v>
      </c>
      <c r="C37" s="310" t="s">
        <v>902</v>
      </c>
      <c r="D37" s="260">
        <v>1</v>
      </c>
      <c r="E37" s="261" t="s">
        <v>113</v>
      </c>
      <c r="F37" s="377">
        <v>315000</v>
      </c>
      <c r="G37" s="313">
        <f t="shared" si="0"/>
        <v>315000</v>
      </c>
    </row>
    <row r="38" spans="2:11" ht="17.75" customHeight="1" x14ac:dyDescent="0.35">
      <c r="B38" s="242" t="s">
        <v>40</v>
      </c>
      <c r="C38" s="310" t="s">
        <v>901</v>
      </c>
      <c r="D38" s="260">
        <v>1</v>
      </c>
      <c r="E38" s="261" t="s">
        <v>113</v>
      </c>
      <c r="F38" s="377">
        <v>210000</v>
      </c>
      <c r="G38" s="313">
        <f t="shared" si="0"/>
        <v>210000</v>
      </c>
    </row>
    <row r="39" spans="2:11" ht="17.75" customHeight="1" x14ac:dyDescent="0.35">
      <c r="B39" s="242" t="s">
        <v>15</v>
      </c>
      <c r="C39" s="310" t="s">
        <v>900</v>
      </c>
      <c r="D39" s="260">
        <v>1</v>
      </c>
      <c r="E39" s="261" t="s">
        <v>113</v>
      </c>
      <c r="F39" s="377">
        <v>210000</v>
      </c>
      <c r="G39" s="313">
        <f t="shared" si="0"/>
        <v>210000</v>
      </c>
    </row>
    <row r="40" spans="2:11" ht="33.75" customHeight="1" x14ac:dyDescent="0.35">
      <c r="B40" s="242" t="s">
        <v>31</v>
      </c>
      <c r="C40" s="310" t="s">
        <v>899</v>
      </c>
      <c r="D40" s="260">
        <f>SUM(D12:D39)</f>
        <v>180</v>
      </c>
      <c r="E40" s="261" t="s">
        <v>113</v>
      </c>
      <c r="F40" s="377">
        <v>35000</v>
      </c>
      <c r="G40" s="313">
        <f t="shared" si="0"/>
        <v>6300000</v>
      </c>
    </row>
    <row r="41" spans="2:11" ht="37.799999999999997" customHeight="1" x14ac:dyDescent="0.35">
      <c r="B41" s="242" t="s">
        <v>32</v>
      </c>
      <c r="C41" s="310" t="s">
        <v>898</v>
      </c>
      <c r="D41" s="260">
        <v>1</v>
      </c>
      <c r="E41" s="261" t="s">
        <v>37</v>
      </c>
      <c r="F41" s="377">
        <v>2200000</v>
      </c>
      <c r="G41" s="313">
        <f t="shared" si="0"/>
        <v>2200000</v>
      </c>
    </row>
    <row r="42" spans="2:11" ht="25.05" customHeight="1" x14ac:dyDescent="0.35">
      <c r="B42" s="242"/>
      <c r="C42" s="310"/>
      <c r="D42" s="260"/>
      <c r="E42" s="261"/>
      <c r="F42" s="377"/>
      <c r="G42" s="313"/>
    </row>
    <row r="43" spans="2:11" s="241" customFormat="1" ht="30" customHeight="1" thickBot="1" x14ac:dyDescent="0.4">
      <c r="B43" s="252"/>
      <c r="C43" s="316" t="s">
        <v>55</v>
      </c>
      <c r="D43" s="263"/>
      <c r="E43" s="243"/>
      <c r="F43" s="377"/>
      <c r="G43" s="314">
        <f>SUM(G12:G41)</f>
        <v>38685000</v>
      </c>
      <c r="H43" s="239"/>
      <c r="J43" s="320"/>
      <c r="K43" s="365"/>
    </row>
    <row r="44" spans="2:11" s="258" customFormat="1" ht="30" customHeight="1" thickTop="1" x14ac:dyDescent="0.35">
      <c r="B44" s="317"/>
      <c r="C44" s="318" t="s">
        <v>991</v>
      </c>
      <c r="D44" s="319"/>
      <c r="E44" s="319"/>
      <c r="F44" s="375"/>
      <c r="G44" s="315"/>
      <c r="H44" s="239"/>
      <c r="J44" s="320"/>
      <c r="K44" s="365"/>
    </row>
    <row r="45" spans="2:11" ht="22.05" customHeight="1" x14ac:dyDescent="0.35">
      <c r="B45" s="242"/>
      <c r="C45" s="259" t="s">
        <v>989</v>
      </c>
      <c r="D45" s="260"/>
      <c r="E45" s="261"/>
      <c r="F45" s="377"/>
      <c r="G45" s="244"/>
    </row>
    <row r="46" spans="2:11" ht="22.05" customHeight="1" x14ac:dyDescent="0.35">
      <c r="B46" s="242"/>
      <c r="C46" s="259" t="s">
        <v>983</v>
      </c>
      <c r="D46" s="260"/>
      <c r="E46" s="261"/>
      <c r="F46" s="377"/>
      <c r="G46" s="244"/>
    </row>
    <row r="47" spans="2:11" ht="22.05" customHeight="1" x14ac:dyDescent="0.35">
      <c r="B47" s="242"/>
      <c r="C47" s="259" t="s">
        <v>520</v>
      </c>
      <c r="D47" s="260"/>
      <c r="E47" s="261"/>
      <c r="F47" s="377"/>
      <c r="G47" s="244"/>
    </row>
    <row r="48" spans="2:11" ht="22.05" customHeight="1" x14ac:dyDescent="0.35">
      <c r="B48" s="242"/>
      <c r="C48" s="259" t="s">
        <v>897</v>
      </c>
      <c r="D48" s="260"/>
      <c r="E48" s="261"/>
      <c r="F48" s="377"/>
      <c r="G48" s="244"/>
    </row>
    <row r="49" spans="2:7" ht="32.25" customHeight="1" x14ac:dyDescent="0.35">
      <c r="B49" s="242" t="s">
        <v>31</v>
      </c>
      <c r="C49" s="310" t="s">
        <v>896</v>
      </c>
      <c r="D49" s="260">
        <v>1</v>
      </c>
      <c r="E49" s="261" t="s">
        <v>113</v>
      </c>
      <c r="F49" s="377">
        <v>875000</v>
      </c>
      <c r="G49" s="313">
        <f>F49*D49</f>
        <v>875000</v>
      </c>
    </row>
    <row r="50" spans="2:7" ht="22.05" customHeight="1" x14ac:dyDescent="0.35">
      <c r="B50" s="242" t="s">
        <v>32</v>
      </c>
      <c r="C50" s="310" t="s">
        <v>895</v>
      </c>
      <c r="D50" s="260">
        <v>1</v>
      </c>
      <c r="E50" s="261" t="s">
        <v>113</v>
      </c>
      <c r="F50" s="377">
        <v>5250000</v>
      </c>
      <c r="G50" s="313">
        <f t="shared" ref="G50:G60" si="1">F50*D50</f>
        <v>5250000</v>
      </c>
    </row>
    <row r="51" spans="2:7" ht="22.05" customHeight="1" x14ac:dyDescent="0.35">
      <c r="B51" s="242" t="s">
        <v>33</v>
      </c>
      <c r="C51" s="310" t="s">
        <v>894</v>
      </c>
      <c r="D51" s="260">
        <v>1</v>
      </c>
      <c r="E51" s="261" t="s">
        <v>113</v>
      </c>
      <c r="F51" s="377">
        <v>3675000</v>
      </c>
      <c r="G51" s="313">
        <f t="shared" si="1"/>
        <v>3675000</v>
      </c>
    </row>
    <row r="52" spans="2:7" ht="22.05" customHeight="1" x14ac:dyDescent="0.35">
      <c r="B52" s="242" t="s">
        <v>34</v>
      </c>
      <c r="C52" s="310" t="s">
        <v>893</v>
      </c>
      <c r="D52" s="260">
        <v>1</v>
      </c>
      <c r="E52" s="261" t="s">
        <v>113</v>
      </c>
      <c r="F52" s="377">
        <v>455000</v>
      </c>
      <c r="G52" s="313">
        <f t="shared" si="1"/>
        <v>455000</v>
      </c>
    </row>
    <row r="53" spans="2:7" ht="35.450000000000003" customHeight="1" x14ac:dyDescent="0.35">
      <c r="B53" s="242" t="s">
        <v>35</v>
      </c>
      <c r="C53" s="310" t="s">
        <v>892</v>
      </c>
      <c r="D53" s="260">
        <v>1</v>
      </c>
      <c r="E53" s="261" t="s">
        <v>113</v>
      </c>
      <c r="F53" s="377">
        <v>1750000</v>
      </c>
      <c r="G53" s="313">
        <f t="shared" si="1"/>
        <v>1750000</v>
      </c>
    </row>
    <row r="54" spans="2:7" ht="36" customHeight="1" x14ac:dyDescent="0.35">
      <c r="B54" s="242" t="s">
        <v>36</v>
      </c>
      <c r="C54" s="310" t="s">
        <v>891</v>
      </c>
      <c r="D54" s="260">
        <v>2</v>
      </c>
      <c r="E54" s="261" t="s">
        <v>113</v>
      </c>
      <c r="F54" s="377">
        <v>262500</v>
      </c>
      <c r="G54" s="313">
        <f t="shared" si="1"/>
        <v>525000</v>
      </c>
    </row>
    <row r="55" spans="2:7" ht="22.05" customHeight="1" x14ac:dyDescent="0.35">
      <c r="B55" s="242" t="s">
        <v>114</v>
      </c>
      <c r="C55" s="310" t="s">
        <v>890</v>
      </c>
      <c r="D55" s="260">
        <v>4</v>
      </c>
      <c r="E55" s="261" t="s">
        <v>113</v>
      </c>
      <c r="F55" s="377">
        <v>140000</v>
      </c>
      <c r="G55" s="313">
        <f t="shared" si="1"/>
        <v>560000</v>
      </c>
    </row>
    <row r="56" spans="2:7" ht="22.05" customHeight="1" x14ac:dyDescent="0.35">
      <c r="B56" s="242" t="s">
        <v>39</v>
      </c>
      <c r="C56" s="310" t="s">
        <v>889</v>
      </c>
      <c r="D56" s="260">
        <v>48</v>
      </c>
      <c r="E56" s="261" t="s">
        <v>113</v>
      </c>
      <c r="F56" s="377">
        <v>87500</v>
      </c>
      <c r="G56" s="313">
        <f t="shared" si="1"/>
        <v>4200000</v>
      </c>
    </row>
    <row r="57" spans="2:7" ht="30.75" x14ac:dyDescent="0.35">
      <c r="B57" s="242" t="s">
        <v>40</v>
      </c>
      <c r="C57" s="310" t="s">
        <v>888</v>
      </c>
      <c r="D57" s="260">
        <f>SUM(D54:D56)</f>
        <v>54</v>
      </c>
      <c r="E57" s="261" t="s">
        <v>113</v>
      </c>
      <c r="F57" s="377">
        <v>70000</v>
      </c>
      <c r="G57" s="313">
        <f t="shared" si="1"/>
        <v>3780000</v>
      </c>
    </row>
    <row r="58" spans="2:7" ht="22.05" customHeight="1" x14ac:dyDescent="0.35">
      <c r="B58" s="242" t="s">
        <v>15</v>
      </c>
      <c r="C58" s="310" t="s">
        <v>887</v>
      </c>
      <c r="D58" s="260">
        <v>1</v>
      </c>
      <c r="E58" s="261" t="s">
        <v>37</v>
      </c>
      <c r="F58" s="377">
        <v>2000000</v>
      </c>
      <c r="G58" s="313">
        <f t="shared" si="1"/>
        <v>2000000</v>
      </c>
    </row>
    <row r="59" spans="2:7" ht="22.05" customHeight="1" x14ac:dyDescent="0.35">
      <c r="B59" s="242" t="s">
        <v>16</v>
      </c>
      <c r="C59" s="310" t="s">
        <v>886</v>
      </c>
      <c r="D59" s="260">
        <v>1</v>
      </c>
      <c r="E59" s="261" t="s">
        <v>37</v>
      </c>
      <c r="F59" s="377">
        <v>2250000</v>
      </c>
      <c r="G59" s="313">
        <f t="shared" si="1"/>
        <v>2250000</v>
      </c>
    </row>
    <row r="60" spans="2:7" ht="22.05" customHeight="1" x14ac:dyDescent="0.35">
      <c r="B60" s="242" t="s">
        <v>89</v>
      </c>
      <c r="C60" s="310" t="s">
        <v>885</v>
      </c>
      <c r="D60" s="260">
        <v>1</v>
      </c>
      <c r="E60" s="261" t="s">
        <v>535</v>
      </c>
      <c r="F60" s="377">
        <v>3200000</v>
      </c>
      <c r="G60" s="313">
        <f t="shared" si="1"/>
        <v>3200000</v>
      </c>
    </row>
    <row r="61" spans="2:7" ht="25.05" customHeight="1" x14ac:dyDescent="0.35">
      <c r="B61" s="242"/>
      <c r="C61" s="310"/>
      <c r="D61" s="260"/>
      <c r="E61" s="261"/>
      <c r="F61" s="377"/>
      <c r="G61" s="313"/>
    </row>
    <row r="62" spans="2:7" ht="25.05" customHeight="1" x14ac:dyDescent="0.35">
      <c r="B62" s="242"/>
      <c r="C62" s="310"/>
      <c r="D62" s="260"/>
      <c r="E62" s="261"/>
      <c r="F62" s="377"/>
      <c r="G62" s="313"/>
    </row>
    <row r="63" spans="2:7" ht="25.05" customHeight="1" x14ac:dyDescent="0.35">
      <c r="B63" s="242"/>
      <c r="C63" s="310"/>
      <c r="D63" s="260"/>
      <c r="E63" s="261"/>
      <c r="F63" s="377"/>
      <c r="G63" s="313"/>
    </row>
    <row r="64" spans="2:7" ht="25.05" customHeight="1" x14ac:dyDescent="0.35">
      <c r="B64" s="242"/>
      <c r="C64" s="310"/>
      <c r="D64" s="260"/>
      <c r="E64" s="261"/>
      <c r="F64" s="377"/>
      <c r="G64" s="313"/>
    </row>
    <row r="65" spans="2:11" ht="25.05" customHeight="1" x14ac:dyDescent="0.35">
      <c r="B65" s="242"/>
      <c r="C65" s="310"/>
      <c r="D65" s="260"/>
      <c r="E65" s="261"/>
      <c r="F65" s="377"/>
      <c r="G65" s="313"/>
    </row>
    <row r="66" spans="2:11" ht="25.05" customHeight="1" x14ac:dyDescent="0.35">
      <c r="B66" s="242"/>
      <c r="C66" s="310"/>
      <c r="D66" s="260"/>
      <c r="E66" s="261"/>
      <c r="F66" s="377"/>
      <c r="G66" s="313"/>
    </row>
    <row r="67" spans="2:11" ht="25.05" customHeight="1" x14ac:dyDescent="0.35">
      <c r="B67" s="242"/>
      <c r="C67" s="310"/>
      <c r="D67" s="260"/>
      <c r="E67" s="261"/>
      <c r="F67" s="377"/>
      <c r="G67" s="313"/>
    </row>
    <row r="68" spans="2:11" ht="25.05" customHeight="1" x14ac:dyDescent="0.35">
      <c r="B68" s="242"/>
      <c r="C68" s="310"/>
      <c r="D68" s="260"/>
      <c r="E68" s="261"/>
      <c r="F68" s="377"/>
      <c r="G68" s="313"/>
    </row>
    <row r="69" spans="2:11" ht="25.05" customHeight="1" x14ac:dyDescent="0.35">
      <c r="B69" s="242"/>
      <c r="C69" s="310"/>
      <c r="D69" s="260"/>
      <c r="E69" s="261"/>
      <c r="F69" s="377"/>
      <c r="G69" s="313"/>
    </row>
    <row r="70" spans="2:11" ht="25.05" customHeight="1" x14ac:dyDescent="0.35">
      <c r="B70" s="242"/>
      <c r="C70" s="310"/>
      <c r="D70" s="260"/>
      <c r="E70" s="261"/>
      <c r="F70" s="377"/>
      <c r="G70" s="313"/>
    </row>
    <row r="71" spans="2:11" ht="25.05" customHeight="1" x14ac:dyDescent="0.35">
      <c r="B71" s="242"/>
      <c r="C71" s="310"/>
      <c r="D71" s="260"/>
      <c r="E71" s="261"/>
      <c r="F71" s="377"/>
      <c r="G71" s="313"/>
    </row>
    <row r="72" spans="2:11" ht="25.05" customHeight="1" x14ac:dyDescent="0.35">
      <c r="B72" s="242"/>
      <c r="C72" s="310"/>
      <c r="D72" s="260"/>
      <c r="E72" s="261"/>
      <c r="F72" s="377"/>
      <c r="G72" s="313"/>
    </row>
    <row r="73" spans="2:11" ht="25.05" customHeight="1" x14ac:dyDescent="0.35">
      <c r="B73" s="242"/>
      <c r="C73" s="310"/>
      <c r="D73" s="260"/>
      <c r="E73" s="261"/>
      <c r="F73" s="377"/>
      <c r="G73" s="313"/>
    </row>
    <row r="74" spans="2:11" ht="19.25" customHeight="1" x14ac:dyDescent="0.35">
      <c r="B74" s="242"/>
      <c r="C74" s="310"/>
      <c r="D74" s="260"/>
      <c r="E74" s="261"/>
      <c r="F74" s="377"/>
      <c r="G74" s="313"/>
    </row>
    <row r="75" spans="2:11" ht="25.05" customHeight="1" x14ac:dyDescent="0.35">
      <c r="B75" s="242"/>
      <c r="C75" s="310"/>
      <c r="D75" s="260"/>
      <c r="E75" s="261"/>
      <c r="F75" s="377"/>
      <c r="G75" s="313"/>
    </row>
    <row r="76" spans="2:11" ht="25.05" customHeight="1" x14ac:dyDescent="0.35">
      <c r="B76" s="242"/>
      <c r="C76" s="310"/>
      <c r="D76" s="260"/>
      <c r="E76" s="261"/>
      <c r="F76" s="377"/>
      <c r="G76" s="313"/>
    </row>
    <row r="77" spans="2:11" s="241" customFormat="1" ht="30" customHeight="1" thickBot="1" x14ac:dyDescent="0.4">
      <c r="B77" s="252"/>
      <c r="C77" s="316" t="s">
        <v>55</v>
      </c>
      <c r="D77" s="263"/>
      <c r="E77" s="243"/>
      <c r="F77" s="377"/>
      <c r="G77" s="314">
        <f>SUM(G49:G60)</f>
        <v>28520000</v>
      </c>
      <c r="H77" s="239"/>
      <c r="J77" s="320"/>
      <c r="K77" s="365"/>
    </row>
    <row r="78" spans="2:11" s="258" customFormat="1" ht="30" customHeight="1" thickTop="1" x14ac:dyDescent="0.35">
      <c r="B78" s="317"/>
      <c r="C78" s="318" t="s">
        <v>992</v>
      </c>
      <c r="D78" s="319"/>
      <c r="E78" s="319"/>
      <c r="F78" s="375"/>
      <c r="G78" s="315"/>
      <c r="H78" s="239"/>
      <c r="J78" s="320"/>
      <c r="K78" s="365"/>
    </row>
    <row r="79" spans="2:11" ht="22.05" customHeight="1" x14ac:dyDescent="0.35">
      <c r="B79" s="242"/>
      <c r="C79" s="259" t="s">
        <v>989</v>
      </c>
      <c r="D79" s="260"/>
      <c r="E79" s="261"/>
      <c r="F79" s="377"/>
      <c r="G79" s="244"/>
    </row>
    <row r="80" spans="2:11" ht="22.05" customHeight="1" x14ac:dyDescent="0.35">
      <c r="B80" s="242"/>
      <c r="C80" s="259" t="s">
        <v>983</v>
      </c>
      <c r="D80" s="260"/>
      <c r="E80" s="261"/>
      <c r="F80" s="377"/>
      <c r="G80" s="244"/>
    </row>
    <row r="81" spans="2:7" ht="22.05" customHeight="1" x14ac:dyDescent="0.35">
      <c r="B81" s="242"/>
      <c r="C81" s="259" t="s">
        <v>189</v>
      </c>
      <c r="D81" s="260"/>
      <c r="E81" s="261"/>
      <c r="F81" s="377"/>
      <c r="G81" s="244"/>
    </row>
    <row r="82" spans="2:7" ht="22.05" customHeight="1" x14ac:dyDescent="0.35">
      <c r="B82" s="242"/>
      <c r="C82" s="259"/>
      <c r="D82" s="260"/>
      <c r="E82" s="261"/>
      <c r="F82" s="377"/>
      <c r="G82" s="244"/>
    </row>
    <row r="83" spans="2:7" ht="22.05" customHeight="1" x14ac:dyDescent="0.35">
      <c r="B83" s="242"/>
      <c r="C83" s="259" t="s">
        <v>996</v>
      </c>
      <c r="D83" s="260"/>
      <c r="E83" s="261"/>
      <c r="F83" s="377"/>
      <c r="G83" s="244"/>
    </row>
    <row r="84" spans="2:7" ht="22.05" customHeight="1" x14ac:dyDescent="0.35">
      <c r="B84" s="242"/>
      <c r="C84" s="311" t="s">
        <v>884</v>
      </c>
      <c r="D84" s="260"/>
      <c r="E84" s="261"/>
      <c r="F84" s="377"/>
      <c r="G84" s="313"/>
    </row>
    <row r="85" spans="2:7" ht="22.05" customHeight="1" x14ac:dyDescent="0.35">
      <c r="B85" s="242"/>
      <c r="C85" s="311" t="s">
        <v>883</v>
      </c>
      <c r="D85" s="260"/>
      <c r="E85" s="261"/>
      <c r="F85" s="377"/>
      <c r="G85" s="313"/>
    </row>
    <row r="86" spans="2:7" ht="22.05" customHeight="1" x14ac:dyDescent="0.35">
      <c r="B86" s="242"/>
      <c r="C86" s="311" t="s">
        <v>993</v>
      </c>
      <c r="D86" s="260"/>
      <c r="E86" s="261"/>
      <c r="F86" s="377"/>
      <c r="G86" s="313"/>
    </row>
    <row r="87" spans="2:7" ht="22.05" customHeight="1" x14ac:dyDescent="0.35">
      <c r="B87" s="242" t="s">
        <v>511</v>
      </c>
      <c r="C87" s="310" t="s">
        <v>882</v>
      </c>
      <c r="D87" s="260">
        <v>1</v>
      </c>
      <c r="E87" s="261" t="s">
        <v>113</v>
      </c>
      <c r="F87" s="377">
        <v>7900000</v>
      </c>
      <c r="G87" s="313">
        <f t="shared" ref="G87:G128" si="2">F87*D87</f>
        <v>7900000</v>
      </c>
    </row>
    <row r="88" spans="2:7" x14ac:dyDescent="0.35">
      <c r="B88" s="242" t="s">
        <v>512</v>
      </c>
      <c r="C88" s="310" t="s">
        <v>881</v>
      </c>
      <c r="D88" s="260">
        <v>1</v>
      </c>
      <c r="E88" s="261" t="s">
        <v>113</v>
      </c>
      <c r="F88" s="377">
        <v>2375000</v>
      </c>
      <c r="G88" s="313">
        <f t="shared" si="2"/>
        <v>2375000</v>
      </c>
    </row>
    <row r="89" spans="2:7" ht="22.05" customHeight="1" x14ac:dyDescent="0.35">
      <c r="B89" s="242" t="s">
        <v>513</v>
      </c>
      <c r="C89" s="310" t="s">
        <v>880</v>
      </c>
      <c r="D89" s="260">
        <v>1</v>
      </c>
      <c r="E89" s="261" t="s">
        <v>113</v>
      </c>
      <c r="F89" s="377">
        <v>1225000</v>
      </c>
      <c r="G89" s="313">
        <f t="shared" si="2"/>
        <v>1225000</v>
      </c>
    </row>
    <row r="90" spans="2:7" ht="22.05" customHeight="1" x14ac:dyDescent="0.35">
      <c r="B90" s="242" t="s">
        <v>514</v>
      </c>
      <c r="C90" s="310" t="s">
        <v>879</v>
      </c>
      <c r="D90" s="260">
        <v>1</v>
      </c>
      <c r="E90" s="261" t="s">
        <v>113</v>
      </c>
      <c r="F90" s="377">
        <v>437500</v>
      </c>
      <c r="G90" s="313">
        <f t="shared" si="2"/>
        <v>437500</v>
      </c>
    </row>
    <row r="91" spans="2:7" ht="22.05" customHeight="1" x14ac:dyDescent="0.35">
      <c r="B91" s="242"/>
      <c r="C91" s="311" t="s">
        <v>878</v>
      </c>
      <c r="D91" s="260"/>
      <c r="E91" s="261"/>
      <c r="F91" s="377"/>
      <c r="G91" s="313"/>
    </row>
    <row r="92" spans="2:7" ht="19.5" customHeight="1" x14ac:dyDescent="0.35">
      <c r="B92" s="242" t="s">
        <v>515</v>
      </c>
      <c r="C92" s="310" t="s">
        <v>877</v>
      </c>
      <c r="D92" s="260">
        <v>1</v>
      </c>
      <c r="E92" s="261" t="s">
        <v>113</v>
      </c>
      <c r="F92" s="377">
        <v>1575000</v>
      </c>
      <c r="G92" s="313">
        <f t="shared" si="2"/>
        <v>1575000</v>
      </c>
    </row>
    <row r="93" spans="2:7" ht="35.450000000000003" customHeight="1" x14ac:dyDescent="0.35">
      <c r="B93" s="242" t="s">
        <v>516</v>
      </c>
      <c r="C93" s="310" t="s">
        <v>876</v>
      </c>
      <c r="D93" s="260">
        <v>2</v>
      </c>
      <c r="E93" s="261" t="s">
        <v>113</v>
      </c>
      <c r="F93" s="377">
        <v>3375000</v>
      </c>
      <c r="G93" s="313">
        <f t="shared" si="2"/>
        <v>6750000</v>
      </c>
    </row>
    <row r="94" spans="2:7" ht="37.25" customHeight="1" x14ac:dyDescent="0.35">
      <c r="B94" s="242" t="s">
        <v>517</v>
      </c>
      <c r="C94" s="310" t="s">
        <v>875</v>
      </c>
      <c r="D94" s="260">
        <v>1</v>
      </c>
      <c r="E94" s="261" t="s">
        <v>113</v>
      </c>
      <c r="F94" s="377">
        <v>875000</v>
      </c>
      <c r="G94" s="313">
        <f t="shared" si="2"/>
        <v>875000</v>
      </c>
    </row>
    <row r="95" spans="2:7" ht="18" customHeight="1" x14ac:dyDescent="0.35">
      <c r="B95" s="242" t="s">
        <v>990</v>
      </c>
      <c r="C95" s="310" t="s">
        <v>874</v>
      </c>
      <c r="D95" s="260">
        <v>2</v>
      </c>
      <c r="E95" s="261" t="s">
        <v>113</v>
      </c>
      <c r="F95" s="377">
        <v>875000</v>
      </c>
      <c r="G95" s="313">
        <f t="shared" si="2"/>
        <v>1750000</v>
      </c>
    </row>
    <row r="96" spans="2:7" ht="17.75" customHeight="1" x14ac:dyDescent="0.35">
      <c r="B96" s="242" t="s">
        <v>31</v>
      </c>
      <c r="C96" s="310" t="s">
        <v>873</v>
      </c>
      <c r="D96" s="260">
        <v>2</v>
      </c>
      <c r="E96" s="261" t="s">
        <v>113</v>
      </c>
      <c r="F96" s="377">
        <v>2625000</v>
      </c>
      <c r="G96" s="313">
        <f t="shared" si="2"/>
        <v>5250000</v>
      </c>
    </row>
    <row r="97" spans="2:7" ht="17.75" customHeight="1" x14ac:dyDescent="0.35">
      <c r="B97" s="242" t="s">
        <v>32</v>
      </c>
      <c r="C97" s="310" t="s">
        <v>872</v>
      </c>
      <c r="D97" s="260">
        <v>1</v>
      </c>
      <c r="E97" s="261" t="s">
        <v>113</v>
      </c>
      <c r="F97" s="377">
        <v>1575000</v>
      </c>
      <c r="G97" s="313">
        <f t="shared" si="2"/>
        <v>1575000</v>
      </c>
    </row>
    <row r="98" spans="2:7" ht="17.75" customHeight="1" x14ac:dyDescent="0.35">
      <c r="B98" s="242" t="s">
        <v>33</v>
      </c>
      <c r="C98" s="310" t="s">
        <v>871</v>
      </c>
      <c r="D98" s="260">
        <v>2</v>
      </c>
      <c r="E98" s="261" t="s">
        <v>113</v>
      </c>
      <c r="F98" s="377">
        <v>1330000</v>
      </c>
      <c r="G98" s="313">
        <f t="shared" si="2"/>
        <v>2660000</v>
      </c>
    </row>
    <row r="99" spans="2:7" ht="17.75" customHeight="1" x14ac:dyDescent="0.35">
      <c r="B99" s="242" t="s">
        <v>34</v>
      </c>
      <c r="C99" s="310" t="s">
        <v>870</v>
      </c>
      <c r="D99" s="260">
        <v>1</v>
      </c>
      <c r="E99" s="261" t="s">
        <v>113</v>
      </c>
      <c r="F99" s="377">
        <v>2520000</v>
      </c>
      <c r="G99" s="313">
        <f t="shared" si="2"/>
        <v>2520000</v>
      </c>
    </row>
    <row r="100" spans="2:7" ht="29.35" customHeight="1" x14ac:dyDescent="0.35">
      <c r="B100" s="242" t="s">
        <v>35</v>
      </c>
      <c r="C100" s="310" t="s">
        <v>869</v>
      </c>
      <c r="D100" s="260">
        <v>4</v>
      </c>
      <c r="E100" s="261" t="s">
        <v>113</v>
      </c>
      <c r="F100" s="377">
        <v>1680000</v>
      </c>
      <c r="G100" s="313">
        <f t="shared" si="2"/>
        <v>6720000</v>
      </c>
    </row>
    <row r="101" spans="2:7" ht="29.35" customHeight="1" x14ac:dyDescent="0.35">
      <c r="B101" s="242" t="s">
        <v>34</v>
      </c>
      <c r="C101" s="310" t="s">
        <v>868</v>
      </c>
      <c r="D101" s="260">
        <v>1</v>
      </c>
      <c r="E101" s="261" t="s">
        <v>113</v>
      </c>
      <c r="F101" s="377">
        <v>7475000</v>
      </c>
      <c r="G101" s="313">
        <f t="shared" si="2"/>
        <v>7475000</v>
      </c>
    </row>
    <row r="102" spans="2:7" ht="17.649999999999999" customHeight="1" x14ac:dyDescent="0.35">
      <c r="B102" s="242"/>
      <c r="C102" s="311" t="s">
        <v>867</v>
      </c>
      <c r="D102" s="260"/>
      <c r="E102" s="261"/>
      <c r="F102" s="377"/>
      <c r="G102" s="313"/>
    </row>
    <row r="103" spans="2:7" ht="51" customHeight="1" x14ac:dyDescent="0.35">
      <c r="B103" s="242" t="s">
        <v>35</v>
      </c>
      <c r="C103" s="310" t="s">
        <v>866</v>
      </c>
      <c r="D103" s="260">
        <v>1</v>
      </c>
      <c r="E103" s="261" t="s">
        <v>113</v>
      </c>
      <c r="F103" s="377">
        <v>3800000</v>
      </c>
      <c r="G103" s="313">
        <f t="shared" si="2"/>
        <v>3800000</v>
      </c>
    </row>
    <row r="104" spans="2:7" ht="22.05" customHeight="1" x14ac:dyDescent="0.35">
      <c r="B104" s="242" t="s">
        <v>36</v>
      </c>
      <c r="C104" s="310" t="s">
        <v>865</v>
      </c>
      <c r="D104" s="260">
        <v>1</v>
      </c>
      <c r="E104" s="261" t="s">
        <v>113</v>
      </c>
      <c r="F104" s="377">
        <v>630000</v>
      </c>
      <c r="G104" s="313">
        <f t="shared" si="2"/>
        <v>630000</v>
      </c>
    </row>
    <row r="105" spans="2:7" ht="22.05" customHeight="1" x14ac:dyDescent="0.35">
      <c r="B105" s="242"/>
      <c r="C105" s="311" t="s">
        <v>864</v>
      </c>
      <c r="D105" s="260"/>
      <c r="E105" s="261"/>
      <c r="F105" s="377"/>
      <c r="G105" s="313"/>
    </row>
    <row r="106" spans="2:7" ht="15.85" customHeight="1" x14ac:dyDescent="0.35">
      <c r="B106" s="242" t="s">
        <v>114</v>
      </c>
      <c r="C106" s="310" t="s">
        <v>863</v>
      </c>
      <c r="D106" s="260">
        <v>1</v>
      </c>
      <c r="E106" s="261" t="s">
        <v>113</v>
      </c>
      <c r="F106" s="377">
        <v>2275000</v>
      </c>
      <c r="G106" s="313">
        <f t="shared" si="2"/>
        <v>2275000</v>
      </c>
    </row>
    <row r="107" spans="2:7" ht="15.85" customHeight="1" x14ac:dyDescent="0.35">
      <c r="B107" s="242" t="s">
        <v>39</v>
      </c>
      <c r="C107" s="310" t="s">
        <v>862</v>
      </c>
      <c r="D107" s="260">
        <v>1</v>
      </c>
      <c r="E107" s="261" t="s">
        <v>113</v>
      </c>
      <c r="F107" s="377">
        <v>3387500</v>
      </c>
      <c r="G107" s="313">
        <f t="shared" si="2"/>
        <v>3387500</v>
      </c>
    </row>
    <row r="108" spans="2:7" ht="15.85" customHeight="1" x14ac:dyDescent="0.35">
      <c r="B108" s="242" t="s">
        <v>40</v>
      </c>
      <c r="C108" s="310" t="s">
        <v>861</v>
      </c>
      <c r="D108" s="260">
        <v>1</v>
      </c>
      <c r="E108" s="261" t="s">
        <v>113</v>
      </c>
      <c r="F108" s="377">
        <v>1085000</v>
      </c>
      <c r="G108" s="313">
        <f t="shared" si="2"/>
        <v>1085000</v>
      </c>
    </row>
    <row r="109" spans="2:7" ht="15.85" customHeight="1" x14ac:dyDescent="0.35">
      <c r="B109" s="242"/>
      <c r="C109" s="310"/>
      <c r="D109" s="260"/>
      <c r="E109" s="261"/>
      <c r="F109" s="377"/>
      <c r="G109" s="313"/>
    </row>
    <row r="110" spans="2:7" ht="22.05" customHeight="1" x14ac:dyDescent="0.35">
      <c r="B110" s="242"/>
      <c r="C110" s="311" t="s">
        <v>860</v>
      </c>
      <c r="D110" s="260"/>
      <c r="E110" s="261"/>
      <c r="F110" s="377"/>
      <c r="G110" s="313"/>
    </row>
    <row r="111" spans="2:7" ht="46.15" x14ac:dyDescent="0.35">
      <c r="B111" s="242" t="s">
        <v>16</v>
      </c>
      <c r="C111" s="310" t="s">
        <v>859</v>
      </c>
      <c r="D111" s="260">
        <v>1</v>
      </c>
      <c r="E111" s="261" t="s">
        <v>113</v>
      </c>
      <c r="F111" s="377">
        <v>8000000</v>
      </c>
      <c r="G111" s="313">
        <f t="shared" si="2"/>
        <v>8000000</v>
      </c>
    </row>
    <row r="112" spans="2:7" ht="27.4" customHeight="1" x14ac:dyDescent="0.35">
      <c r="B112" s="242" t="s">
        <v>89</v>
      </c>
      <c r="C112" s="310" t="s">
        <v>858</v>
      </c>
      <c r="D112" s="260">
        <v>2</v>
      </c>
      <c r="E112" s="261" t="s">
        <v>113</v>
      </c>
      <c r="F112" s="377">
        <v>2375000</v>
      </c>
      <c r="G112" s="313">
        <f t="shared" si="2"/>
        <v>4750000</v>
      </c>
    </row>
    <row r="113" spans="2:7" ht="27.4" customHeight="1" x14ac:dyDescent="0.35">
      <c r="B113" s="242" t="s">
        <v>17</v>
      </c>
      <c r="C113" s="310" t="s">
        <v>857</v>
      </c>
      <c r="D113" s="260">
        <v>2</v>
      </c>
      <c r="E113" s="261" t="s">
        <v>113</v>
      </c>
      <c r="F113" s="377">
        <v>2525000</v>
      </c>
      <c r="G113" s="313">
        <f t="shared" si="2"/>
        <v>5050000</v>
      </c>
    </row>
    <row r="114" spans="2:7" ht="15.85" customHeight="1" x14ac:dyDescent="0.35">
      <c r="B114" s="242"/>
      <c r="C114" s="310"/>
      <c r="D114" s="260"/>
      <c r="E114" s="261"/>
      <c r="F114" s="377"/>
      <c r="G114" s="313"/>
    </row>
    <row r="115" spans="2:7" ht="15.85" customHeight="1" x14ac:dyDescent="0.35">
      <c r="B115" s="242"/>
      <c r="C115" s="310"/>
      <c r="D115" s="260"/>
      <c r="E115" s="261"/>
      <c r="F115" s="377"/>
      <c r="G115" s="313"/>
    </row>
    <row r="116" spans="2:7" ht="15.85" customHeight="1" x14ac:dyDescent="0.35">
      <c r="B116" s="242"/>
      <c r="C116" s="310"/>
      <c r="D116" s="260"/>
      <c r="E116" s="261"/>
      <c r="F116" s="377"/>
      <c r="G116" s="313"/>
    </row>
    <row r="117" spans="2:7" ht="15" customHeight="1" x14ac:dyDescent="0.35">
      <c r="B117" s="242"/>
      <c r="C117" s="311" t="s">
        <v>608</v>
      </c>
      <c r="D117" s="260"/>
      <c r="E117" s="261"/>
      <c r="F117" s="377"/>
      <c r="G117" s="313"/>
    </row>
    <row r="118" spans="2:7" ht="16.899999999999999" customHeight="1" x14ac:dyDescent="0.35">
      <c r="B118" s="242" t="s">
        <v>90</v>
      </c>
      <c r="C118" s="310" t="s">
        <v>856</v>
      </c>
      <c r="D118" s="260">
        <v>10</v>
      </c>
      <c r="E118" s="261" t="s">
        <v>112</v>
      </c>
      <c r="F118" s="377">
        <v>140000</v>
      </c>
      <c r="G118" s="313">
        <f t="shared" si="2"/>
        <v>1400000</v>
      </c>
    </row>
    <row r="119" spans="2:7" ht="16.899999999999999" customHeight="1" x14ac:dyDescent="0.35">
      <c r="B119" s="242" t="s">
        <v>88</v>
      </c>
      <c r="C119" s="310" t="s">
        <v>855</v>
      </c>
      <c r="D119" s="260">
        <v>4</v>
      </c>
      <c r="E119" s="261" t="s">
        <v>112</v>
      </c>
      <c r="F119" s="377">
        <v>542500</v>
      </c>
      <c r="G119" s="313">
        <f t="shared" si="2"/>
        <v>2170000</v>
      </c>
    </row>
    <row r="120" spans="2:7" ht="16.899999999999999" customHeight="1" x14ac:dyDescent="0.35">
      <c r="B120" s="242" t="s">
        <v>251</v>
      </c>
      <c r="C120" s="310" t="s">
        <v>854</v>
      </c>
      <c r="D120" s="260">
        <v>40</v>
      </c>
      <c r="E120" s="261" t="s">
        <v>112</v>
      </c>
      <c r="F120" s="377">
        <v>12250</v>
      </c>
      <c r="G120" s="313">
        <f t="shared" si="2"/>
        <v>490000</v>
      </c>
    </row>
    <row r="121" spans="2:7" ht="16.899999999999999" customHeight="1" x14ac:dyDescent="0.35">
      <c r="B121" s="242" t="s">
        <v>255</v>
      </c>
      <c r="C121" s="310" t="s">
        <v>853</v>
      </c>
      <c r="D121" s="260">
        <v>40</v>
      </c>
      <c r="E121" s="261" t="s">
        <v>112</v>
      </c>
      <c r="F121" s="377">
        <v>14700</v>
      </c>
      <c r="G121" s="313">
        <f t="shared" si="2"/>
        <v>588000</v>
      </c>
    </row>
    <row r="122" spans="2:7" ht="16.899999999999999" customHeight="1" x14ac:dyDescent="0.35">
      <c r="B122" s="242" t="s">
        <v>510</v>
      </c>
      <c r="C122" s="310" t="s">
        <v>852</v>
      </c>
      <c r="D122" s="260">
        <v>50</v>
      </c>
      <c r="E122" s="261" t="s">
        <v>112</v>
      </c>
      <c r="F122" s="377">
        <v>12250</v>
      </c>
      <c r="G122" s="313">
        <f t="shared" si="2"/>
        <v>612500</v>
      </c>
    </row>
    <row r="123" spans="2:7" ht="16.899999999999999" customHeight="1" x14ac:dyDescent="0.35">
      <c r="B123" s="242" t="s">
        <v>511</v>
      </c>
      <c r="C123" s="310" t="s">
        <v>851</v>
      </c>
      <c r="D123" s="260">
        <v>40</v>
      </c>
      <c r="E123" s="261" t="s">
        <v>112</v>
      </c>
      <c r="F123" s="377">
        <v>16800</v>
      </c>
      <c r="G123" s="313">
        <f t="shared" si="2"/>
        <v>672000</v>
      </c>
    </row>
    <row r="124" spans="2:7" ht="16.899999999999999" customHeight="1" x14ac:dyDescent="0.35">
      <c r="B124" s="242" t="s">
        <v>512</v>
      </c>
      <c r="C124" s="310" t="s">
        <v>850</v>
      </c>
      <c r="D124" s="260">
        <v>30</v>
      </c>
      <c r="E124" s="261" t="s">
        <v>112</v>
      </c>
      <c r="F124" s="377">
        <v>16800</v>
      </c>
      <c r="G124" s="313">
        <f t="shared" si="2"/>
        <v>504000</v>
      </c>
    </row>
    <row r="125" spans="2:7" ht="16.899999999999999" customHeight="1" x14ac:dyDescent="0.35">
      <c r="B125" s="242" t="s">
        <v>513</v>
      </c>
      <c r="C125" s="310" t="s">
        <v>849</v>
      </c>
      <c r="D125" s="260">
        <v>30</v>
      </c>
      <c r="E125" s="261" t="s">
        <v>112</v>
      </c>
      <c r="F125" s="377">
        <v>7000</v>
      </c>
      <c r="G125" s="313">
        <f t="shared" si="2"/>
        <v>210000</v>
      </c>
    </row>
    <row r="126" spans="2:7" ht="22.05" customHeight="1" x14ac:dyDescent="0.35">
      <c r="B126" s="242"/>
      <c r="C126" s="311" t="s">
        <v>994</v>
      </c>
      <c r="D126" s="260"/>
      <c r="E126" s="261"/>
      <c r="F126" s="377"/>
      <c r="G126" s="313"/>
    </row>
    <row r="127" spans="2:7" ht="38.450000000000003" customHeight="1" x14ac:dyDescent="0.35">
      <c r="B127" s="242" t="s">
        <v>514</v>
      </c>
      <c r="C127" s="310" t="s">
        <v>837</v>
      </c>
      <c r="D127" s="260">
        <v>1</v>
      </c>
      <c r="E127" s="261" t="s">
        <v>37</v>
      </c>
      <c r="F127" s="377">
        <v>7562500</v>
      </c>
      <c r="G127" s="313">
        <f t="shared" si="2"/>
        <v>7562500</v>
      </c>
    </row>
    <row r="128" spans="2:7" ht="16.149999999999999" customHeight="1" x14ac:dyDescent="0.35">
      <c r="B128" s="242" t="s">
        <v>515</v>
      </c>
      <c r="C128" s="310" t="s">
        <v>848</v>
      </c>
      <c r="D128" s="260">
        <v>1</v>
      </c>
      <c r="E128" s="261" t="s">
        <v>113</v>
      </c>
      <c r="F128" s="377">
        <v>12750000</v>
      </c>
      <c r="G128" s="313">
        <f t="shared" si="2"/>
        <v>12750000</v>
      </c>
    </row>
    <row r="129" spans="2:7" ht="16.25" customHeight="1" x14ac:dyDescent="0.35">
      <c r="B129" s="242"/>
      <c r="C129" s="310" t="s">
        <v>847</v>
      </c>
      <c r="D129" s="260"/>
      <c r="E129" s="261"/>
      <c r="F129" s="377"/>
      <c r="G129" s="313"/>
    </row>
    <row r="130" spans="2:7" ht="16.25" customHeight="1" x14ac:dyDescent="0.35">
      <c r="B130" s="242"/>
      <c r="C130" s="310" t="s">
        <v>840</v>
      </c>
      <c r="D130" s="260"/>
      <c r="E130" s="261"/>
      <c r="F130" s="377"/>
      <c r="G130" s="313"/>
    </row>
    <row r="131" spans="2:7" ht="16.25" customHeight="1" x14ac:dyDescent="0.35">
      <c r="B131" s="242"/>
      <c r="C131" s="310" t="s">
        <v>846</v>
      </c>
      <c r="D131" s="260"/>
      <c r="E131" s="261"/>
      <c r="F131" s="377"/>
      <c r="G131" s="313"/>
    </row>
    <row r="132" spans="2:7" ht="16.25" customHeight="1" x14ac:dyDescent="0.35">
      <c r="B132" s="242"/>
      <c r="C132" s="310" t="s">
        <v>845</v>
      </c>
      <c r="D132" s="260"/>
      <c r="E132" s="261"/>
      <c r="F132" s="377"/>
      <c r="G132" s="313"/>
    </row>
    <row r="133" spans="2:7" ht="16.25" customHeight="1" x14ac:dyDescent="0.35">
      <c r="B133" s="242"/>
      <c r="C133" s="310" t="s">
        <v>844</v>
      </c>
      <c r="D133" s="260"/>
      <c r="E133" s="261"/>
      <c r="F133" s="377"/>
      <c r="G133" s="313"/>
    </row>
    <row r="134" spans="2:7" ht="16.25" customHeight="1" x14ac:dyDescent="0.35">
      <c r="B134" s="242"/>
      <c r="C134" s="310" t="s">
        <v>843</v>
      </c>
      <c r="D134" s="260"/>
      <c r="E134" s="261"/>
      <c r="F134" s="377"/>
      <c r="G134" s="313"/>
    </row>
    <row r="135" spans="2:7" ht="16.25" customHeight="1" x14ac:dyDescent="0.35">
      <c r="B135" s="242"/>
      <c r="C135" s="310" t="s">
        <v>842</v>
      </c>
      <c r="D135" s="260"/>
      <c r="E135" s="261"/>
      <c r="F135" s="377"/>
      <c r="G135" s="313"/>
    </row>
    <row r="136" spans="2:7" ht="16.25" customHeight="1" x14ac:dyDescent="0.35">
      <c r="B136" s="242"/>
      <c r="C136" s="310" t="s">
        <v>841</v>
      </c>
      <c r="D136" s="260"/>
      <c r="E136" s="261"/>
      <c r="F136" s="377"/>
      <c r="G136" s="313"/>
    </row>
    <row r="137" spans="2:7" ht="16.25" customHeight="1" x14ac:dyDescent="0.35">
      <c r="B137" s="242"/>
      <c r="C137" s="310" t="s">
        <v>840</v>
      </c>
      <c r="D137" s="260"/>
      <c r="E137" s="261"/>
      <c r="F137" s="377"/>
      <c r="G137" s="313"/>
    </row>
    <row r="138" spans="2:7" ht="16.25" customHeight="1" x14ac:dyDescent="0.35">
      <c r="B138" s="242"/>
      <c r="C138" s="310" t="s">
        <v>839</v>
      </c>
      <c r="D138" s="260"/>
      <c r="E138" s="261"/>
      <c r="F138" s="377"/>
      <c r="G138" s="313"/>
    </row>
    <row r="139" spans="2:7" ht="16.25" customHeight="1" x14ac:dyDescent="0.35">
      <c r="B139" s="242"/>
      <c r="C139" s="310" t="s">
        <v>838</v>
      </c>
      <c r="D139" s="260"/>
      <c r="E139" s="261"/>
      <c r="F139" s="377"/>
      <c r="G139" s="313"/>
    </row>
    <row r="140" spans="2:7" ht="17.75" customHeight="1" x14ac:dyDescent="0.35">
      <c r="B140" s="242"/>
      <c r="C140" s="311"/>
      <c r="D140" s="260"/>
      <c r="E140" s="261"/>
      <c r="F140" s="377"/>
      <c r="G140" s="313"/>
    </row>
    <row r="141" spans="2:7" ht="17.75" customHeight="1" x14ac:dyDescent="0.35">
      <c r="B141" s="242"/>
      <c r="C141" s="310"/>
      <c r="D141" s="260"/>
      <c r="E141" s="261"/>
      <c r="F141" s="377"/>
      <c r="G141" s="313"/>
    </row>
    <row r="142" spans="2:7" ht="17.75" customHeight="1" x14ac:dyDescent="0.35">
      <c r="B142" s="242"/>
      <c r="C142" s="310"/>
      <c r="D142" s="260"/>
      <c r="E142" s="261"/>
      <c r="F142" s="377"/>
      <c r="G142" s="313"/>
    </row>
    <row r="143" spans="2:7" ht="17.75" customHeight="1" x14ac:dyDescent="0.35">
      <c r="B143" s="242"/>
      <c r="C143" s="311"/>
      <c r="D143" s="260"/>
      <c r="E143" s="261"/>
      <c r="F143" s="377"/>
      <c r="G143" s="313"/>
    </row>
    <row r="144" spans="2:7" ht="17.75" customHeight="1" x14ac:dyDescent="0.35">
      <c r="B144" s="242"/>
      <c r="C144" s="310"/>
      <c r="D144" s="260"/>
      <c r="E144" s="261"/>
      <c r="F144" s="377"/>
      <c r="G144" s="313"/>
    </row>
    <row r="145" spans="2:11" ht="25.05" customHeight="1" x14ac:dyDescent="0.35">
      <c r="B145" s="242"/>
      <c r="C145" s="310"/>
      <c r="D145" s="260"/>
      <c r="E145" s="261"/>
      <c r="F145" s="377"/>
      <c r="G145" s="313"/>
    </row>
    <row r="146" spans="2:11" ht="25.05" customHeight="1" x14ac:dyDescent="0.35">
      <c r="B146" s="242"/>
      <c r="C146" s="310"/>
      <c r="D146" s="260"/>
      <c r="E146" s="261"/>
      <c r="F146" s="377"/>
      <c r="G146" s="313"/>
    </row>
    <row r="147" spans="2:11" ht="25.05" customHeight="1" x14ac:dyDescent="0.35">
      <c r="B147" s="242"/>
      <c r="C147" s="310"/>
      <c r="D147" s="260"/>
      <c r="E147" s="261"/>
      <c r="F147" s="377"/>
      <c r="G147" s="313"/>
    </row>
    <row r="148" spans="2:11" ht="25.05" customHeight="1" x14ac:dyDescent="0.35">
      <c r="B148" s="242"/>
      <c r="C148" s="310"/>
      <c r="D148" s="260"/>
      <c r="E148" s="261"/>
      <c r="F148" s="377"/>
      <c r="G148" s="313"/>
    </row>
    <row r="149" spans="2:11" ht="25.05" customHeight="1" x14ac:dyDescent="0.35">
      <c r="B149" s="242"/>
      <c r="C149" s="310"/>
      <c r="D149" s="260"/>
      <c r="E149" s="261"/>
      <c r="F149" s="377"/>
      <c r="G149" s="313"/>
    </row>
    <row r="150" spans="2:11" ht="25.05" customHeight="1" x14ac:dyDescent="0.35">
      <c r="B150" s="242"/>
      <c r="C150" s="310"/>
      <c r="D150" s="260"/>
      <c r="E150" s="261"/>
      <c r="F150" s="377"/>
      <c r="G150" s="313"/>
    </row>
    <row r="151" spans="2:11" ht="25.05" customHeight="1" x14ac:dyDescent="0.35">
      <c r="B151" s="242"/>
      <c r="C151" s="310"/>
      <c r="D151" s="260"/>
      <c r="E151" s="261"/>
      <c r="F151" s="377"/>
      <c r="G151" s="313"/>
    </row>
    <row r="152" spans="2:11" ht="25.05" customHeight="1" x14ac:dyDescent="0.35">
      <c r="B152" s="242"/>
      <c r="C152" s="310"/>
      <c r="D152" s="260"/>
      <c r="E152" s="261"/>
      <c r="F152" s="377"/>
      <c r="G152" s="313"/>
    </row>
    <row r="153" spans="2:11" ht="25.05" customHeight="1" x14ac:dyDescent="0.35">
      <c r="B153" s="242"/>
      <c r="C153" s="310"/>
      <c r="D153" s="260"/>
      <c r="E153" s="261"/>
      <c r="F153" s="377"/>
      <c r="G153" s="313"/>
    </row>
    <row r="154" spans="2:11" ht="25.05" customHeight="1" x14ac:dyDescent="0.35">
      <c r="B154" s="242"/>
      <c r="C154" s="310"/>
      <c r="D154" s="260"/>
      <c r="E154" s="261"/>
      <c r="F154" s="377"/>
      <c r="G154" s="313"/>
    </row>
    <row r="155" spans="2:11" ht="25.05" customHeight="1" x14ac:dyDescent="0.35">
      <c r="B155" s="242"/>
      <c r="C155" s="310"/>
      <c r="D155" s="260"/>
      <c r="E155" s="261"/>
      <c r="F155" s="377"/>
      <c r="G155" s="313"/>
    </row>
    <row r="156" spans="2:11" ht="25.05" customHeight="1" x14ac:dyDescent="0.35">
      <c r="B156" s="242"/>
      <c r="C156" s="310"/>
      <c r="D156" s="260"/>
      <c r="E156" s="261"/>
      <c r="F156" s="377"/>
      <c r="G156" s="313"/>
    </row>
    <row r="157" spans="2:11" ht="19.25" customHeight="1" x14ac:dyDescent="0.35">
      <c r="B157" s="242"/>
      <c r="C157" s="310"/>
      <c r="D157" s="260"/>
      <c r="E157" s="261"/>
      <c r="F157" s="377"/>
      <c r="G157" s="313"/>
    </row>
    <row r="158" spans="2:11" ht="25.05" customHeight="1" x14ac:dyDescent="0.35">
      <c r="B158" s="242"/>
      <c r="C158" s="310"/>
      <c r="D158" s="260"/>
      <c r="E158" s="261"/>
      <c r="F158" s="377"/>
      <c r="G158" s="313"/>
    </row>
    <row r="159" spans="2:11" ht="25.05" customHeight="1" x14ac:dyDescent="0.35">
      <c r="B159" s="242"/>
      <c r="C159" s="310"/>
      <c r="D159" s="260"/>
      <c r="E159" s="261"/>
      <c r="F159" s="377"/>
      <c r="G159" s="313"/>
    </row>
    <row r="160" spans="2:11" s="241" customFormat="1" ht="30" customHeight="1" thickBot="1" x14ac:dyDescent="0.4">
      <c r="B160" s="252"/>
      <c r="C160" s="316" t="s">
        <v>55</v>
      </c>
      <c r="D160" s="263"/>
      <c r="E160" s="243"/>
      <c r="F160" s="377"/>
      <c r="G160" s="314">
        <f>SUM(G84:G145)</f>
        <v>105024000</v>
      </c>
      <c r="H160" s="239"/>
      <c r="J160" s="320"/>
      <c r="K160" s="365"/>
    </row>
    <row r="161" spans="2:11" s="258" customFormat="1" ht="30" customHeight="1" thickTop="1" x14ac:dyDescent="0.35">
      <c r="B161" s="317"/>
      <c r="C161" s="318" t="s">
        <v>995</v>
      </c>
      <c r="D161" s="319"/>
      <c r="E161" s="319"/>
      <c r="F161" s="375"/>
      <c r="G161" s="315"/>
      <c r="H161" s="239"/>
      <c r="J161" s="320"/>
      <c r="K161" s="365"/>
    </row>
    <row r="162" spans="2:11" ht="22.05" customHeight="1" x14ac:dyDescent="0.35">
      <c r="B162" s="242"/>
      <c r="C162" s="259" t="s">
        <v>989</v>
      </c>
      <c r="D162" s="260"/>
      <c r="E162" s="261"/>
      <c r="F162" s="377"/>
      <c r="G162" s="244"/>
    </row>
    <row r="163" spans="2:11" ht="22.05" customHeight="1" x14ac:dyDescent="0.35">
      <c r="B163" s="242"/>
      <c r="C163" s="259" t="s">
        <v>983</v>
      </c>
      <c r="D163" s="260"/>
      <c r="E163" s="261"/>
      <c r="F163" s="377"/>
      <c r="G163" s="244"/>
    </row>
    <row r="164" spans="2:11" ht="22.05" customHeight="1" x14ac:dyDescent="0.35">
      <c r="B164" s="242"/>
      <c r="C164" s="259" t="s">
        <v>174</v>
      </c>
      <c r="D164" s="260"/>
      <c r="E164" s="261"/>
      <c r="F164" s="377"/>
      <c r="G164" s="244"/>
    </row>
    <row r="165" spans="2:11" ht="22.05" customHeight="1" x14ac:dyDescent="0.35">
      <c r="B165" s="242"/>
      <c r="C165" s="259" t="s">
        <v>997</v>
      </c>
      <c r="D165" s="260"/>
      <c r="E165" s="261"/>
      <c r="F165" s="377"/>
      <c r="G165" s="244"/>
    </row>
    <row r="166" spans="2:11" ht="22.05" customHeight="1" x14ac:dyDescent="0.35">
      <c r="B166" s="242" t="s">
        <v>31</v>
      </c>
      <c r="C166" s="310" t="s">
        <v>836</v>
      </c>
      <c r="D166" s="260">
        <v>1</v>
      </c>
      <c r="E166" s="261" t="s">
        <v>113</v>
      </c>
      <c r="F166" s="377">
        <v>430000</v>
      </c>
      <c r="G166" s="313">
        <f>F166*D166</f>
        <v>430000</v>
      </c>
    </row>
    <row r="167" spans="2:11" ht="33.6" customHeight="1" x14ac:dyDescent="0.35">
      <c r="B167" s="242" t="s">
        <v>32</v>
      </c>
      <c r="C167" s="310" t="s">
        <v>998</v>
      </c>
      <c r="D167" s="260">
        <v>1</v>
      </c>
      <c r="E167" s="261" t="s">
        <v>113</v>
      </c>
      <c r="F167" s="377">
        <v>7890000</v>
      </c>
      <c r="G167" s="313">
        <f t="shared" ref="G167:G168" si="3">F167*D167</f>
        <v>7890000</v>
      </c>
    </row>
    <row r="168" spans="2:11" ht="38.450000000000003" customHeight="1" x14ac:dyDescent="0.35">
      <c r="B168" s="242" t="s">
        <v>33</v>
      </c>
      <c r="C168" s="310" t="s">
        <v>835</v>
      </c>
      <c r="D168" s="260">
        <v>1</v>
      </c>
      <c r="E168" s="261" t="s">
        <v>113</v>
      </c>
      <c r="F168" s="377">
        <v>512500</v>
      </c>
      <c r="G168" s="313">
        <f t="shared" si="3"/>
        <v>512500</v>
      </c>
    </row>
    <row r="169" spans="2:11" ht="25.05" customHeight="1" x14ac:dyDescent="0.35">
      <c r="B169" s="242"/>
      <c r="C169" s="310"/>
      <c r="D169" s="260"/>
      <c r="E169" s="261"/>
      <c r="F169" s="377"/>
      <c r="G169" s="313"/>
    </row>
    <row r="170" spans="2:11" ht="25.05" customHeight="1" x14ac:dyDescent="0.35">
      <c r="B170" s="242"/>
      <c r="C170" s="310"/>
      <c r="D170" s="260"/>
      <c r="E170" s="261"/>
      <c r="F170" s="377"/>
      <c r="G170" s="313"/>
    </row>
    <row r="171" spans="2:11" ht="25.05" customHeight="1" x14ac:dyDescent="0.35">
      <c r="B171" s="242"/>
      <c r="C171" s="310"/>
      <c r="D171" s="260"/>
      <c r="E171" s="261"/>
      <c r="F171" s="377"/>
      <c r="G171" s="313"/>
    </row>
    <row r="172" spans="2:11" ht="25.05" customHeight="1" x14ac:dyDescent="0.35">
      <c r="B172" s="242"/>
      <c r="C172" s="310"/>
      <c r="D172" s="260"/>
      <c r="E172" s="261"/>
      <c r="F172" s="377"/>
      <c r="G172" s="313"/>
    </row>
    <row r="173" spans="2:11" ht="25.05" customHeight="1" x14ac:dyDescent="0.35">
      <c r="B173" s="242"/>
      <c r="C173" s="310"/>
      <c r="D173" s="260"/>
      <c r="E173" s="261"/>
      <c r="F173" s="377"/>
      <c r="G173" s="313"/>
    </row>
    <row r="174" spans="2:11" ht="25.05" customHeight="1" x14ac:dyDescent="0.35">
      <c r="B174" s="242"/>
      <c r="C174" s="310"/>
      <c r="D174" s="260"/>
      <c r="E174" s="261"/>
      <c r="F174" s="377"/>
      <c r="G174" s="313"/>
    </row>
    <row r="175" spans="2:11" ht="25.05" customHeight="1" x14ac:dyDescent="0.35">
      <c r="B175" s="242"/>
      <c r="C175" s="310"/>
      <c r="D175" s="260"/>
      <c r="E175" s="261"/>
      <c r="F175" s="377"/>
      <c r="G175" s="313"/>
    </row>
    <row r="176" spans="2:11" ht="25.05" customHeight="1" x14ac:dyDescent="0.35">
      <c r="B176" s="242"/>
      <c r="C176" s="310"/>
      <c r="D176" s="260"/>
      <c r="E176" s="261"/>
      <c r="F176" s="377"/>
      <c r="G176" s="313"/>
    </row>
    <row r="177" spans="2:7" ht="25.05" customHeight="1" x14ac:dyDescent="0.35">
      <c r="B177" s="242"/>
      <c r="C177" s="310"/>
      <c r="D177" s="260"/>
      <c r="E177" s="261"/>
      <c r="F177" s="377"/>
      <c r="G177" s="313"/>
    </row>
    <row r="178" spans="2:7" ht="25.05" customHeight="1" x14ac:dyDescent="0.35">
      <c r="B178" s="242"/>
      <c r="C178" s="310"/>
      <c r="D178" s="260"/>
      <c r="E178" s="261"/>
      <c r="F178" s="377"/>
      <c r="G178" s="313"/>
    </row>
    <row r="179" spans="2:7" ht="25.05" customHeight="1" x14ac:dyDescent="0.35">
      <c r="B179" s="242"/>
      <c r="C179" s="310"/>
      <c r="D179" s="260"/>
      <c r="E179" s="261"/>
      <c r="F179" s="377"/>
      <c r="G179" s="313"/>
    </row>
    <row r="180" spans="2:7" ht="25.05" customHeight="1" x14ac:dyDescent="0.35">
      <c r="B180" s="242"/>
      <c r="C180" s="310"/>
      <c r="D180" s="260"/>
      <c r="E180" s="261"/>
      <c r="F180" s="377"/>
      <c r="G180" s="313"/>
    </row>
    <row r="181" spans="2:7" ht="25.05" customHeight="1" x14ac:dyDescent="0.35">
      <c r="B181" s="242"/>
      <c r="C181" s="310"/>
      <c r="D181" s="260"/>
      <c r="E181" s="261"/>
      <c r="F181" s="377"/>
      <c r="G181" s="313"/>
    </row>
    <row r="182" spans="2:7" ht="25.05" customHeight="1" x14ac:dyDescent="0.35">
      <c r="B182" s="242"/>
      <c r="C182" s="310"/>
      <c r="D182" s="260"/>
      <c r="E182" s="261"/>
      <c r="F182" s="377"/>
      <c r="G182" s="313"/>
    </row>
    <row r="183" spans="2:7" ht="25.05" customHeight="1" x14ac:dyDescent="0.35">
      <c r="B183" s="242"/>
      <c r="C183" s="310"/>
      <c r="D183" s="260"/>
      <c r="E183" s="261"/>
      <c r="F183" s="377"/>
      <c r="G183" s="313"/>
    </row>
    <row r="184" spans="2:7" ht="25.05" customHeight="1" x14ac:dyDescent="0.35">
      <c r="B184" s="242"/>
      <c r="C184" s="310"/>
      <c r="D184" s="260"/>
      <c r="E184" s="261"/>
      <c r="F184" s="377"/>
      <c r="G184" s="313"/>
    </row>
    <row r="185" spans="2:7" ht="25.05" customHeight="1" x14ac:dyDescent="0.35">
      <c r="B185" s="242"/>
      <c r="C185" s="310"/>
      <c r="D185" s="260"/>
      <c r="E185" s="261"/>
      <c r="F185" s="377"/>
      <c r="G185" s="313"/>
    </row>
    <row r="186" spans="2:7" ht="25.05" customHeight="1" x14ac:dyDescent="0.35">
      <c r="B186" s="242"/>
      <c r="C186" s="310"/>
      <c r="D186" s="260"/>
      <c r="E186" s="261"/>
      <c r="F186" s="377"/>
      <c r="G186" s="313"/>
    </row>
    <row r="187" spans="2:7" ht="25.05" customHeight="1" x14ac:dyDescent="0.35">
      <c r="B187" s="242"/>
      <c r="C187" s="310"/>
      <c r="D187" s="260"/>
      <c r="E187" s="261"/>
      <c r="F187" s="377"/>
      <c r="G187" s="313"/>
    </row>
    <row r="188" spans="2:7" ht="25.05" customHeight="1" x14ac:dyDescent="0.35">
      <c r="B188" s="242"/>
      <c r="C188" s="310"/>
      <c r="D188" s="260"/>
      <c r="E188" s="261"/>
      <c r="F188" s="377"/>
      <c r="G188" s="313"/>
    </row>
    <row r="189" spans="2:7" ht="25.05" customHeight="1" x14ac:dyDescent="0.35">
      <c r="B189" s="242"/>
      <c r="C189" s="310"/>
      <c r="D189" s="260"/>
      <c r="E189" s="261"/>
      <c r="F189" s="377"/>
      <c r="G189" s="313"/>
    </row>
    <row r="190" spans="2:7" ht="25.05" customHeight="1" x14ac:dyDescent="0.35">
      <c r="B190" s="242"/>
      <c r="C190" s="310"/>
      <c r="D190" s="260"/>
      <c r="E190" s="261"/>
      <c r="F190" s="377"/>
      <c r="G190" s="313"/>
    </row>
    <row r="191" spans="2:7" ht="19.25" customHeight="1" x14ac:dyDescent="0.35">
      <c r="B191" s="242"/>
      <c r="C191" s="310"/>
      <c r="D191" s="260"/>
      <c r="E191" s="261"/>
      <c r="F191" s="377"/>
      <c r="G191" s="313"/>
    </row>
    <row r="192" spans="2:7" ht="25.05" customHeight="1" x14ac:dyDescent="0.35">
      <c r="B192" s="242"/>
      <c r="C192" s="310"/>
      <c r="D192" s="260"/>
      <c r="E192" s="261"/>
      <c r="F192" s="377"/>
      <c r="G192" s="313"/>
    </row>
    <row r="193" spans="2:11" ht="25.05" customHeight="1" x14ac:dyDescent="0.35">
      <c r="B193" s="242"/>
      <c r="C193" s="310"/>
      <c r="D193" s="260"/>
      <c r="E193" s="261"/>
      <c r="F193" s="377"/>
      <c r="G193" s="313"/>
    </row>
    <row r="194" spans="2:11" s="241" customFormat="1" ht="30" customHeight="1" thickBot="1" x14ac:dyDescent="0.4">
      <c r="B194" s="252"/>
      <c r="C194" s="316" t="s">
        <v>55</v>
      </c>
      <c r="D194" s="263"/>
      <c r="E194" s="243"/>
      <c r="F194" s="377"/>
      <c r="G194" s="314">
        <f>SUM(G166:G168)</f>
        <v>8832500</v>
      </c>
      <c r="H194" s="239"/>
      <c r="J194" s="320"/>
      <c r="K194" s="365"/>
    </row>
    <row r="195" spans="2:11" s="258" customFormat="1" ht="30" customHeight="1" thickTop="1" x14ac:dyDescent="0.35">
      <c r="B195" s="317"/>
      <c r="C195" s="318" t="s">
        <v>999</v>
      </c>
      <c r="D195" s="319"/>
      <c r="E195" s="319"/>
      <c r="F195" s="375"/>
      <c r="G195" s="315"/>
      <c r="H195" s="239"/>
      <c r="J195" s="320"/>
      <c r="K195" s="365"/>
    </row>
    <row r="196" spans="2:11" ht="22.05" customHeight="1" x14ac:dyDescent="0.35">
      <c r="B196" s="242"/>
      <c r="C196" s="259" t="s">
        <v>989</v>
      </c>
      <c r="D196" s="260"/>
      <c r="E196" s="261"/>
      <c r="F196" s="377"/>
      <c r="G196" s="244"/>
    </row>
    <row r="197" spans="2:11" ht="22.05" customHeight="1" x14ac:dyDescent="0.35">
      <c r="B197" s="242"/>
      <c r="C197" s="259" t="s">
        <v>983</v>
      </c>
      <c r="D197" s="260"/>
      <c r="E197" s="261"/>
      <c r="F197" s="377"/>
      <c r="G197" s="244"/>
    </row>
    <row r="198" spans="2:11" ht="22.05" customHeight="1" x14ac:dyDescent="0.35">
      <c r="B198" s="242"/>
      <c r="C198" s="259" t="s">
        <v>84</v>
      </c>
      <c r="D198" s="260"/>
      <c r="E198" s="261"/>
      <c r="F198" s="377"/>
      <c r="G198" s="244"/>
    </row>
    <row r="199" spans="2:11" ht="22.05" customHeight="1" x14ac:dyDescent="0.35">
      <c r="B199" s="242"/>
      <c r="C199" s="259" t="s">
        <v>1004</v>
      </c>
      <c r="D199" s="260"/>
      <c r="E199" s="261"/>
      <c r="F199" s="377"/>
      <c r="G199" s="244"/>
    </row>
    <row r="200" spans="2:11" ht="54" customHeight="1" x14ac:dyDescent="0.35">
      <c r="B200" s="242" t="s">
        <v>31</v>
      </c>
      <c r="C200" s="310" t="s">
        <v>834</v>
      </c>
      <c r="D200" s="260">
        <v>4</v>
      </c>
      <c r="E200" s="261" t="s">
        <v>113</v>
      </c>
      <c r="F200" s="377">
        <v>1225000</v>
      </c>
      <c r="G200" s="313">
        <f>F200*D200</f>
        <v>4900000</v>
      </c>
    </row>
    <row r="201" spans="2:11" ht="35.450000000000003" customHeight="1" x14ac:dyDescent="0.35">
      <c r="B201" s="242" t="s">
        <v>33</v>
      </c>
      <c r="C201" s="310" t="s">
        <v>833</v>
      </c>
      <c r="D201" s="260">
        <v>4</v>
      </c>
      <c r="E201" s="261" t="s">
        <v>113</v>
      </c>
      <c r="F201" s="377">
        <v>45500</v>
      </c>
      <c r="G201" s="313">
        <f t="shared" ref="G201:G233" si="4">F201*D201</f>
        <v>182000</v>
      </c>
    </row>
    <row r="202" spans="2:11" ht="22.05" customHeight="1" x14ac:dyDescent="0.35">
      <c r="B202" s="242" t="s">
        <v>34</v>
      </c>
      <c r="C202" s="310" t="s">
        <v>832</v>
      </c>
      <c r="D202" s="260">
        <v>4</v>
      </c>
      <c r="E202" s="261" t="s">
        <v>113</v>
      </c>
      <c r="F202" s="377">
        <v>22750</v>
      </c>
      <c r="G202" s="313">
        <f t="shared" si="4"/>
        <v>91000</v>
      </c>
    </row>
    <row r="203" spans="2:11" ht="47.45" customHeight="1" x14ac:dyDescent="0.35">
      <c r="B203" s="242" t="s">
        <v>35</v>
      </c>
      <c r="C203" s="310" t="s">
        <v>831</v>
      </c>
      <c r="D203" s="260">
        <v>4</v>
      </c>
      <c r="E203" s="261" t="s">
        <v>113</v>
      </c>
      <c r="F203" s="377">
        <v>315000</v>
      </c>
      <c r="G203" s="313">
        <f t="shared" si="4"/>
        <v>1260000</v>
      </c>
    </row>
    <row r="204" spans="2:11" ht="22.05" customHeight="1" x14ac:dyDescent="0.35">
      <c r="B204" s="242" t="s">
        <v>36</v>
      </c>
      <c r="C204" s="310" t="s">
        <v>830</v>
      </c>
      <c r="D204" s="260">
        <v>120</v>
      </c>
      <c r="E204" s="261" t="s">
        <v>112</v>
      </c>
      <c r="F204" s="377">
        <v>10500</v>
      </c>
      <c r="G204" s="313">
        <f t="shared" si="4"/>
        <v>1260000</v>
      </c>
    </row>
    <row r="205" spans="2:11" ht="22.05" customHeight="1" x14ac:dyDescent="0.35">
      <c r="B205" s="242"/>
      <c r="C205" s="311" t="s">
        <v>1030</v>
      </c>
      <c r="D205" s="260"/>
      <c r="E205" s="261"/>
      <c r="F205" s="377"/>
      <c r="G205" s="313"/>
    </row>
    <row r="206" spans="2:11" ht="57" customHeight="1" x14ac:dyDescent="0.35">
      <c r="B206" s="242" t="s">
        <v>114</v>
      </c>
      <c r="C206" s="310" t="s">
        <v>1029</v>
      </c>
      <c r="D206" s="260">
        <v>90</v>
      </c>
      <c r="E206" s="261" t="s">
        <v>113</v>
      </c>
      <c r="F206" s="377">
        <v>127500</v>
      </c>
      <c r="G206" s="313">
        <f t="shared" si="4"/>
        <v>11475000</v>
      </c>
    </row>
    <row r="207" spans="2:11" ht="72.599999999999994" customHeight="1" x14ac:dyDescent="0.35">
      <c r="B207" s="242" t="s">
        <v>39</v>
      </c>
      <c r="C207" s="310" t="s">
        <v>829</v>
      </c>
      <c r="D207" s="260">
        <v>90</v>
      </c>
      <c r="E207" s="261" t="s">
        <v>113</v>
      </c>
      <c r="F207" s="377">
        <v>70000</v>
      </c>
      <c r="G207" s="313">
        <f t="shared" si="4"/>
        <v>6300000</v>
      </c>
    </row>
    <row r="208" spans="2:11" ht="49.25" customHeight="1" x14ac:dyDescent="0.35">
      <c r="B208" s="242" t="s">
        <v>40</v>
      </c>
      <c r="C208" s="310" t="s">
        <v>828</v>
      </c>
      <c r="D208" s="260">
        <v>60</v>
      </c>
      <c r="E208" s="261" t="s">
        <v>113</v>
      </c>
      <c r="F208" s="377">
        <v>575000</v>
      </c>
      <c r="G208" s="313">
        <f t="shared" si="4"/>
        <v>34500000</v>
      </c>
    </row>
    <row r="209" spans="2:7" ht="56.45" customHeight="1" x14ac:dyDescent="0.35">
      <c r="B209" s="242" t="s">
        <v>15</v>
      </c>
      <c r="C209" s="310" t="s">
        <v>827</v>
      </c>
      <c r="D209" s="260">
        <v>60</v>
      </c>
      <c r="E209" s="261" t="s">
        <v>113</v>
      </c>
      <c r="F209" s="377">
        <v>35000</v>
      </c>
      <c r="G209" s="313">
        <f t="shared" si="4"/>
        <v>2100000</v>
      </c>
    </row>
    <row r="210" spans="2:7" ht="42.6" customHeight="1" x14ac:dyDescent="0.35">
      <c r="B210" s="242" t="s">
        <v>16</v>
      </c>
      <c r="C210" s="310" t="s">
        <v>826</v>
      </c>
      <c r="D210" s="260">
        <v>60</v>
      </c>
      <c r="E210" s="261" t="s">
        <v>113</v>
      </c>
      <c r="F210" s="377">
        <v>56000</v>
      </c>
      <c r="G210" s="313">
        <f t="shared" si="4"/>
        <v>3360000</v>
      </c>
    </row>
    <row r="211" spans="2:7" ht="47.45" customHeight="1" x14ac:dyDescent="0.35">
      <c r="B211" s="242" t="s">
        <v>89</v>
      </c>
      <c r="C211" s="310" t="s">
        <v>825</v>
      </c>
      <c r="D211" s="260">
        <v>4</v>
      </c>
      <c r="E211" s="261" t="s">
        <v>113</v>
      </c>
      <c r="F211" s="377">
        <v>2450000</v>
      </c>
      <c r="G211" s="313">
        <f t="shared" si="4"/>
        <v>9800000</v>
      </c>
    </row>
    <row r="212" spans="2:7" x14ac:dyDescent="0.35">
      <c r="B212" s="242"/>
      <c r="C212" s="311" t="s">
        <v>824</v>
      </c>
      <c r="D212" s="260"/>
      <c r="E212" s="261"/>
      <c r="F212" s="377"/>
      <c r="G212" s="313"/>
    </row>
    <row r="213" spans="2:7" ht="76.900000000000006" x14ac:dyDescent="0.35">
      <c r="B213" s="242" t="s">
        <v>17</v>
      </c>
      <c r="C213" s="310" t="s">
        <v>823</v>
      </c>
      <c r="D213" s="260">
        <v>1</v>
      </c>
      <c r="E213" s="261" t="s">
        <v>37</v>
      </c>
      <c r="F213" s="377">
        <v>7500000</v>
      </c>
      <c r="G213" s="313">
        <f t="shared" si="4"/>
        <v>7500000</v>
      </c>
    </row>
    <row r="214" spans="2:7" x14ac:dyDescent="0.35">
      <c r="B214" s="242"/>
      <c r="C214" s="310" t="s">
        <v>1023</v>
      </c>
      <c r="D214" s="260">
        <v>1</v>
      </c>
      <c r="E214" s="261" t="s">
        <v>1026</v>
      </c>
      <c r="F214" s="377">
        <v>2450000</v>
      </c>
      <c r="G214" s="313">
        <f t="shared" si="4"/>
        <v>2450000</v>
      </c>
    </row>
    <row r="215" spans="2:7" x14ac:dyDescent="0.35">
      <c r="B215" s="242"/>
      <c r="C215" s="310" t="s">
        <v>1024</v>
      </c>
      <c r="D215" s="260">
        <v>4</v>
      </c>
      <c r="E215" s="261" t="s">
        <v>1026</v>
      </c>
      <c r="F215" s="377">
        <v>830000</v>
      </c>
      <c r="G215" s="313">
        <f t="shared" si="4"/>
        <v>3320000</v>
      </c>
    </row>
    <row r="216" spans="2:7" x14ac:dyDescent="0.35">
      <c r="B216" s="242"/>
      <c r="C216" s="310" t="s">
        <v>1025</v>
      </c>
      <c r="D216" s="260">
        <v>18</v>
      </c>
      <c r="E216" s="261" t="s">
        <v>1027</v>
      </c>
      <c r="F216" s="377">
        <v>550000</v>
      </c>
      <c r="G216" s="313">
        <f t="shared" si="4"/>
        <v>9900000</v>
      </c>
    </row>
    <row r="217" spans="2:7" ht="14.75" customHeight="1" x14ac:dyDescent="0.35">
      <c r="B217" s="242"/>
      <c r="C217" s="311" t="s">
        <v>822</v>
      </c>
      <c r="D217" s="260"/>
      <c r="E217" s="261"/>
      <c r="F217" s="377"/>
      <c r="G217" s="313"/>
    </row>
    <row r="218" spans="2:7" ht="14.75" customHeight="1" x14ac:dyDescent="0.35">
      <c r="B218" s="242"/>
      <c r="C218" s="311" t="s">
        <v>821</v>
      </c>
      <c r="D218" s="260"/>
      <c r="E218" s="261"/>
      <c r="F218" s="377"/>
      <c r="G218" s="313"/>
    </row>
    <row r="219" spans="2:7" ht="61.5" x14ac:dyDescent="0.35">
      <c r="B219" s="242" t="s">
        <v>31</v>
      </c>
      <c r="C219" s="310" t="s">
        <v>820</v>
      </c>
      <c r="D219" s="260">
        <v>2</v>
      </c>
      <c r="E219" s="261" t="s">
        <v>113</v>
      </c>
      <c r="F219" s="377">
        <v>2625000</v>
      </c>
      <c r="G219" s="313">
        <f t="shared" si="4"/>
        <v>5250000</v>
      </c>
    </row>
    <row r="220" spans="2:7" ht="17.350000000000001" customHeight="1" x14ac:dyDescent="0.35">
      <c r="B220" s="242" t="s">
        <v>32</v>
      </c>
      <c r="C220" s="310" t="s">
        <v>819</v>
      </c>
      <c r="D220" s="260">
        <v>1</v>
      </c>
      <c r="E220" s="261" t="s">
        <v>37</v>
      </c>
      <c r="F220" s="377">
        <v>437500</v>
      </c>
      <c r="G220" s="313">
        <f t="shared" si="4"/>
        <v>437500</v>
      </c>
    </row>
    <row r="221" spans="2:7" ht="17.350000000000001" customHeight="1" x14ac:dyDescent="0.35">
      <c r="B221" s="242" t="s">
        <v>33</v>
      </c>
      <c r="C221" s="310" t="s">
        <v>818</v>
      </c>
      <c r="D221" s="260">
        <v>1</v>
      </c>
      <c r="E221" s="261" t="s">
        <v>37</v>
      </c>
      <c r="F221" s="377">
        <v>2300000</v>
      </c>
      <c r="G221" s="313">
        <f t="shared" si="4"/>
        <v>2300000</v>
      </c>
    </row>
    <row r="222" spans="2:7" ht="33.6" customHeight="1" x14ac:dyDescent="0.35">
      <c r="B222" s="242"/>
      <c r="C222" s="311" t="s">
        <v>817</v>
      </c>
      <c r="D222" s="260"/>
      <c r="E222" s="261"/>
      <c r="F222" s="377"/>
      <c r="G222" s="313"/>
    </row>
    <row r="223" spans="2:7" ht="78" customHeight="1" x14ac:dyDescent="0.35">
      <c r="B223" s="242" t="s">
        <v>34</v>
      </c>
      <c r="C223" s="310" t="s">
        <v>816</v>
      </c>
      <c r="D223" s="260">
        <v>1</v>
      </c>
      <c r="E223" s="261" t="s">
        <v>113</v>
      </c>
      <c r="F223" s="377">
        <v>12250000</v>
      </c>
      <c r="G223" s="313">
        <f t="shared" si="4"/>
        <v>12250000</v>
      </c>
    </row>
    <row r="224" spans="2:7" ht="34.25" customHeight="1" x14ac:dyDescent="0.35">
      <c r="B224" s="242"/>
      <c r="C224" s="311" t="s">
        <v>815</v>
      </c>
      <c r="D224" s="260"/>
      <c r="E224" s="261"/>
      <c r="F224" s="377"/>
      <c r="G224" s="313"/>
    </row>
    <row r="225" spans="2:11" ht="107.65" customHeight="1" x14ac:dyDescent="0.35">
      <c r="B225" s="242" t="s">
        <v>35</v>
      </c>
      <c r="C225" s="310" t="s">
        <v>814</v>
      </c>
      <c r="D225" s="260">
        <v>1</v>
      </c>
      <c r="E225" s="261" t="s">
        <v>113</v>
      </c>
      <c r="F225" s="377">
        <v>9250000</v>
      </c>
      <c r="G225" s="313">
        <f t="shared" si="4"/>
        <v>9250000</v>
      </c>
    </row>
    <row r="226" spans="2:11" ht="13.15" customHeight="1" x14ac:dyDescent="0.35">
      <c r="B226" s="242" t="s">
        <v>114</v>
      </c>
      <c r="C226" s="310" t="s">
        <v>813</v>
      </c>
      <c r="D226" s="260">
        <v>4</v>
      </c>
      <c r="E226" s="261" t="s">
        <v>113</v>
      </c>
      <c r="F226" s="377">
        <v>1470000</v>
      </c>
      <c r="G226" s="313">
        <f t="shared" si="4"/>
        <v>5880000</v>
      </c>
    </row>
    <row r="227" spans="2:11" ht="16.25" customHeight="1" x14ac:dyDescent="0.35">
      <c r="B227" s="242"/>
      <c r="C227" s="311" t="s">
        <v>1000</v>
      </c>
      <c r="D227" s="260"/>
      <c r="E227" s="261"/>
      <c r="F227" s="377"/>
      <c r="G227" s="313"/>
    </row>
    <row r="228" spans="2:11" ht="93.75" customHeight="1" x14ac:dyDescent="0.35">
      <c r="B228" s="242" t="s">
        <v>39</v>
      </c>
      <c r="C228" s="310" t="s">
        <v>812</v>
      </c>
      <c r="D228" s="260">
        <v>1</v>
      </c>
      <c r="E228" s="261" t="s">
        <v>113</v>
      </c>
      <c r="F228" s="377">
        <v>7700000</v>
      </c>
      <c r="G228" s="313">
        <f t="shared" si="4"/>
        <v>7700000</v>
      </c>
    </row>
    <row r="229" spans="2:11" ht="31.5" customHeight="1" x14ac:dyDescent="0.35">
      <c r="B229" s="242"/>
      <c r="C229" s="311" t="s">
        <v>1001</v>
      </c>
      <c r="D229" s="260"/>
      <c r="E229" s="261"/>
      <c r="F229" s="377"/>
      <c r="G229" s="313"/>
    </row>
    <row r="230" spans="2:11" ht="61.5" x14ac:dyDescent="0.35">
      <c r="B230" s="242" t="s">
        <v>40</v>
      </c>
      <c r="C230" s="310" t="s">
        <v>1002</v>
      </c>
      <c r="D230" s="260">
        <v>4</v>
      </c>
      <c r="E230" s="261" t="s">
        <v>113</v>
      </c>
      <c r="F230" s="377">
        <v>2100000</v>
      </c>
      <c r="G230" s="313">
        <f t="shared" si="4"/>
        <v>8400000</v>
      </c>
    </row>
    <row r="231" spans="2:11" ht="46.5" customHeight="1" x14ac:dyDescent="0.35">
      <c r="B231" s="242" t="s">
        <v>15</v>
      </c>
      <c r="C231" s="310" t="s">
        <v>1028</v>
      </c>
      <c r="D231" s="260">
        <v>4</v>
      </c>
      <c r="E231" s="261" t="s">
        <v>113</v>
      </c>
      <c r="F231" s="377">
        <v>127500</v>
      </c>
      <c r="G231" s="313">
        <f t="shared" si="4"/>
        <v>510000</v>
      </c>
    </row>
    <row r="232" spans="2:11" ht="22.05" customHeight="1" x14ac:dyDescent="0.35">
      <c r="B232" s="242" t="s">
        <v>16</v>
      </c>
      <c r="C232" s="310" t="s">
        <v>788</v>
      </c>
      <c r="D232" s="260">
        <v>4</v>
      </c>
      <c r="E232" s="261" t="s">
        <v>113</v>
      </c>
      <c r="F232" s="377">
        <v>61250</v>
      </c>
      <c r="G232" s="313">
        <f t="shared" si="4"/>
        <v>245000</v>
      </c>
    </row>
    <row r="233" spans="2:11" ht="34.5" customHeight="1" x14ac:dyDescent="0.35">
      <c r="B233" s="242" t="s">
        <v>89</v>
      </c>
      <c r="C233" s="310" t="s">
        <v>787</v>
      </c>
      <c r="D233" s="260">
        <v>4</v>
      </c>
      <c r="E233" s="261" t="s">
        <v>113</v>
      </c>
      <c r="F233" s="377">
        <v>35000</v>
      </c>
      <c r="G233" s="313">
        <f t="shared" si="4"/>
        <v>140000</v>
      </c>
    </row>
    <row r="234" spans="2:11" ht="17.350000000000001" customHeight="1" x14ac:dyDescent="0.35">
      <c r="B234" s="242"/>
      <c r="C234" s="310"/>
      <c r="D234" s="260"/>
      <c r="E234" s="261"/>
      <c r="F234" s="377"/>
      <c r="G234" s="313"/>
    </row>
    <row r="235" spans="2:11" s="241" customFormat="1" ht="17.350000000000001" customHeight="1" thickBot="1" x14ac:dyDescent="0.4">
      <c r="B235" s="252"/>
      <c r="C235" s="316" t="s">
        <v>55</v>
      </c>
      <c r="D235" s="263"/>
      <c r="E235" s="243"/>
      <c r="F235" s="377"/>
      <c r="G235" s="314">
        <f>SUM(G199:G233)</f>
        <v>150760500</v>
      </c>
      <c r="H235" s="239"/>
      <c r="J235" s="320"/>
      <c r="K235" s="365"/>
    </row>
    <row r="236" spans="2:11" s="258" customFormat="1" ht="17.350000000000001" customHeight="1" thickTop="1" x14ac:dyDescent="0.35">
      <c r="B236" s="317"/>
      <c r="C236" s="318" t="s">
        <v>1003</v>
      </c>
      <c r="D236" s="319"/>
      <c r="E236" s="319"/>
      <c r="F236" s="375"/>
      <c r="G236" s="315"/>
      <c r="H236" s="239"/>
      <c r="J236" s="320"/>
      <c r="K236" s="365"/>
    </row>
    <row r="237" spans="2:11" ht="22.05" customHeight="1" x14ac:dyDescent="0.35">
      <c r="B237" s="242"/>
      <c r="C237" s="259" t="s">
        <v>989</v>
      </c>
      <c r="D237" s="260"/>
      <c r="E237" s="261"/>
      <c r="F237" s="377"/>
      <c r="G237" s="244"/>
    </row>
    <row r="238" spans="2:11" ht="22.05" customHeight="1" x14ac:dyDescent="0.35">
      <c r="B238" s="242"/>
      <c r="C238" s="259" t="s">
        <v>983</v>
      </c>
      <c r="D238" s="260"/>
      <c r="E238" s="261"/>
      <c r="F238" s="377"/>
      <c r="G238" s="244"/>
    </row>
    <row r="239" spans="2:11" ht="22.05" customHeight="1" x14ac:dyDescent="0.35">
      <c r="B239" s="242"/>
      <c r="C239" s="259" t="s">
        <v>223</v>
      </c>
      <c r="D239" s="260"/>
      <c r="E239" s="261"/>
      <c r="F239" s="377"/>
      <c r="G239" s="244"/>
    </row>
    <row r="240" spans="2:11" ht="22.05" customHeight="1" x14ac:dyDescent="0.35">
      <c r="B240" s="242"/>
      <c r="C240" s="259" t="s">
        <v>1005</v>
      </c>
      <c r="D240" s="260"/>
      <c r="E240" s="261"/>
      <c r="F240" s="377"/>
      <c r="G240" s="244"/>
    </row>
    <row r="241" spans="2:7" ht="90.75" customHeight="1" x14ac:dyDescent="0.35">
      <c r="B241" s="242"/>
      <c r="C241" s="311" t="s">
        <v>799</v>
      </c>
      <c r="D241" s="260"/>
      <c r="E241" s="261"/>
      <c r="F241" s="377"/>
      <c r="G241" s="244"/>
    </row>
    <row r="242" spans="2:7" ht="46.5" customHeight="1" x14ac:dyDescent="0.35">
      <c r="B242" s="242" t="s">
        <v>31</v>
      </c>
      <c r="C242" s="310" t="s">
        <v>811</v>
      </c>
      <c r="D242" s="260">
        <v>4</v>
      </c>
      <c r="E242" s="261" t="s">
        <v>113</v>
      </c>
      <c r="F242" s="377">
        <v>367500</v>
      </c>
      <c r="G242" s="313">
        <f>F242*D242</f>
        <v>1470000</v>
      </c>
    </row>
    <row r="243" spans="2:7" ht="30.75" customHeight="1" x14ac:dyDescent="0.35">
      <c r="B243" s="242" t="s">
        <v>32</v>
      </c>
      <c r="C243" s="310" t="s">
        <v>810</v>
      </c>
      <c r="D243" s="260">
        <v>4</v>
      </c>
      <c r="E243" s="261" t="s">
        <v>113</v>
      </c>
      <c r="F243" s="377">
        <v>87500</v>
      </c>
      <c r="G243" s="313">
        <f t="shared" ref="G243:G257" si="5">F243*D243</f>
        <v>350000</v>
      </c>
    </row>
    <row r="244" spans="2:7" ht="16.899999999999999" customHeight="1" x14ac:dyDescent="0.35">
      <c r="B244" s="242" t="s">
        <v>33</v>
      </c>
      <c r="C244" s="310" t="s">
        <v>809</v>
      </c>
      <c r="D244" s="260">
        <v>2</v>
      </c>
      <c r="E244" s="261" t="s">
        <v>113</v>
      </c>
      <c r="F244" s="377">
        <v>420000</v>
      </c>
      <c r="G244" s="313">
        <f t="shared" si="5"/>
        <v>840000</v>
      </c>
    </row>
    <row r="245" spans="2:7" ht="37.799999999999997" customHeight="1" x14ac:dyDescent="0.35">
      <c r="B245" s="242" t="s">
        <v>34</v>
      </c>
      <c r="C245" s="310" t="s">
        <v>808</v>
      </c>
      <c r="D245" s="260">
        <v>50</v>
      </c>
      <c r="E245" s="261" t="s">
        <v>113</v>
      </c>
      <c r="F245" s="377">
        <v>28000</v>
      </c>
      <c r="G245" s="313">
        <f t="shared" si="5"/>
        <v>1400000</v>
      </c>
    </row>
    <row r="246" spans="2:7" ht="30.75" x14ac:dyDescent="0.35">
      <c r="B246" s="242" t="s">
        <v>35</v>
      </c>
      <c r="C246" s="310" t="s">
        <v>807</v>
      </c>
      <c r="D246" s="260">
        <v>4</v>
      </c>
      <c r="E246" s="261" t="s">
        <v>113</v>
      </c>
      <c r="F246" s="377">
        <v>420000</v>
      </c>
      <c r="G246" s="313">
        <f t="shared" si="5"/>
        <v>1680000</v>
      </c>
    </row>
    <row r="247" spans="2:7" ht="22.05" customHeight="1" x14ac:dyDescent="0.35">
      <c r="B247" s="242" t="s">
        <v>36</v>
      </c>
      <c r="C247" s="310" t="s">
        <v>806</v>
      </c>
      <c r="D247" s="260">
        <v>4</v>
      </c>
      <c r="E247" s="261" t="s">
        <v>113</v>
      </c>
      <c r="F247" s="377">
        <v>437500</v>
      </c>
      <c r="G247" s="313">
        <f t="shared" si="5"/>
        <v>1750000</v>
      </c>
    </row>
    <row r="248" spans="2:7" ht="22.05" customHeight="1" x14ac:dyDescent="0.35">
      <c r="B248" s="242" t="s">
        <v>114</v>
      </c>
      <c r="C248" s="310" t="s">
        <v>805</v>
      </c>
      <c r="D248" s="260">
        <v>4</v>
      </c>
      <c r="E248" s="261" t="s">
        <v>113</v>
      </c>
      <c r="F248" s="377">
        <v>1890000</v>
      </c>
      <c r="G248" s="313">
        <f t="shared" si="5"/>
        <v>7560000</v>
      </c>
    </row>
    <row r="249" spans="2:7" ht="22.05" customHeight="1" x14ac:dyDescent="0.35">
      <c r="B249" s="242" t="s">
        <v>39</v>
      </c>
      <c r="C249" s="310" t="s">
        <v>804</v>
      </c>
      <c r="D249" s="260">
        <v>4</v>
      </c>
      <c r="E249" s="261" t="s">
        <v>113</v>
      </c>
      <c r="F249" s="377">
        <v>227500</v>
      </c>
      <c r="G249" s="313">
        <f t="shared" si="5"/>
        <v>910000</v>
      </c>
    </row>
    <row r="250" spans="2:7" ht="36" customHeight="1" x14ac:dyDescent="0.35">
      <c r="B250" s="242" t="s">
        <v>40</v>
      </c>
      <c r="C250" s="310" t="s">
        <v>803</v>
      </c>
      <c r="D250" s="260">
        <v>4</v>
      </c>
      <c r="E250" s="261" t="s">
        <v>113</v>
      </c>
      <c r="F250" s="377">
        <v>385000</v>
      </c>
      <c r="G250" s="313">
        <f t="shared" si="5"/>
        <v>1540000</v>
      </c>
    </row>
    <row r="251" spans="2:7" ht="34.9" customHeight="1" x14ac:dyDescent="0.35">
      <c r="B251" s="242" t="s">
        <v>15</v>
      </c>
      <c r="C251" s="310" t="s">
        <v>802</v>
      </c>
      <c r="D251" s="260">
        <v>1</v>
      </c>
      <c r="E251" s="261" t="s">
        <v>113</v>
      </c>
      <c r="F251" s="377">
        <v>4375000</v>
      </c>
      <c r="G251" s="313">
        <f t="shared" si="5"/>
        <v>4375000</v>
      </c>
    </row>
    <row r="252" spans="2:7" ht="22.05" customHeight="1" x14ac:dyDescent="0.35">
      <c r="B252" s="242" t="s">
        <v>16</v>
      </c>
      <c r="C252" s="310" t="s">
        <v>801</v>
      </c>
      <c r="D252" s="260">
        <v>1</v>
      </c>
      <c r="E252" s="261" t="s">
        <v>113</v>
      </c>
      <c r="F252" s="377">
        <v>105000</v>
      </c>
      <c r="G252" s="313">
        <f t="shared" si="5"/>
        <v>105000</v>
      </c>
    </row>
    <row r="253" spans="2:7" ht="22.05" customHeight="1" x14ac:dyDescent="0.35">
      <c r="B253" s="242" t="s">
        <v>89</v>
      </c>
      <c r="C253" s="310" t="s">
        <v>796</v>
      </c>
      <c r="D253" s="260">
        <v>1</v>
      </c>
      <c r="E253" s="261" t="s">
        <v>37</v>
      </c>
      <c r="F253" s="377">
        <v>2375000</v>
      </c>
      <c r="G253" s="313">
        <f t="shared" si="5"/>
        <v>2375000</v>
      </c>
    </row>
    <row r="254" spans="2:7" ht="57" customHeight="1" x14ac:dyDescent="0.35">
      <c r="B254" s="242" t="s">
        <v>17</v>
      </c>
      <c r="C254" s="310" t="s">
        <v>1022</v>
      </c>
      <c r="D254" s="260">
        <f>SUM(D246:D252)</f>
        <v>22</v>
      </c>
      <c r="E254" s="261" t="s">
        <v>113</v>
      </c>
      <c r="F254" s="377">
        <v>127500</v>
      </c>
      <c r="G254" s="313">
        <f t="shared" si="5"/>
        <v>2805000</v>
      </c>
    </row>
    <row r="255" spans="2:7" ht="22.05" customHeight="1" x14ac:dyDescent="0.35">
      <c r="B255" s="242" t="s">
        <v>90</v>
      </c>
      <c r="C255" s="310" t="s">
        <v>788</v>
      </c>
      <c r="D255" s="260">
        <v>4</v>
      </c>
      <c r="E255" s="261" t="s">
        <v>113</v>
      </c>
      <c r="F255" s="377">
        <v>52500</v>
      </c>
      <c r="G255" s="313">
        <f t="shared" si="5"/>
        <v>210000</v>
      </c>
    </row>
    <row r="256" spans="2:7" ht="37.25" customHeight="1" x14ac:dyDescent="0.35">
      <c r="B256" s="242" t="s">
        <v>88</v>
      </c>
      <c r="C256" s="310" t="s">
        <v>800</v>
      </c>
      <c r="D256" s="260">
        <v>1</v>
      </c>
      <c r="E256" s="261" t="s">
        <v>113</v>
      </c>
      <c r="F256" s="377">
        <v>3125000</v>
      </c>
      <c r="G256" s="313">
        <f t="shared" si="5"/>
        <v>3125000</v>
      </c>
    </row>
    <row r="257" spans="2:11" ht="30.75" x14ac:dyDescent="0.35">
      <c r="B257" s="242" t="s">
        <v>251</v>
      </c>
      <c r="C257" s="310" t="s">
        <v>787</v>
      </c>
      <c r="D257" s="260">
        <v>4</v>
      </c>
      <c r="E257" s="261" t="s">
        <v>113</v>
      </c>
      <c r="F257" s="377">
        <v>35000</v>
      </c>
      <c r="G257" s="313">
        <f t="shared" si="5"/>
        <v>140000</v>
      </c>
    </row>
    <row r="258" spans="2:11" s="241" customFormat="1" ht="30" customHeight="1" thickBot="1" x14ac:dyDescent="0.4">
      <c r="B258" s="252"/>
      <c r="C258" s="316" t="s">
        <v>55</v>
      </c>
      <c r="D258" s="263"/>
      <c r="E258" s="243"/>
      <c r="F258" s="377"/>
      <c r="G258" s="314">
        <f>SUM(G242:G257)</f>
        <v>30635000</v>
      </c>
      <c r="H258" s="239"/>
      <c r="J258" s="320"/>
      <c r="K258" s="365"/>
    </row>
    <row r="259" spans="2:11" s="258" customFormat="1" ht="30" customHeight="1" thickTop="1" x14ac:dyDescent="0.35">
      <c r="B259" s="317"/>
      <c r="C259" s="318" t="s">
        <v>1009</v>
      </c>
      <c r="D259" s="319"/>
      <c r="E259" s="319"/>
      <c r="F259" s="375"/>
      <c r="G259" s="315"/>
      <c r="H259" s="239"/>
      <c r="J259" s="320"/>
      <c r="K259" s="365"/>
    </row>
    <row r="260" spans="2:11" ht="22.05" customHeight="1" x14ac:dyDescent="0.35">
      <c r="B260" s="242"/>
      <c r="C260" s="259" t="s">
        <v>989</v>
      </c>
      <c r="D260" s="260"/>
      <c r="E260" s="261"/>
      <c r="F260" s="377"/>
      <c r="G260" s="244"/>
    </row>
    <row r="261" spans="2:11" ht="22.05" customHeight="1" x14ac:dyDescent="0.35">
      <c r="B261" s="242"/>
      <c r="C261" s="259" t="s">
        <v>983</v>
      </c>
      <c r="D261" s="260"/>
      <c r="E261" s="261"/>
      <c r="F261" s="377"/>
      <c r="G261" s="244"/>
    </row>
    <row r="262" spans="2:11" ht="22.05" customHeight="1" x14ac:dyDescent="0.35">
      <c r="B262" s="242"/>
      <c r="C262" s="259" t="s">
        <v>244</v>
      </c>
      <c r="D262" s="260"/>
      <c r="E262" s="261"/>
      <c r="F262" s="377"/>
      <c r="G262" s="244"/>
    </row>
    <row r="263" spans="2:11" ht="22.05" customHeight="1" x14ac:dyDescent="0.35">
      <c r="B263" s="242"/>
      <c r="C263" s="259" t="s">
        <v>1006</v>
      </c>
      <c r="D263" s="260"/>
      <c r="E263" s="261"/>
      <c r="F263" s="377"/>
      <c r="G263" s="244"/>
    </row>
    <row r="264" spans="2:11" ht="77.25" customHeight="1" x14ac:dyDescent="0.35">
      <c r="B264" s="242"/>
      <c r="C264" s="311" t="s">
        <v>799</v>
      </c>
      <c r="D264" s="260"/>
      <c r="E264" s="261"/>
      <c r="F264" s="377"/>
      <c r="G264" s="244"/>
    </row>
    <row r="265" spans="2:11" ht="111.75" customHeight="1" x14ac:dyDescent="0.35">
      <c r="B265" s="242" t="s">
        <v>31</v>
      </c>
      <c r="C265" s="310" t="s">
        <v>1071</v>
      </c>
      <c r="D265" s="260">
        <v>1</v>
      </c>
      <c r="E265" s="261" t="s">
        <v>113</v>
      </c>
      <c r="F265" s="377">
        <v>4750000</v>
      </c>
      <c r="G265" s="313">
        <f>F265*D265</f>
        <v>4750000</v>
      </c>
    </row>
    <row r="266" spans="2:11" ht="21.75" customHeight="1" x14ac:dyDescent="0.35">
      <c r="B266" s="242" t="s">
        <v>32</v>
      </c>
      <c r="C266" s="310" t="s">
        <v>798</v>
      </c>
      <c r="D266" s="260">
        <v>1</v>
      </c>
      <c r="E266" s="261" t="s">
        <v>113</v>
      </c>
      <c r="F266" s="377">
        <v>3600000</v>
      </c>
      <c r="G266" s="313">
        <f t="shared" ref="G266:G275" si="6">F266*D266</f>
        <v>3600000</v>
      </c>
    </row>
    <row r="267" spans="2:11" ht="46.9" customHeight="1" x14ac:dyDescent="0.35">
      <c r="B267" s="242" t="s">
        <v>33</v>
      </c>
      <c r="C267" s="310" t="s">
        <v>1097</v>
      </c>
      <c r="D267" s="260">
        <v>16</v>
      </c>
      <c r="E267" s="261" t="s">
        <v>113</v>
      </c>
      <c r="F267" s="377">
        <v>650000</v>
      </c>
      <c r="G267" s="313">
        <f t="shared" si="6"/>
        <v>10400000</v>
      </c>
    </row>
    <row r="268" spans="2:11" ht="46.5" customHeight="1" x14ac:dyDescent="0.35">
      <c r="B268" s="242" t="s">
        <v>34</v>
      </c>
      <c r="C268" s="310" t="s">
        <v>1098</v>
      </c>
      <c r="D268" s="260">
        <v>6</v>
      </c>
      <c r="E268" s="261" t="s">
        <v>113</v>
      </c>
      <c r="F268" s="377">
        <v>775000</v>
      </c>
      <c r="G268" s="313">
        <f t="shared" si="6"/>
        <v>4650000</v>
      </c>
    </row>
    <row r="269" spans="2:11" ht="64.150000000000006" customHeight="1" x14ac:dyDescent="0.35">
      <c r="B269" s="242" t="s">
        <v>35</v>
      </c>
      <c r="C269" s="310" t="s">
        <v>1099</v>
      </c>
      <c r="D269" s="260">
        <v>1</v>
      </c>
      <c r="E269" s="261" t="s">
        <v>113</v>
      </c>
      <c r="F269" s="377">
        <v>3562500</v>
      </c>
      <c r="G269" s="313">
        <f t="shared" si="6"/>
        <v>3562500</v>
      </c>
    </row>
    <row r="270" spans="2:11" ht="37.799999999999997" customHeight="1" x14ac:dyDescent="0.35">
      <c r="B270" s="242" t="s">
        <v>36</v>
      </c>
      <c r="C270" s="310" t="s">
        <v>784</v>
      </c>
      <c r="D270" s="260">
        <v>1</v>
      </c>
      <c r="E270" s="261" t="s">
        <v>113</v>
      </c>
      <c r="F270" s="377">
        <v>3775000</v>
      </c>
      <c r="G270" s="313">
        <f t="shared" si="6"/>
        <v>3775000</v>
      </c>
    </row>
    <row r="271" spans="2:11" ht="30.4" customHeight="1" x14ac:dyDescent="0.35">
      <c r="B271" s="242" t="s">
        <v>114</v>
      </c>
      <c r="C271" s="310" t="s">
        <v>797</v>
      </c>
      <c r="D271" s="260">
        <v>1</v>
      </c>
      <c r="E271" s="261" t="s">
        <v>113</v>
      </c>
      <c r="F271" s="377">
        <v>2125000</v>
      </c>
      <c r="G271" s="313">
        <f t="shared" si="6"/>
        <v>2125000</v>
      </c>
    </row>
    <row r="272" spans="2:11" ht="22.05" customHeight="1" x14ac:dyDescent="0.35">
      <c r="B272" s="242" t="s">
        <v>39</v>
      </c>
      <c r="C272" s="310" t="s">
        <v>796</v>
      </c>
      <c r="D272" s="260">
        <v>1</v>
      </c>
      <c r="E272" s="261" t="s">
        <v>37</v>
      </c>
      <c r="F272" s="377">
        <v>1500000</v>
      </c>
      <c r="G272" s="313">
        <f t="shared" si="6"/>
        <v>1500000</v>
      </c>
    </row>
    <row r="273" spans="2:11" ht="47.65" customHeight="1" x14ac:dyDescent="0.35">
      <c r="B273" s="242" t="s">
        <v>40</v>
      </c>
      <c r="C273" s="310" t="s">
        <v>1022</v>
      </c>
      <c r="D273" s="260">
        <v>23</v>
      </c>
      <c r="E273" s="261" t="s">
        <v>113</v>
      </c>
      <c r="F273" s="377">
        <v>127500</v>
      </c>
      <c r="G273" s="313">
        <f t="shared" si="6"/>
        <v>2932500</v>
      </c>
    </row>
    <row r="274" spans="2:11" ht="22.05" customHeight="1" x14ac:dyDescent="0.35">
      <c r="B274" s="242" t="s">
        <v>15</v>
      </c>
      <c r="C274" s="310" t="s">
        <v>1096</v>
      </c>
      <c r="D274" s="260">
        <v>23</v>
      </c>
      <c r="E274" s="261" t="s">
        <v>113</v>
      </c>
      <c r="F274" s="377">
        <v>52500</v>
      </c>
      <c r="G274" s="313">
        <f t="shared" si="6"/>
        <v>1207500</v>
      </c>
    </row>
    <row r="275" spans="2:11" ht="29.65" customHeight="1" x14ac:dyDescent="0.35">
      <c r="B275" s="242" t="s">
        <v>31</v>
      </c>
      <c r="C275" s="310" t="s">
        <v>787</v>
      </c>
      <c r="D275" s="260">
        <v>23</v>
      </c>
      <c r="E275" s="261" t="s">
        <v>113</v>
      </c>
      <c r="F275" s="377">
        <v>35000</v>
      </c>
      <c r="G275" s="313">
        <f t="shared" si="6"/>
        <v>805000</v>
      </c>
    </row>
    <row r="276" spans="2:11" ht="25.5" customHeight="1" x14ac:dyDescent="0.35">
      <c r="B276" s="242"/>
      <c r="C276" s="310"/>
      <c r="D276" s="260"/>
      <c r="E276" s="261"/>
      <c r="F276" s="377"/>
      <c r="G276" s="313"/>
    </row>
    <row r="277" spans="2:11" ht="25.5" customHeight="1" x14ac:dyDescent="0.35">
      <c r="B277" s="242"/>
      <c r="C277" s="310"/>
      <c r="D277" s="260"/>
      <c r="E277" s="261"/>
      <c r="F277" s="377"/>
      <c r="G277" s="313"/>
    </row>
    <row r="278" spans="2:11" ht="25.5" customHeight="1" x14ac:dyDescent="0.35">
      <c r="B278" s="242"/>
      <c r="C278" s="310"/>
      <c r="D278" s="260"/>
      <c r="E278" s="261"/>
      <c r="F278" s="377"/>
      <c r="G278" s="313"/>
    </row>
    <row r="279" spans="2:11" ht="25.5" customHeight="1" x14ac:dyDescent="0.35">
      <c r="B279" s="242"/>
      <c r="C279" s="310"/>
      <c r="D279" s="260"/>
      <c r="E279" s="261"/>
      <c r="F279" s="377"/>
      <c r="G279" s="313"/>
    </row>
    <row r="280" spans="2:11" s="241" customFormat="1" ht="25.5" customHeight="1" thickBot="1" x14ac:dyDescent="0.4">
      <c r="B280" s="252"/>
      <c r="C280" s="316" t="s">
        <v>55</v>
      </c>
      <c r="D280" s="263"/>
      <c r="E280" s="243"/>
      <c r="F280" s="377"/>
      <c r="G280" s="314">
        <f>SUM(G265:G275)</f>
        <v>39307500</v>
      </c>
      <c r="H280" s="239"/>
      <c r="J280" s="320"/>
      <c r="K280" s="365"/>
    </row>
    <row r="281" spans="2:11" s="258" customFormat="1" ht="25.5" customHeight="1" thickTop="1" x14ac:dyDescent="0.35">
      <c r="B281" s="317"/>
      <c r="C281" s="318" t="s">
        <v>1008</v>
      </c>
      <c r="D281" s="319"/>
      <c r="E281" s="319"/>
      <c r="F281" s="375"/>
      <c r="G281" s="315"/>
      <c r="H281" s="239"/>
      <c r="J281" s="320"/>
      <c r="K281" s="365"/>
    </row>
    <row r="282" spans="2:11" ht="16.5" customHeight="1" x14ac:dyDescent="0.35">
      <c r="B282" s="242"/>
      <c r="C282" s="259" t="s">
        <v>989</v>
      </c>
      <c r="D282" s="260"/>
      <c r="E282" s="261"/>
      <c r="F282" s="377"/>
      <c r="G282" s="244"/>
    </row>
    <row r="283" spans="2:11" ht="16.5" customHeight="1" x14ac:dyDescent="0.35">
      <c r="B283" s="242"/>
      <c r="C283" s="259" t="s">
        <v>983</v>
      </c>
      <c r="D283" s="260"/>
      <c r="E283" s="261"/>
      <c r="F283" s="377"/>
      <c r="G283" s="244"/>
    </row>
    <row r="284" spans="2:11" ht="16.5" customHeight="1" x14ac:dyDescent="0.35">
      <c r="B284" s="242"/>
      <c r="C284" s="259" t="s">
        <v>245</v>
      </c>
      <c r="D284" s="260"/>
      <c r="E284" s="261"/>
      <c r="F284" s="377"/>
      <c r="G284" s="244"/>
    </row>
    <row r="285" spans="2:11" ht="16.5" customHeight="1" x14ac:dyDescent="0.35">
      <c r="B285" s="242"/>
      <c r="C285" s="259" t="s">
        <v>1007</v>
      </c>
      <c r="D285" s="260"/>
      <c r="E285" s="261"/>
      <c r="F285" s="377"/>
      <c r="G285" s="244"/>
    </row>
    <row r="286" spans="2:11" ht="218.25" customHeight="1" x14ac:dyDescent="0.35">
      <c r="B286" s="242"/>
      <c r="C286" s="311" t="s">
        <v>795</v>
      </c>
      <c r="D286" s="260"/>
      <c r="E286" s="261"/>
      <c r="F286" s="377"/>
      <c r="G286" s="244"/>
    </row>
    <row r="287" spans="2:11" ht="30.75" x14ac:dyDescent="0.35">
      <c r="B287" s="242"/>
      <c r="C287" s="311" t="s">
        <v>794</v>
      </c>
      <c r="D287" s="260"/>
      <c r="E287" s="261"/>
      <c r="F287" s="377"/>
      <c r="G287" s="244"/>
    </row>
    <row r="288" spans="2:11" ht="61.5" customHeight="1" x14ac:dyDescent="0.35">
      <c r="B288" s="242" t="s">
        <v>31</v>
      </c>
      <c r="C288" s="310" t="s">
        <v>793</v>
      </c>
      <c r="D288" s="260">
        <v>1</v>
      </c>
      <c r="E288" s="261" t="s">
        <v>113</v>
      </c>
      <c r="F288" s="377">
        <v>9500000</v>
      </c>
      <c r="G288" s="313">
        <f>F288*D288</f>
        <v>9500000</v>
      </c>
    </row>
    <row r="289" spans="2:11" ht="111" customHeight="1" x14ac:dyDescent="0.35">
      <c r="B289" s="242"/>
      <c r="C289" s="311" t="s">
        <v>792</v>
      </c>
      <c r="D289" s="260"/>
      <c r="E289" s="261"/>
      <c r="F289" s="377"/>
      <c r="G289" s="313"/>
    </row>
    <row r="290" spans="2:11" ht="33" customHeight="1" x14ac:dyDescent="0.35">
      <c r="B290" s="242" t="s">
        <v>32</v>
      </c>
      <c r="C290" s="310" t="s">
        <v>791</v>
      </c>
      <c r="D290" s="260">
        <v>1</v>
      </c>
      <c r="E290" s="261" t="s">
        <v>113</v>
      </c>
      <c r="F290" s="377">
        <v>2250000</v>
      </c>
      <c r="G290" s="313">
        <f t="shared" ref="G290:G298" si="7">F290*D290</f>
        <v>2250000</v>
      </c>
    </row>
    <row r="291" spans="2:11" ht="29.25" customHeight="1" x14ac:dyDescent="0.35">
      <c r="B291" s="242" t="s">
        <v>33</v>
      </c>
      <c r="C291" s="310" t="s">
        <v>1178</v>
      </c>
      <c r="D291" s="260">
        <v>1</v>
      </c>
      <c r="E291" s="261" t="s">
        <v>113</v>
      </c>
      <c r="F291" s="377">
        <v>1750000</v>
      </c>
      <c r="G291" s="313">
        <f t="shared" si="7"/>
        <v>1750000</v>
      </c>
    </row>
    <row r="292" spans="2:11" ht="61.5" x14ac:dyDescent="0.35">
      <c r="B292" s="242" t="s">
        <v>34</v>
      </c>
      <c r="C292" s="310" t="s">
        <v>790</v>
      </c>
      <c r="D292" s="260">
        <v>1</v>
      </c>
      <c r="E292" s="261" t="s">
        <v>113</v>
      </c>
      <c r="F292" s="377">
        <v>3500000</v>
      </c>
      <c r="G292" s="313">
        <f t="shared" si="7"/>
        <v>3500000</v>
      </c>
    </row>
    <row r="293" spans="2:11" ht="61.5" x14ac:dyDescent="0.35">
      <c r="B293" s="242" t="s">
        <v>35</v>
      </c>
      <c r="C293" s="310" t="s">
        <v>789</v>
      </c>
      <c r="D293" s="260">
        <v>6</v>
      </c>
      <c r="E293" s="261" t="s">
        <v>113</v>
      </c>
      <c r="F293" s="377">
        <v>127000</v>
      </c>
      <c r="G293" s="313">
        <f t="shared" si="7"/>
        <v>762000</v>
      </c>
    </row>
    <row r="294" spans="2:11" ht="22.05" customHeight="1" x14ac:dyDescent="0.35">
      <c r="B294" s="242" t="s">
        <v>36</v>
      </c>
      <c r="C294" s="310" t="s">
        <v>788</v>
      </c>
      <c r="D294" s="260">
        <v>6</v>
      </c>
      <c r="E294" s="261" t="s">
        <v>113</v>
      </c>
      <c r="F294" s="377">
        <v>135000</v>
      </c>
      <c r="G294" s="313">
        <f t="shared" si="7"/>
        <v>810000</v>
      </c>
    </row>
    <row r="295" spans="2:11" ht="30.75" customHeight="1" x14ac:dyDescent="0.35">
      <c r="B295" s="242" t="s">
        <v>114</v>
      </c>
      <c r="C295" s="310" t="s">
        <v>787</v>
      </c>
      <c r="D295" s="260">
        <v>6</v>
      </c>
      <c r="E295" s="261" t="s">
        <v>113</v>
      </c>
      <c r="F295" s="377">
        <v>145000</v>
      </c>
      <c r="G295" s="313">
        <f t="shared" si="7"/>
        <v>870000</v>
      </c>
    </row>
    <row r="296" spans="2:11" ht="62.65" customHeight="1" x14ac:dyDescent="0.35">
      <c r="B296" s="242" t="s">
        <v>39</v>
      </c>
      <c r="C296" s="310" t="s">
        <v>1179</v>
      </c>
      <c r="D296" s="260">
        <v>4</v>
      </c>
      <c r="E296" s="261" t="s">
        <v>113</v>
      </c>
      <c r="F296" s="377">
        <v>1150000</v>
      </c>
      <c r="G296" s="313">
        <f t="shared" si="7"/>
        <v>4600000</v>
      </c>
    </row>
    <row r="297" spans="2:11" ht="76.900000000000006" x14ac:dyDescent="0.35">
      <c r="B297" s="242" t="s">
        <v>40</v>
      </c>
      <c r="C297" s="310" t="s">
        <v>786</v>
      </c>
      <c r="D297" s="260">
        <v>1</v>
      </c>
      <c r="E297" s="261" t="s">
        <v>113</v>
      </c>
      <c r="F297" s="377">
        <v>2250000</v>
      </c>
      <c r="G297" s="313">
        <f t="shared" si="7"/>
        <v>2250000</v>
      </c>
    </row>
    <row r="298" spans="2:11" x14ac:dyDescent="0.35">
      <c r="B298" s="242" t="s">
        <v>15</v>
      </c>
      <c r="C298" s="310" t="s">
        <v>785</v>
      </c>
      <c r="D298" s="260">
        <v>1</v>
      </c>
      <c r="E298" s="261" t="s">
        <v>113</v>
      </c>
      <c r="F298" s="377">
        <v>2210000</v>
      </c>
      <c r="G298" s="313">
        <f t="shared" si="7"/>
        <v>2210000</v>
      </c>
    </row>
    <row r="299" spans="2:11" s="241" customFormat="1" ht="30" customHeight="1" thickBot="1" x14ac:dyDescent="0.4">
      <c r="B299" s="252"/>
      <c r="C299" s="316" t="s">
        <v>55</v>
      </c>
      <c r="D299" s="263"/>
      <c r="E299" s="243"/>
      <c r="F299" s="377"/>
      <c r="G299" s="314">
        <f>SUM(G287:G298)</f>
        <v>28502000</v>
      </c>
      <c r="H299" s="239"/>
      <c r="J299" s="320"/>
      <c r="K299" s="365"/>
    </row>
    <row r="300" spans="2:11" s="258" customFormat="1" ht="15.75" customHeight="1" thickTop="1" x14ac:dyDescent="0.35">
      <c r="B300" s="317"/>
      <c r="C300" s="318" t="s">
        <v>1010</v>
      </c>
      <c r="D300" s="319"/>
      <c r="E300" s="319"/>
      <c r="F300" s="375"/>
      <c r="G300" s="315"/>
      <c r="H300" s="239"/>
      <c r="J300" s="320"/>
      <c r="K300" s="365"/>
    </row>
  </sheetData>
  <phoneticPr fontId="28" type="noConversion"/>
  <printOptions horizontalCentered="1"/>
  <pageMargins left="0.118110236220472" right="0.118110236220472" top="0.27559055118110198" bottom="0.23622047244094499" header="0.118110236220472" footer="0.118110236220472"/>
  <pageSetup paperSize="9" scale="86" fitToHeight="0" orientation="portrait" r:id="rId1"/>
  <headerFooter>
    <oddHeader>&amp;R&amp;"Arial,Italic"&amp;8&amp;F</oddHeader>
    <oddFooter>&amp;L&amp;"Arial,Italic"&amp;8&amp;A</oddFooter>
  </headerFooter>
  <rowBreaks count="9" manualBreakCount="9">
    <brk id="44" max="7" man="1"/>
    <brk id="78" max="16383" man="1"/>
    <brk id="116" max="7" man="1"/>
    <brk id="161" max="16383" man="1"/>
    <brk id="195" max="16383" man="1"/>
    <brk id="216" max="7" man="1"/>
    <brk id="236" max="16383" man="1"/>
    <brk id="259" max="16383" man="1"/>
    <brk id="281" max="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346528-0400-4AD3-9487-31A8A65A2636}">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19</vt:i4>
      </vt:variant>
    </vt:vector>
  </HeadingPairs>
  <TitlesOfParts>
    <vt:vector size="41" baseType="lpstr">
      <vt:lpstr>Cover Page </vt:lpstr>
      <vt:lpstr>Fly Sht. Main Summary</vt:lpstr>
      <vt:lpstr>Main Summary</vt:lpstr>
      <vt:lpstr>Fly Sht. Main Sum</vt:lpstr>
      <vt:lpstr>Main Contract</vt:lpstr>
      <vt:lpstr>Fly Sht. Bill No.4</vt:lpstr>
      <vt:lpstr>Sum. Bill No.4</vt:lpstr>
      <vt:lpstr>Bill No.4 Electrical Inst.</vt:lpstr>
      <vt:lpstr>Fly Sht. Bill No.5</vt:lpstr>
      <vt:lpstr>Sum. Bill No.5</vt:lpstr>
      <vt:lpstr>Bill No.5 Mechanical Inst.</vt:lpstr>
      <vt:lpstr>Fly Sht. Bill No.6</vt:lpstr>
      <vt:lpstr>Sum. Bill No.6</vt:lpstr>
      <vt:lpstr>Bill No.6 Fire fighting Inst.</vt:lpstr>
      <vt:lpstr>Fly Sht. Bill No.7</vt:lpstr>
      <vt:lpstr>Sum. Bill No.7</vt:lpstr>
      <vt:lpstr>Bill No 7 HVAC</vt:lpstr>
      <vt:lpstr>Fly Sht. Bill No.8</vt:lpstr>
      <vt:lpstr>Bill No.8 Lift Inst.</vt:lpstr>
      <vt:lpstr>Fly Sht. Bill No.9</vt:lpstr>
      <vt:lpstr>Sum. Bill No.9</vt:lpstr>
      <vt:lpstr>Bill No.9 ICT Inst.</vt:lpstr>
      <vt:lpstr>'Bill No.4 Electrical Inst.'!Print_Area</vt:lpstr>
      <vt:lpstr>'Bill No.6 Fire fighting Inst.'!Print_Area</vt:lpstr>
      <vt:lpstr>'Bill No.8 Lift Inst.'!Print_Area</vt:lpstr>
      <vt:lpstr>'Bill No.9 ICT Inst.'!Print_Area</vt:lpstr>
      <vt:lpstr>'Cover Page '!Print_Area</vt:lpstr>
      <vt:lpstr>'Main Contract'!Print_Area</vt:lpstr>
      <vt:lpstr>'Main Summary'!Print_Area</vt:lpstr>
      <vt:lpstr>'Sum. Bill No.4'!Print_Area</vt:lpstr>
      <vt:lpstr>'Sum. Bill No.5'!Print_Area</vt:lpstr>
      <vt:lpstr>'Sum. Bill No.6'!Print_Area</vt:lpstr>
      <vt:lpstr>'Sum. Bill No.7'!Print_Area</vt:lpstr>
      <vt:lpstr>'Sum. Bill No.9'!Print_Area</vt:lpstr>
      <vt:lpstr>'Bill No 7 HVAC'!Print_Titles</vt:lpstr>
      <vt:lpstr>'Bill No.4 Electrical Inst.'!Print_Titles</vt:lpstr>
      <vt:lpstr>'Bill No.5 Mechanical Inst.'!Print_Titles</vt:lpstr>
      <vt:lpstr>'Bill No.6 Fire fighting Inst.'!Print_Titles</vt:lpstr>
      <vt:lpstr>'Bill No.8 Lift Inst.'!Print_Titles</vt:lpstr>
      <vt:lpstr>'Bill No.9 ICT Inst.'!Print_Titles</vt:lpstr>
      <vt:lpstr>'Main Contract'!Print_Titles</vt:lpstr>
    </vt:vector>
  </TitlesOfParts>
  <Company>buildcost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I.C.M. CONSULTANTS</dc:creator>
  <cp:lastModifiedBy>Samuel Sentongo</cp:lastModifiedBy>
  <cp:lastPrinted>2024-01-16T20:36:45Z</cp:lastPrinted>
  <dcterms:created xsi:type="dcterms:W3CDTF">2002-11-25T11:50:53Z</dcterms:created>
  <dcterms:modified xsi:type="dcterms:W3CDTF">2025-02-11T13:27:20Z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{77346528-0400-4AD3-9487-31A8A65A2636}</vt:lpwstr>
  </property>
</Properties>
</file>