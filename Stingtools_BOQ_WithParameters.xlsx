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LIBRARY" sheetId="1" state="visible" r:id="rId1"/>
    <sheet xmlns:r="http://schemas.openxmlformats.org/officeDocument/2006/relationships" name="MATERIAL SCHEDULE" sheetId="2" state="visible" r:id="rId2"/>
    <sheet xmlns:r="http://schemas.openxmlformats.org/officeDocument/2006/relationships" name="DIV 06 - PROV SUMS" sheetId="3" state="visible" r:id="rId3"/>
    <sheet xmlns:r="http://schemas.openxmlformats.org/officeDocument/2006/relationships" name="DIV 05 - ELECTRICAL" sheetId="4" state="visible" r:id="rId4"/>
    <sheet xmlns:r="http://schemas.openxmlformats.org/officeDocument/2006/relationships" name="DIV 04 - MECHANICAL (MEP)" sheetId="5" state="visible" r:id="rId5"/>
    <sheet xmlns:r="http://schemas.openxmlformats.org/officeDocument/2006/relationships" name="DIV 03 - ARCH &amp; FINISHES" sheetId="6" state="visible" r:id="rId6"/>
    <sheet xmlns:r="http://schemas.openxmlformats.org/officeDocument/2006/relationships" name="DIV 02 - CIVIL &amp; STRUCT" sheetId="7" state="visible" r:id="rId7"/>
    <sheet xmlns:r="http://schemas.openxmlformats.org/officeDocument/2006/relationships" name="DIV 01 - PRELIM &amp; GENERAL" sheetId="8" state="visible" r:id="rId8"/>
    <sheet xmlns:r="http://schemas.openxmlformats.org/officeDocument/2006/relationships" name="PROJECT INFO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PARAM 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BDD7EE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8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color rgb="000000FF"/>
      <sz val="9"/>
    </font>
    <font>
      <name val="Arial"/>
      <b val="1"/>
      <color rgb="001F3864"/>
      <sz val="9"/>
    </font>
    <font>
      <name val="Arial"/>
      <b val="1"/>
      <color rgb="001F3864"/>
      <sz val="8"/>
    </font>
    <font>
      <name val="Arial"/>
      <i val="1"/>
      <color rgb="001F3864"/>
      <sz val="8"/>
    </font>
    <font>
      <name val="Arial"/>
      <b val="1"/>
      <color rgb="00FFFFFF"/>
      <sz val="8"/>
    </font>
    <font>
      <name val="Arial"/>
      <b val="1"/>
      <color rgb="00FFFFFF"/>
      <sz val="13"/>
    </font>
    <font>
      <name val="Arial"/>
      <i val="1"/>
      <color rgb="00374151"/>
      <sz val="9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2F2F2"/>
      </patternFill>
    </fill>
    <fill>
      <patternFill patternType="solid">
        <fgColor rgb="00F4B94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F3E8FF"/>
      </patternFill>
    </fill>
    <fill>
      <patternFill patternType="solid">
        <fgColor rgb="00DCFCE7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FE4E6"/>
      </patternFill>
    </fill>
    <fill>
      <patternFill patternType="solid">
        <fgColor rgb="00F0FDF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4" fontId="13" fillId="4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4" fontId="8" fillId="7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4" fontId="8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1" fillId="2" borderId="1" applyAlignment="1" pivotButton="0" quotePrefix="0" xfId="0">
      <alignment horizontal="right" vertical="center"/>
    </xf>
    <xf numFmtId="4" fontId="1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5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7" fillId="2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4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 wrapText="1"/>
    </xf>
    <xf numFmtId="0" fontId="14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left" vertical="center" wrapText="1"/>
    </xf>
    <xf numFmtId="0" fontId="14" fillId="19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22" customHeight="1">
      <c r="A1" s="1" t="inlineStr">
        <is>
          <t>RATE LIBRARY  –  Unit Rates Reference (Update with current market prices)</t>
        </is>
      </c>
    </row>
    <row r="2" ht="28" customHeight="1">
      <c r="A2" s="2" t="inlineStr">
        <is>
          <t>Code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Material Rate</t>
        </is>
      </c>
      <c r="E2" s="2" t="inlineStr">
        <is>
          <t>Labour Rate</t>
        </is>
      </c>
      <c r="F2" s="2" t="inlineStr">
        <is>
          <t>Plant Rate</t>
        </is>
      </c>
      <c r="G2" s="2" t="inlineStr">
        <is>
          <t>Total Rate</t>
        </is>
      </c>
      <c r="H2" s="47" t="inlineStr">
        <is>
          <t>Source / Date  [CST_SUP_PREFERRED_SUPPLIER_TXT]</t>
        </is>
      </c>
    </row>
    <row r="3" ht="18" customHeight="1">
      <c r="A3" s="3" t="inlineStr">
        <is>
          <t>EXCV-01</t>
        </is>
      </c>
      <c r="B3" s="4" t="inlineStr">
        <is>
          <t>Bulk excavation in firm earth (inc disposal)</t>
        </is>
      </c>
      <c r="C3" s="3" t="inlineStr">
        <is>
          <t>m³</t>
        </is>
      </c>
      <c r="D3" s="5" t="n">
        <v>0</v>
      </c>
      <c r="E3" s="5" t="n">
        <v>0</v>
      </c>
      <c r="F3" s="5" t="n">
        <v>0</v>
      </c>
      <c r="G3" s="6">
        <f>D3+E3+F3</f>
        <v/>
      </c>
      <c r="H3" s="48" t="inlineStr">
        <is>
          <t>Market 2026  | Rate→[CST_UNIT_PRICE_AGGREGATE_UGX]  Qty→[CST_S_EAR_EXCAVATION_VOLUME_CU_M]</t>
        </is>
      </c>
    </row>
    <row r="4" ht="18" customHeight="1">
      <c r="A4" s="7" t="inlineStr">
        <is>
          <t>CONC-15</t>
        </is>
      </c>
      <c r="B4" s="8" t="inlineStr">
        <is>
          <t>Plain concrete C15 (supply only, exclude labour)</t>
        </is>
      </c>
      <c r="C4" s="7" t="inlineStr">
        <is>
          <t>m³</t>
        </is>
      </c>
      <c r="D4" s="5" t="n">
        <v>0</v>
      </c>
      <c r="E4" s="5" t="n">
        <v>0</v>
      </c>
      <c r="F4" s="5" t="n">
        <v>0</v>
      </c>
      <c r="G4" s="6">
        <f>D4+E4+F4</f>
        <v/>
      </c>
      <c r="H4" s="49" t="inlineStr">
        <is>
          <t>Market 2026  | Rate→[CST_UNIT_PRICE_CEMENT_UGX]  Qty→[CST_S_CON_VOLUME_CU_M]</t>
        </is>
      </c>
    </row>
    <row r="5" ht="18" customHeight="1">
      <c r="A5" s="3" t="inlineStr">
        <is>
          <t>CONC-25</t>
        </is>
      </c>
      <c r="B5" s="4" t="inlineStr">
        <is>
          <t>Reinforced concrete C25 (supply only)</t>
        </is>
      </c>
      <c r="C5" s="3" t="inlineStr">
        <is>
          <t>m³</t>
        </is>
      </c>
      <c r="D5" s="5" t="n">
        <v>0</v>
      </c>
      <c r="E5" s="5" t="n">
        <v>0</v>
      </c>
      <c r="F5" s="5" t="n">
        <v>0</v>
      </c>
      <c r="G5" s="6">
        <f>D5+E5+F5</f>
        <v/>
      </c>
      <c r="H5" s="48" t="inlineStr">
        <is>
          <t>Market 2026  | Rate→[CST_UNIT_PRICE_CEMENT_UGX]  Qty→[CST_CALC_CONCRETE_M3]</t>
        </is>
      </c>
    </row>
    <row r="6" ht="18" customHeight="1">
      <c r="A6" s="7" t="inlineStr">
        <is>
          <t>REBAR-01</t>
        </is>
      </c>
      <c r="B6" s="8" t="inlineStr">
        <is>
          <t>Deformed rebar Y-series, supply and fix</t>
        </is>
      </c>
      <c r="C6" s="7" t="inlineStr">
        <is>
          <t>ton</t>
        </is>
      </c>
      <c r="D6" s="5" t="n">
        <v>0</v>
      </c>
      <c r="E6" s="5" t="n">
        <v>0</v>
      </c>
      <c r="F6" s="5" t="n">
        <v>0</v>
      </c>
      <c r="G6" s="6">
        <f>D6+E6+F6</f>
        <v/>
      </c>
      <c r="H6" s="49" t="inlineStr">
        <is>
          <t>Market 2026  | Rate→[CST_UNIT_PRICE_STEEL_UGX]  Qty→[CST_S_REI_WEIGHT_KG]</t>
        </is>
      </c>
    </row>
    <row r="7" ht="18" customHeight="1">
      <c r="A7" s="3" t="inlineStr">
        <is>
          <t>BLOCK-20</t>
        </is>
      </c>
      <c r="B7" s="4" t="inlineStr">
        <is>
          <t>200mm concrete block, laid</t>
        </is>
      </c>
      <c r="C7" s="3" t="inlineStr">
        <is>
          <t>m²</t>
        </is>
      </c>
      <c r="D7" s="5" t="n">
        <v>0</v>
      </c>
      <c r="E7" s="5" t="n">
        <v>0</v>
      </c>
      <c r="F7" s="5" t="n">
        <v>0</v>
      </c>
      <c r="G7" s="6">
        <f>D7+E7+F7</f>
        <v/>
      </c>
      <c r="H7" s="48" t="inlineStr">
        <is>
          <t>Market 2026  | Rate→[CST_UNIT_PRICE_BLOCK_UGX]  Qty→[CST_S_MAS_BRICK_QUANTITY_NR]</t>
        </is>
      </c>
    </row>
    <row r="8" ht="18" customHeight="1">
      <c r="A8" s="7" t="inlineStr">
        <is>
          <t>PLAS-INT</t>
        </is>
      </c>
      <c r="B8" s="8" t="inlineStr">
        <is>
          <t>Internal 3-coat plaster</t>
        </is>
      </c>
      <c r="C8" s="7" t="inlineStr">
        <is>
          <t>m²</t>
        </is>
      </c>
      <c r="D8" s="5" t="n">
        <v>0</v>
      </c>
      <c r="E8" s="5" t="n">
        <v>0</v>
      </c>
      <c r="F8" s="5" t="n">
        <v>0</v>
      </c>
      <c r="G8" s="6">
        <f>D8+E8+F8</f>
        <v/>
      </c>
      <c r="H8" s="49" t="inlineStr">
        <is>
          <t>Market 2026  | Rate→[CST_UNIT_PRICE_CEMENT_UGX]  Qty→[BLE_FINISH_PLASTER_AREA_SQ_M]</t>
        </is>
      </c>
    </row>
    <row r="9" ht="18" customHeight="1">
      <c r="A9" s="3" t="inlineStr">
        <is>
          <t>TILE-POR</t>
        </is>
      </c>
      <c r="B9" s="4" t="inlineStr">
        <is>
          <t>Porcelain tile 600×600 (supply &amp; lay)</t>
        </is>
      </c>
      <c r="C9" s="3" t="inlineStr">
        <is>
          <t>m²</t>
        </is>
      </c>
      <c r="D9" s="5" t="n">
        <v>0</v>
      </c>
      <c r="E9" s="5" t="n">
        <v>0</v>
      </c>
      <c r="F9" s="5" t="n">
        <v>0</v>
      </c>
      <c r="G9" s="6">
        <f>D9+E9+F9</f>
        <v/>
      </c>
      <c r="H9" s="48" t="inlineStr">
        <is>
          <t>Market 2026  | Rate→[CST_UNIT_PRICE_TILE_UGX]  Qty→[BLE_FINISH_TILE_AREA_SQ_M]</t>
        </is>
      </c>
    </row>
    <row r="10" ht="18" customHeight="1">
      <c r="A10" s="7" t="inlineStr">
        <is>
          <t>PAINT-IN</t>
        </is>
      </c>
      <c r="B10" s="8" t="inlineStr">
        <is>
          <t>Internal emulsion paint (2 coats)</t>
        </is>
      </c>
      <c r="C10" s="7" t="inlineStr">
        <is>
          <t>m²</t>
        </is>
      </c>
      <c r="D10" s="5" t="n">
        <v>0</v>
      </c>
      <c r="E10" s="5" t="n">
        <v>0</v>
      </c>
      <c r="F10" s="5" t="n">
        <v>0</v>
      </c>
      <c r="G10" s="6">
        <f>D10+E10+F10</f>
        <v/>
      </c>
      <c r="H10" s="49" t="inlineStr">
        <is>
          <t>Market 2026  | Rate→[CST_UNIT_PRICE_PAINT_UGX]  Qty→[BLE_FINISH_PAINT_AREA_SQ_M]</t>
        </is>
      </c>
    </row>
    <row r="11" ht="18" customHeight="1">
      <c r="A11" s="3" t="inlineStr">
        <is>
          <t>DUCT-GI1</t>
        </is>
      </c>
      <c r="B11" s="4" t="inlineStr">
        <is>
          <t>GI ductwork 0.6mm gauge – supply, fab &amp; install</t>
        </is>
      </c>
      <c r="C11" s="3" t="inlineStr">
        <is>
          <t>kg</t>
        </is>
      </c>
      <c r="D11" s="5" t="n">
        <v>0</v>
      </c>
      <c r="E11" s="5" t="n">
        <v>0</v>
      </c>
      <c r="F11" s="5" t="n">
        <v>0</v>
      </c>
      <c r="G11" s="6">
        <f>D11+E11+F11</f>
        <v/>
      </c>
      <c r="H11" s="48" t="inlineStr">
        <is>
          <t>Market 2026  | Rate→[ASS_CST_UNIT_PRICE_UGX_NR]  Qty→[HVC_DUCT_AREA_SQ_M]</t>
        </is>
      </c>
    </row>
    <row r="12" ht="18" customHeight="1">
      <c r="A12" s="7" t="inlineStr">
        <is>
          <t>PIPE-15</t>
        </is>
      </c>
      <c r="B12" s="8" t="inlineStr">
        <is>
          <t>uPVC pipe 15mm dia (supply &amp; install)</t>
        </is>
      </c>
      <c r="C12" s="7" t="inlineStr">
        <is>
          <t>LM</t>
        </is>
      </c>
      <c r="D12" s="5" t="n">
        <v>0</v>
      </c>
      <c r="E12" s="5" t="n">
        <v>0</v>
      </c>
      <c r="F12" s="5" t="n">
        <v>0</v>
      </c>
      <c r="G12" s="6">
        <f>D12+E12+F12</f>
        <v/>
      </c>
      <c r="H12" s="49" t="inlineStr">
        <is>
          <t>Market 2026  | Rate→[ASS_CST_UNIT_PRICE_UGX_NR]  Qty→[PLM_PPE_LENGTH_M]</t>
        </is>
      </c>
    </row>
    <row r="13" ht="18" customHeight="1">
      <c r="A13" s="3" t="inlineStr">
        <is>
          <t>PIPE-25</t>
        </is>
      </c>
      <c r="B13" s="4" t="inlineStr">
        <is>
          <t>uPVC pipe 25mm dia (supply &amp; install)</t>
        </is>
      </c>
      <c r="C13" s="3" t="inlineStr">
        <is>
          <t>LM</t>
        </is>
      </c>
      <c r="D13" s="5" t="n">
        <v>0</v>
      </c>
      <c r="E13" s="5" t="n">
        <v>0</v>
      </c>
      <c r="F13" s="5" t="n">
        <v>0</v>
      </c>
      <c r="G13" s="6">
        <f>D13+E13+F13</f>
        <v/>
      </c>
      <c r="H13" s="48" t="inlineStr">
        <is>
          <t>Market 2026  | Rate→[ASS_CST_UNIT_PRICE_UGX_NR]  Qty→[PLM_PPE_LENGTH_M]</t>
        </is>
      </c>
    </row>
    <row r="14" ht="18" customHeight="1">
      <c r="A14" s="7" t="inlineStr">
        <is>
          <t>PIPE-50</t>
        </is>
      </c>
      <c r="B14" s="8" t="inlineStr">
        <is>
          <t>uPVC pipe 50mm dia (supply &amp; install)</t>
        </is>
      </c>
      <c r="C14" s="7" t="inlineStr">
        <is>
          <t>LM</t>
        </is>
      </c>
      <c r="D14" s="5" t="n">
        <v>0</v>
      </c>
      <c r="E14" s="5" t="n">
        <v>0</v>
      </c>
      <c r="F14" s="5" t="n">
        <v>0</v>
      </c>
      <c r="G14" s="6">
        <f>D14+E14+F14</f>
        <v/>
      </c>
      <c r="H14" s="49" t="inlineStr">
        <is>
          <t>Market 2026  | Rate→[ASS_CST_UNIT_PRICE_UGX_NR]  Qty→[PLM_DRN_PPE_LENGTH_M]</t>
        </is>
      </c>
    </row>
    <row r="15" ht="18" customHeight="1">
      <c r="A15" s="3" t="inlineStr">
        <is>
          <t>CABLE-25</t>
        </is>
      </c>
      <c r="B15" s="4" t="inlineStr">
        <is>
          <t>2.5mm² twin+E cable in conduit</t>
        </is>
      </c>
      <c r="C15" s="3" t="inlineStr">
        <is>
          <t>LM</t>
        </is>
      </c>
      <c r="D15" s="5" t="n">
        <v>0</v>
      </c>
      <c r="E15" s="5" t="n">
        <v>0</v>
      </c>
      <c r="F15" s="5" t="n">
        <v>0</v>
      </c>
      <c r="G15" s="6">
        <f>D15+E15+F15</f>
        <v/>
      </c>
      <c r="H15" s="48" t="inlineStr">
        <is>
          <t>Market 2026  | Rate→[ASS_CST_UNIT_PRICE_UGX_NR]  Qty→[ELC_CBL_LENGTH_M]</t>
        </is>
      </c>
    </row>
    <row r="16" ht="18" customHeight="1">
      <c r="A16" s="7" t="inlineStr">
        <is>
          <t>CABLE-95</t>
        </is>
      </c>
      <c r="B16" s="8" t="inlineStr">
        <is>
          <t>95mm² armoured cable (supply &amp; install)</t>
        </is>
      </c>
      <c r="C16" s="7" t="inlineStr">
        <is>
          <t>LM</t>
        </is>
      </c>
      <c r="D16" s="5" t="n">
        <v>0</v>
      </c>
      <c r="E16" s="5" t="n">
        <v>0</v>
      </c>
      <c r="F16" s="5" t="n">
        <v>0</v>
      </c>
      <c r="G16" s="6">
        <f>D16+E16+F16</f>
        <v/>
      </c>
      <c r="H16" s="49" t="inlineStr">
        <is>
          <t>Market 2026  | Rate→[ASS_CST_UNIT_PRICE_UGX_NR]  Qty→[ELC_CBL_LENGTH_M]</t>
        </is>
      </c>
    </row>
    <row r="17" ht="18" customHeight="1">
      <c r="A17" s="3" t="inlineStr">
        <is>
          <t>WIRING</t>
        </is>
      </c>
      <c r="B17" s="4" t="inlineStr">
        <is>
          <t>Wiring from panel to outlet (15m circuit)</t>
        </is>
      </c>
      <c r="C17" s="3" t="inlineStr">
        <is>
          <t>No</t>
        </is>
      </c>
      <c r="D17" s="5" t="n">
        <v>0</v>
      </c>
      <c r="E17" s="5" t="n">
        <v>0</v>
      </c>
      <c r="F17" s="5" t="n">
        <v>0</v>
      </c>
      <c r="G17" s="6">
        <f>D17+E17+F17</f>
        <v/>
      </c>
      <c r="H17" s="48" t="inlineStr">
        <is>
          <t>Market 2026  | Rate→[ASS_CST_UNIT_PRICE_UGX_NR]  Qty→[ELC_CKT_LENGTH_M]</t>
        </is>
      </c>
    </row>
    <row r="18" ht="18" customHeight="1">
      <c r="A18" s="7" t="inlineStr">
        <is>
          <t>LAB-ELEC</t>
        </is>
      </c>
      <c r="B18" s="8" t="inlineStr">
        <is>
          <t>Electrician labour (per hour)</t>
        </is>
      </c>
      <c r="C18" s="7" t="inlineStr">
        <is>
          <t>hr</t>
        </is>
      </c>
      <c r="D18" s="5" t="n">
        <v>0</v>
      </c>
      <c r="E18" s="5" t="n">
        <v>0</v>
      </c>
      <c r="F18" s="5" t="n">
        <v>0</v>
      </c>
      <c r="G18" s="6">
        <f>D18+E18+F18</f>
        <v/>
      </c>
      <c r="H18" s="49" t="inlineStr">
        <is>
          <t>Market 2026  | Rate→[CST_TOTAL_LABOUR_COST]  Qty→[ELC_PWR]</t>
        </is>
      </c>
    </row>
    <row r="19" ht="18" customHeight="1">
      <c r="A19" s="3" t="inlineStr">
        <is>
          <t>LAB-MECH</t>
        </is>
      </c>
      <c r="B19" s="4" t="inlineStr">
        <is>
          <t>Mechanical fitter labour (per hour)</t>
        </is>
      </c>
      <c r="C19" s="3" t="inlineStr">
        <is>
          <t>hr</t>
        </is>
      </c>
      <c r="D19" s="5" t="n">
        <v>0</v>
      </c>
      <c r="E19" s="5" t="n">
        <v>0</v>
      </c>
      <c r="F19" s="5" t="n">
        <v>0</v>
      </c>
      <c r="G19" s="6">
        <f>D19+E19+F19</f>
        <v/>
      </c>
      <c r="H19" s="48" t="inlineStr">
        <is>
          <t>Market 2026  | Rate→[CST_TOTAL_LABOUR_COST]  Qty→[HVC_SYSTEMS]</t>
        </is>
      </c>
    </row>
    <row r="20" ht="18" customHeight="1">
      <c r="A20" s="7" t="inlineStr">
        <is>
          <t>LAB-CIVIL</t>
        </is>
      </c>
      <c r="B20" s="8" t="inlineStr">
        <is>
          <t>Mason / concretor labour (per hour)</t>
        </is>
      </c>
      <c r="C20" s="7" t="inlineStr">
        <is>
          <t>hr</t>
        </is>
      </c>
      <c r="D20" s="5" t="n">
        <v>0</v>
      </c>
      <c r="E20" s="5" t="n">
        <v>0</v>
      </c>
      <c r="F20" s="5" t="n">
        <v>0</v>
      </c>
      <c r="G20" s="6">
        <f>D20+E20+F20</f>
        <v/>
      </c>
      <c r="H20" s="49" t="inlineStr">
        <is>
          <t>Market 2026  | Rate→[CST_TOTAL_LABOUR_COST]  Qty→[COM_DAT]</t>
        </is>
      </c>
    </row>
    <row r="21"/>
    <row r="22">
      <c r="A22" s="9" t="inlineStr">
        <is>
          <t>INSTRUCTIONS:  Enter current market unit rates above (blue = editable input).  Column G (Total Rate) is auto-calculated.  BOQ division sheets reference this library — update rates here to refresh all amounts.  Rate source should be documented (e.g., 'URSB Price Index 2026', 'Supplier quote ref. XYZ', etc.).</t>
        </is>
      </c>
      <c r="B22" s="50" t="n"/>
      <c r="C22" s="50" t="n"/>
      <c r="D22" s="50" t="n"/>
      <c r="E22" s="50" t="n"/>
      <c r="F22" s="50" t="n"/>
      <c r="G22" s="50" t="n"/>
      <c r="H22" s="51" t="n"/>
    </row>
    <row r="23">
      <c r="A23" s="52" t="n"/>
      <c r="H23" s="53" t="n"/>
    </row>
    <row r="24">
      <c r="A24" s="54" t="n"/>
      <c r="B24" s="55" t="n"/>
      <c r="C24" s="55" t="n"/>
      <c r="D24" s="55" t="n"/>
      <c r="E24" s="55" t="n"/>
      <c r="F24" s="55" t="n"/>
      <c r="G24" s="55" t="n"/>
      <c r="H24" s="56" t="n"/>
    </row>
  </sheetData>
  <mergeCells count="2">
    <mergeCell ref="A22:H24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8" customWidth="1" min="4" max="4"/>
    <col width="16" customWidth="1" min="5" max="5"/>
    <col width="8" customWidth="1" min="6" max="6"/>
    <col width="8" customWidth="1" min="7" max="7"/>
    <col width="8" customWidth="1" min="8" max="8"/>
    <col width="15" customWidth="1" min="9" max="9"/>
    <col width="15" customWidth="1" min="10" max="10"/>
    <col width="15" customWidth="1" min="11" max="11"/>
    <col width="12" customWidth="1" min="12" max="12"/>
    <col width="14" customWidth="1" min="13" max="13"/>
    <col width="18" customWidth="1" min="14" max="14"/>
    <col width="20" customWidth="1" min="15" max="15"/>
    <col width="18" customWidth="1" min="16" max="16"/>
    <col width="14" customWidth="1" min="17" max="17"/>
  </cols>
  <sheetData>
    <row r="1" ht="22" customHeight="1">
      <c r="A1" s="1" t="inlineStr">
        <is>
          <t>MATERIAL SCHEDULE  –  STANDARD TEMPLATE FOR STINGTOOLS EXPORT</t>
        </is>
      </c>
    </row>
    <row r="2" ht="36" customHeight="1">
      <c r="A2" s="10" t="inlineStr">
        <is>
          <t>#</t>
        </is>
      </c>
      <c r="B2" s="57" t="inlineStr">
        <is>
          <t>STING Tag / BIM ID  [ASS_TAG_1_TXT | ASS_TAG_2_TXT | ASS_TAG_3_TXT]</t>
        </is>
      </c>
      <c r="C2" s="57" t="inlineStr">
        <is>
          <t>Material Code  [MAT_CODE | ASS_PRODCT_COD_TXT]</t>
        </is>
      </c>
      <c r="D2" s="57" t="inlineStr">
        <is>
          <t>Material Description  [MAT_NAME | ASS_DESCRIPTION_TXT]</t>
        </is>
      </c>
      <c r="E2" s="57" t="inlineStr">
        <is>
          <t>Specification / Standard  [MAT_STANDARD | MAT_SPECIFICATIONS | BLE_MAT_STANDARD_TXT]</t>
        </is>
      </c>
      <c r="F2" s="57" t="inlineStr">
        <is>
          <t>Unit  [ASS_PMT_INV_UNIT_TXT]</t>
        </is>
      </c>
      <c r="G2" s="57" t="inlineStr">
        <is>
          <t>Model Qty  [ASS_CST_QUANTITY_NR]</t>
        </is>
      </c>
      <c r="H2" s="57" t="inlineStr">
        <is>
          <t>Waste Factor (%)  [CST_S_MAS_WASTAGE_FCT_PCT]</t>
        </is>
      </c>
      <c r="I2" s="57" t="inlineStr">
        <is>
          <t>Order Qty  [ASS_PMT_QTY_ORDERED_NR]</t>
        </is>
      </c>
      <c r="J2" s="57" t="inlineStr">
        <is>
          <t>Unit Rate (Supply)  [ASS_CST_UNIT_PRICE_UGX_NR | MAT_COST_UGX]</t>
        </is>
      </c>
      <c r="K2" s="57" t="inlineStr">
        <is>
          <t>Amount (Supply)  [ASS_CST_TOTAL_UGX_NR]</t>
        </is>
      </c>
      <c r="L2" s="57" t="inlineStr">
        <is>
          <t>Lead Time  [CST_DELIVERY_LEAD_TIME_DAYS | CST_SUP_PROCUREMENT_LEAD_TIME_DAYS]</t>
        </is>
      </c>
      <c r="M2" s="57" t="inlineStr">
        <is>
          <t>Supplier / Manufacturer  [ASS_PMT_PRO_SUPPLIER_TXT | CST_SUP_PREFERRED_SUPPLIER_TXT]</t>
        </is>
      </c>
      <c r="N2" s="57" t="inlineStr">
        <is>
          <t>Country of Origin  [CST_SUP_COUNTRY_OF_ORIGIN_INT | CST_SUP_SHIPPING_METHOD_TXT]</t>
        </is>
      </c>
      <c r="O2" s="57" t="inlineStr">
        <is>
          <t>Approved Equivalent  [RGL_QA_APVD_VENDOR_TXT]</t>
        </is>
      </c>
      <c r="P2" s="57" t="inlineStr">
        <is>
          <t>Status  [ASS_STATUS_TXT | ASS_PMT_PRO_PO_NR_TXT]</t>
        </is>
      </c>
      <c r="Q2" s="57" t="inlineStr">
        <is>
          <t>BOQ Ref  [ASS_ID_TXT]</t>
        </is>
      </c>
    </row>
    <row r="3" ht="18" customHeight="1">
      <c r="A3" s="3" t="n">
        <v>1</v>
      </c>
      <c r="B3" s="11" t="inlineStr">
        <is>
          <t>M-001</t>
        </is>
      </c>
      <c r="C3" s="11" t="inlineStr">
        <is>
          <t>AHU-01</t>
        </is>
      </c>
      <c r="D3" s="11" t="inlineStr">
        <is>
          <t>Supply Air Handling Unit – DOAS type, 5000 L/s, energy recovery wheel</t>
        </is>
      </c>
      <c r="E3" s="11" t="inlineStr">
        <is>
          <t>ASHRAE 90.1</t>
        </is>
      </c>
      <c r="F3" s="3" t="inlineStr">
        <is>
          <t>No</t>
        </is>
      </c>
      <c r="G3" s="3" t="n">
        <v>1</v>
      </c>
      <c r="H3" s="3" t="n">
        <v>5</v>
      </c>
      <c r="I3" s="3">
        <f>G3*(1+H3/100)</f>
        <v/>
      </c>
      <c r="J3" s="12" t="inlineStr"/>
      <c r="K3" s="12">
        <f>I3*J3</f>
        <v/>
      </c>
      <c r="L3" s="3" t="inlineStr">
        <is>
          <t>8</t>
        </is>
      </c>
      <c r="M3" s="11" t="inlineStr">
        <is>
          <t>Carrier / Daikin / Trane</t>
        </is>
      </c>
      <c r="N3" s="3" t="inlineStr">
        <is>
          <t>USA/Japan</t>
        </is>
      </c>
      <c r="O3" s="11" t="inlineStr">
        <is>
          <t>As approved</t>
        </is>
      </c>
      <c r="P3" s="58" t="inlineStr">
        <is>
          <t>PROCURE  [ASS_STATUS_TXT=PROCURE]</t>
        </is>
      </c>
      <c r="Q3" s="11" t="inlineStr">
        <is>
          <t>04.A.01</t>
        </is>
      </c>
    </row>
    <row r="4" ht="18" customHeight="1">
      <c r="A4" s="7" t="n">
        <v>2</v>
      </c>
      <c r="B4" s="14" t="inlineStr">
        <is>
          <t>M-002</t>
        </is>
      </c>
      <c r="C4" s="14" t="inlineStr">
        <is>
          <t>FCU-T01</t>
        </is>
      </c>
      <c r="D4" s="14" t="inlineStr">
        <is>
          <t>Fan Coil Unit – ceiling concealed, 2-pipe, 1.2 kW cooling</t>
        </is>
      </c>
      <c r="E4" s="14" t="inlineStr">
        <is>
          <t>BS EN ISO 5149</t>
        </is>
      </c>
      <c r="F4" s="7" t="inlineStr">
        <is>
          <t>No</t>
        </is>
      </c>
      <c r="G4" s="7" t="n">
        <v>1</v>
      </c>
      <c r="H4" s="7" t="n">
        <v>2</v>
      </c>
      <c r="I4" s="7">
        <f>G4*(1+H4/100)</f>
        <v/>
      </c>
      <c r="J4" s="15" t="inlineStr"/>
      <c r="K4" s="15">
        <f>I4*J4</f>
        <v/>
      </c>
      <c r="L4" s="7" t="inlineStr">
        <is>
          <t>6</t>
        </is>
      </c>
      <c r="M4" s="14" t="inlineStr">
        <is>
          <t>Daikin / LG / Mitsubishi</t>
        </is>
      </c>
      <c r="N4" s="7" t="inlineStr">
        <is>
          <t>Japan</t>
        </is>
      </c>
      <c r="O4" s="14" t="inlineStr">
        <is>
          <t>As approved</t>
        </is>
      </c>
      <c r="P4" s="58" t="inlineStr">
        <is>
          <t>PROCURE  [ASS_STATUS_TXT=PROCURE]</t>
        </is>
      </c>
      <c r="Q4" s="14" t="inlineStr">
        <is>
          <t>04.A.02</t>
        </is>
      </c>
    </row>
    <row r="5" ht="18" customHeight="1">
      <c r="A5" s="3" t="n">
        <v>3</v>
      </c>
      <c r="B5" s="11" t="inlineStr">
        <is>
          <t>M-003</t>
        </is>
      </c>
      <c r="C5" s="11" t="inlineStr">
        <is>
          <t>DUCT-GI</t>
        </is>
      </c>
      <c r="D5" s="11" t="inlineStr">
        <is>
          <t>Galvanised steel ductwork – 0.6/0.8/1.0mm gauge (SMACNA class 1)</t>
        </is>
      </c>
      <c r="E5" s="11" t="inlineStr">
        <is>
          <t>SMACNA HVAC Duct</t>
        </is>
      </c>
      <c r="F5" s="3" t="inlineStr">
        <is>
          <t>kg</t>
        </is>
      </c>
      <c r="G5" s="3" t="n">
        <v>1</v>
      </c>
      <c r="H5" s="3" t="n">
        <v>10</v>
      </c>
      <c r="I5" s="3">
        <f>G5*(1+H5/100)</f>
        <v/>
      </c>
      <c r="J5" s="12" t="inlineStr"/>
      <c r="K5" s="12">
        <f>I5*J5</f>
        <v/>
      </c>
      <c r="L5" s="3" t="inlineStr">
        <is>
          <t>4</t>
        </is>
      </c>
      <c r="M5" s="11" t="inlineStr">
        <is>
          <t>Kingspan / local fab</t>
        </is>
      </c>
      <c r="N5" s="3" t="inlineStr">
        <is>
          <t>Uganda/SA</t>
        </is>
      </c>
      <c r="O5" s="11" t="inlineStr">
        <is>
          <t>As approved</t>
        </is>
      </c>
      <c r="P5" s="59" t="inlineStr">
        <is>
          <t>FABRICATE  [ASS_STATUS_TXT=FABRICATE]</t>
        </is>
      </c>
      <c r="Q5" s="11" t="inlineStr">
        <is>
          <t>04.A.05</t>
        </is>
      </c>
    </row>
    <row r="6" ht="18" customHeight="1">
      <c r="A6" s="7" t="n">
        <v>4</v>
      </c>
      <c r="B6" s="14" t="inlineStr">
        <is>
          <t>M-004</t>
        </is>
      </c>
      <c r="C6" s="14" t="inlineStr">
        <is>
          <t>PIPE-CW</t>
        </is>
      </c>
      <c r="D6" s="14" t="inlineStr">
        <is>
          <t>Chilled water pipe – MS schedule 40 (pre-insulated)</t>
        </is>
      </c>
      <c r="E6" s="14" t="inlineStr">
        <is>
          <t>ASME B31.9</t>
        </is>
      </c>
      <c r="F6" s="7" t="inlineStr">
        <is>
          <t>LM</t>
        </is>
      </c>
      <c r="G6" s="7" t="n">
        <v>1</v>
      </c>
      <c r="H6" s="7" t="n">
        <v>5</v>
      </c>
      <c r="I6" s="7">
        <f>G6*(1+H6/100)</f>
        <v/>
      </c>
      <c r="J6" s="15" t="inlineStr"/>
      <c r="K6" s="15">
        <f>I6*J6</f>
        <v/>
      </c>
      <c r="L6" s="7" t="inlineStr">
        <is>
          <t>6</t>
        </is>
      </c>
      <c r="M6" s="14" t="inlineStr">
        <is>
          <t>Unistrut / Electrosteel</t>
        </is>
      </c>
      <c r="N6" s="7" t="inlineStr">
        <is>
          <t>India/SA</t>
        </is>
      </c>
      <c r="O6" s="14" t="inlineStr">
        <is>
          <t>As approved</t>
        </is>
      </c>
      <c r="P6" s="58" t="inlineStr">
        <is>
          <t>PROCURE  [ASS_STATUS_TXT=PROCURE]</t>
        </is>
      </c>
      <c r="Q6" s="14" t="inlineStr">
        <is>
          <t>04.A.14</t>
        </is>
      </c>
    </row>
    <row r="7" ht="18" customHeight="1">
      <c r="A7" s="3" t="n">
        <v>5</v>
      </c>
      <c r="B7" s="11" t="inlineStr">
        <is>
          <t>M-005</t>
        </is>
      </c>
      <c r="C7" s="11" t="inlineStr">
        <is>
          <t>PIPE-HW</t>
        </is>
      </c>
      <c r="D7" s="11" t="inlineStr">
        <is>
          <t>CPVC hot &amp; cold water piping Sch 40 (insulated)</t>
        </is>
      </c>
      <c r="E7" s="11" t="inlineStr">
        <is>
          <t>BS EN ISO 15494</t>
        </is>
      </c>
      <c r="F7" s="3" t="inlineStr">
        <is>
          <t>LM</t>
        </is>
      </c>
      <c r="G7" s="3" t="n">
        <v>1</v>
      </c>
      <c r="H7" s="3" t="n">
        <v>8</v>
      </c>
      <c r="I7" s="3">
        <f>G7*(1+H7/100)</f>
        <v/>
      </c>
      <c r="J7" s="12" t="inlineStr"/>
      <c r="K7" s="12">
        <f>I7*J7</f>
        <v/>
      </c>
      <c r="L7" s="3" t="inlineStr">
        <is>
          <t>3</t>
        </is>
      </c>
      <c r="M7" s="11" t="inlineStr">
        <is>
          <t>Hepworth / Wavin</t>
        </is>
      </c>
      <c r="N7" s="3" t="inlineStr">
        <is>
          <t>SA/UK</t>
        </is>
      </c>
      <c r="O7" s="11" t="inlineStr">
        <is>
          <t>As approved</t>
        </is>
      </c>
      <c r="P7" s="58" t="inlineStr">
        <is>
          <t>PROCURE  [ASS_STATUS_TXT=PROCURE]</t>
        </is>
      </c>
      <c r="Q7" s="11" t="inlineStr">
        <is>
          <t>04.B.01</t>
        </is>
      </c>
    </row>
    <row r="8" ht="18" customHeight="1">
      <c r="A8" s="7" t="n">
        <v>6</v>
      </c>
      <c r="B8" s="14" t="inlineStr">
        <is>
          <t>M-006</t>
        </is>
      </c>
      <c r="C8" s="14" t="inlineStr">
        <is>
          <t>FHR-01</t>
        </is>
      </c>
      <c r="D8" s="14" t="inlineStr">
        <is>
          <t>Fire hose reel cabinet – recessed, 30m hose, BS compliant</t>
        </is>
      </c>
      <c r="E8" s="14" t="inlineStr">
        <is>
          <t>BS EN 671</t>
        </is>
      </c>
      <c r="F8" s="7" t="inlineStr">
        <is>
          <t>No</t>
        </is>
      </c>
      <c r="G8" s="7" t="n">
        <v>1</v>
      </c>
      <c r="H8" s="7" t="n">
        <v>0</v>
      </c>
      <c r="I8" s="7">
        <f>G8*(1+H8/100)</f>
        <v/>
      </c>
      <c r="J8" s="15" t="inlineStr"/>
      <c r="K8" s="15">
        <f>I8*J8</f>
        <v/>
      </c>
      <c r="L8" s="7" t="inlineStr">
        <is>
          <t>8</t>
        </is>
      </c>
      <c r="M8" s="14" t="inlineStr">
        <is>
          <t>Viking / Tyco</t>
        </is>
      </c>
      <c r="N8" s="7" t="inlineStr">
        <is>
          <t>UK/USA</t>
        </is>
      </c>
      <c r="O8" s="14" t="inlineStr">
        <is>
          <t>As approved</t>
        </is>
      </c>
      <c r="P8" s="58" t="inlineStr">
        <is>
          <t>PROCURE  [ASS_STATUS_TXT=PROCURE]</t>
        </is>
      </c>
      <c r="Q8" s="14" t="inlineStr">
        <is>
          <t>04.C.02</t>
        </is>
      </c>
    </row>
    <row r="9" ht="18" customHeight="1">
      <c r="A9" s="3" t="n">
        <v>7</v>
      </c>
      <c r="B9" s="11" t="inlineStr">
        <is>
          <t>M-007</t>
        </is>
      </c>
      <c r="C9" s="11" t="inlineStr">
        <is>
          <t>SPK-01</t>
        </is>
      </c>
      <c r="D9" s="11" t="inlineStr">
        <is>
          <t>Sprinkler head – pendant, std response, K-factor 80</t>
        </is>
      </c>
      <c r="E9" s="11" t="inlineStr">
        <is>
          <t>NFPA 13</t>
        </is>
      </c>
      <c r="F9" s="3" t="inlineStr">
        <is>
          <t>No</t>
        </is>
      </c>
      <c r="G9" s="3" t="n">
        <v>1</v>
      </c>
      <c r="H9" s="3" t="n">
        <v>2</v>
      </c>
      <c r="I9" s="3">
        <f>G9*(1+H9/100)</f>
        <v/>
      </c>
      <c r="J9" s="12" t="inlineStr"/>
      <c r="K9" s="12">
        <f>I9*J9</f>
        <v/>
      </c>
      <c r="L9" s="3" t="inlineStr">
        <is>
          <t>6</t>
        </is>
      </c>
      <c r="M9" s="11" t="inlineStr">
        <is>
          <t>Viking / Tyco</t>
        </is>
      </c>
      <c r="N9" s="3" t="inlineStr">
        <is>
          <t>USA</t>
        </is>
      </c>
      <c r="O9" s="11" t="inlineStr">
        <is>
          <t>As approved</t>
        </is>
      </c>
      <c r="P9" s="58" t="inlineStr">
        <is>
          <t>PROCURE  [ASS_STATUS_TXT=PROCURE]</t>
        </is>
      </c>
      <c r="Q9" s="11" t="inlineStr">
        <is>
          <t>04.C.05</t>
        </is>
      </c>
    </row>
    <row r="10" ht="18" customHeight="1">
      <c r="A10" s="7" t="n">
        <v>8</v>
      </c>
      <c r="B10" s="14" t="inlineStr">
        <is>
          <t>E-001</t>
        </is>
      </c>
      <c r="C10" s="14" t="inlineStr">
        <is>
          <t>MLVDB-01</t>
        </is>
      </c>
      <c r="D10" s="14" t="inlineStr">
        <is>
          <t>Main LV distribution board – 3-phase 400V, 1000A MCCB incomer</t>
        </is>
      </c>
      <c r="E10" s="14" t="inlineStr">
        <is>
          <t>IEC 61439-1</t>
        </is>
      </c>
      <c r="F10" s="7" t="inlineStr">
        <is>
          <t>No</t>
        </is>
      </c>
      <c r="G10" s="7" t="n">
        <v>1</v>
      </c>
      <c r="H10" s="7" t="n">
        <v>0</v>
      </c>
      <c r="I10" s="7">
        <f>G10*(1+H10/100)</f>
        <v/>
      </c>
      <c r="J10" s="15" t="inlineStr"/>
      <c r="K10" s="15">
        <f>I10*J10</f>
        <v/>
      </c>
      <c r="L10" s="7" t="inlineStr">
        <is>
          <t>12</t>
        </is>
      </c>
      <c r="M10" s="14" t="inlineStr">
        <is>
          <t>ABB / Schneider / Eaton</t>
        </is>
      </c>
      <c r="N10" s="7" t="inlineStr">
        <is>
          <t>EU</t>
        </is>
      </c>
      <c r="O10" s="14" t="inlineStr">
        <is>
          <t>As approved</t>
        </is>
      </c>
      <c r="P10" s="58" t="inlineStr">
        <is>
          <t>PROCURE  [ASS_STATUS_TXT=PROCURE]</t>
        </is>
      </c>
      <c r="Q10" s="14" t="inlineStr">
        <is>
          <t>05.A.01</t>
        </is>
      </c>
    </row>
    <row r="11" ht="18" customHeight="1">
      <c r="A11" s="3" t="n">
        <v>9</v>
      </c>
      <c r="B11" s="11" t="inlineStr">
        <is>
          <t>E-002</t>
        </is>
      </c>
      <c r="C11" s="11" t="inlineStr">
        <is>
          <t>GEN-01</t>
        </is>
      </c>
      <c r="D11" s="11" t="inlineStr">
        <is>
          <t>Diesel generator – 200kVA, Perkins engine, IP23 enclosure</t>
        </is>
      </c>
      <c r="E11" s="11" t="inlineStr">
        <is>
          <t>ISO 8528</t>
        </is>
      </c>
      <c r="F11" s="3" t="inlineStr">
        <is>
          <t>No</t>
        </is>
      </c>
      <c r="G11" s="3" t="n">
        <v>1</v>
      </c>
      <c r="H11" s="3" t="n">
        <v>0</v>
      </c>
      <c r="I11" s="3">
        <f>G11*(1+H11/100)</f>
        <v/>
      </c>
      <c r="J11" s="12" t="inlineStr"/>
      <c r="K11" s="12">
        <f>I11*J11</f>
        <v/>
      </c>
      <c r="L11" s="3" t="inlineStr">
        <is>
          <t>14</t>
        </is>
      </c>
      <c r="M11" s="11" t="inlineStr">
        <is>
          <t>Perkins / Cummins / FG Wilson</t>
        </is>
      </c>
      <c r="N11" s="3" t="inlineStr">
        <is>
          <t>UK/USA</t>
        </is>
      </c>
      <c r="O11" s="11" t="inlineStr">
        <is>
          <t>As approved</t>
        </is>
      </c>
      <c r="P11" s="58" t="inlineStr">
        <is>
          <t>PROCURE  [ASS_STATUS_TXT=PROCURE]</t>
        </is>
      </c>
      <c r="Q11" s="11" t="inlineStr">
        <is>
          <t>05.A.04</t>
        </is>
      </c>
    </row>
    <row r="12" ht="18" customHeight="1">
      <c r="A12" s="7" t="n">
        <v>10</v>
      </c>
      <c r="B12" s="14" t="inlineStr">
        <is>
          <t>E-003</t>
        </is>
      </c>
      <c r="C12" s="14" t="inlineStr">
        <is>
          <t>CAB-01</t>
        </is>
      </c>
      <c r="D12" s="14" t="inlineStr">
        <is>
          <t>XLPE/PVC armoured cable 3C×95mm² + 50mm² E (feeder)</t>
        </is>
      </c>
      <c r="E12" s="14" t="inlineStr">
        <is>
          <t>IEC 60502-1</t>
        </is>
      </c>
      <c r="F12" s="7" t="inlineStr">
        <is>
          <t>LM</t>
        </is>
      </c>
      <c r="G12" s="7" t="n">
        <v>1</v>
      </c>
      <c r="H12" s="7" t="n">
        <v>5</v>
      </c>
      <c r="I12" s="7">
        <f>G12*(1+H12/100)</f>
        <v/>
      </c>
      <c r="J12" s="15" t="inlineStr"/>
      <c r="K12" s="15">
        <f>I12*J12</f>
        <v/>
      </c>
      <c r="L12" s="7" t="inlineStr">
        <is>
          <t>4</t>
        </is>
      </c>
      <c r="M12" s="14" t="inlineStr">
        <is>
          <t>Nexans / Prysmian / Kalinga</t>
        </is>
      </c>
      <c r="N12" s="7" t="inlineStr">
        <is>
          <t>EU/India</t>
        </is>
      </c>
      <c r="O12" s="14" t="inlineStr">
        <is>
          <t>As approved</t>
        </is>
      </c>
      <c r="P12" s="58" t="inlineStr">
        <is>
          <t>PROCURE  [ASS_STATUS_TXT=PROCURE]</t>
        </is>
      </c>
      <c r="Q12" s="14" t="inlineStr">
        <is>
          <t>05.A.06</t>
        </is>
      </c>
    </row>
    <row r="13" ht="18" customHeight="1">
      <c r="A13" s="3" t="n">
        <v>11</v>
      </c>
      <c r="B13" s="11" t="inlineStr">
        <is>
          <t>E-004</t>
        </is>
      </c>
      <c r="C13" s="11" t="inlineStr">
        <is>
          <t>LED-P01</t>
        </is>
      </c>
      <c r="D13" s="11" t="inlineStr">
        <is>
          <t>LED panel 60×60cm, 40W, 4000K, Ra&gt;80, UGR&lt;19</t>
        </is>
      </c>
      <c r="E13" s="11" t="inlineStr">
        <is>
          <t>EN 60598</t>
        </is>
      </c>
      <c r="F13" s="3" t="inlineStr">
        <is>
          <t>No</t>
        </is>
      </c>
      <c r="G13" s="3" t="n">
        <v>1</v>
      </c>
      <c r="H13" s="3" t="n">
        <v>5</v>
      </c>
      <c r="I13" s="3">
        <f>G13*(1+H13/100)</f>
        <v/>
      </c>
      <c r="J13" s="12" t="inlineStr"/>
      <c r="K13" s="12">
        <f>I13*J13</f>
        <v/>
      </c>
      <c r="L13" s="3" t="inlineStr">
        <is>
          <t>4</t>
        </is>
      </c>
      <c r="M13" s="11" t="inlineStr">
        <is>
          <t>Philips / Osram / Ledvance</t>
        </is>
      </c>
      <c r="N13" s="3" t="inlineStr">
        <is>
          <t>EU</t>
        </is>
      </c>
      <c r="O13" s="11" t="inlineStr">
        <is>
          <t>As approved</t>
        </is>
      </c>
      <c r="P13" s="58" t="inlineStr">
        <is>
          <t>PROCURE  [ASS_STATUS_TXT=PROCURE]</t>
        </is>
      </c>
      <c r="Q13" s="11" t="inlineStr">
        <is>
          <t>05.C.01</t>
        </is>
      </c>
    </row>
    <row r="14" ht="18" customHeight="1">
      <c r="A14" s="7" t="n">
        <v>12</v>
      </c>
      <c r="B14" s="14" t="inlineStr">
        <is>
          <t>E-005</t>
        </is>
      </c>
      <c r="C14" s="14" t="inlineStr">
        <is>
          <t>EMRG-01</t>
        </is>
      </c>
      <c r="D14" s="14" t="inlineStr">
        <is>
          <t>Emergency maintained luminaire 3hr, self-testing</t>
        </is>
      </c>
      <c r="E14" s="14" t="inlineStr">
        <is>
          <t>BS EN 1838</t>
        </is>
      </c>
      <c r="F14" s="7" t="inlineStr">
        <is>
          <t>No</t>
        </is>
      </c>
      <c r="G14" s="7" t="n">
        <v>1</v>
      </c>
      <c r="H14" s="7" t="n">
        <v>2</v>
      </c>
      <c r="I14" s="7">
        <f>G14*(1+H14/100)</f>
        <v/>
      </c>
      <c r="J14" s="15" t="inlineStr"/>
      <c r="K14" s="15">
        <f>I14*J14</f>
        <v/>
      </c>
      <c r="L14" s="7" t="inlineStr">
        <is>
          <t>4</t>
        </is>
      </c>
      <c r="M14" s="14" t="inlineStr">
        <is>
          <t>Legrand / Eaton / Ceag</t>
        </is>
      </c>
      <c r="N14" s="7" t="inlineStr">
        <is>
          <t>EU</t>
        </is>
      </c>
      <c r="O14" s="14" t="inlineStr">
        <is>
          <t>As approved</t>
        </is>
      </c>
      <c r="P14" s="58" t="inlineStr">
        <is>
          <t>PROCURE  [ASS_STATUS_TXT=PROCURE]</t>
        </is>
      </c>
      <c r="Q14" s="14" t="inlineStr">
        <is>
          <t>05.C.05</t>
        </is>
      </c>
    </row>
    <row r="15" ht="18" customHeight="1">
      <c r="A15" s="3" t="n">
        <v>13</v>
      </c>
      <c r="B15" s="11" t="inlineStr">
        <is>
          <t>E-006</t>
        </is>
      </c>
      <c r="C15" s="11" t="inlineStr">
        <is>
          <t>CAT6-01</t>
        </is>
      </c>
      <c r="D15" s="11" t="inlineStr">
        <is>
          <t>Cat6A UTP cable (305m box) – 10GbE rated</t>
        </is>
      </c>
      <c r="E15" s="11" t="inlineStr">
        <is>
          <t>TIA-568-C.2</t>
        </is>
      </c>
      <c r="F15" s="3" t="inlineStr">
        <is>
          <t>m</t>
        </is>
      </c>
      <c r="G15" s="3" t="n">
        <v>1</v>
      </c>
      <c r="H15" s="3" t="n">
        <v>10</v>
      </c>
      <c r="I15" s="3">
        <f>G15*(1+H15/100)</f>
        <v/>
      </c>
      <c r="J15" s="12" t="inlineStr"/>
      <c r="K15" s="12">
        <f>I15*J15</f>
        <v/>
      </c>
      <c r="L15" s="3" t="inlineStr">
        <is>
          <t>2</t>
        </is>
      </c>
      <c r="M15" s="11" t="inlineStr">
        <is>
          <t>CommScope / Belden</t>
        </is>
      </c>
      <c r="N15" s="3" t="inlineStr">
        <is>
          <t>USA</t>
        </is>
      </c>
      <c r="O15" s="11" t="inlineStr">
        <is>
          <t>As approved</t>
        </is>
      </c>
      <c r="P15" s="58" t="inlineStr">
        <is>
          <t>PROCURE  [ASS_STATUS_TXT=PROCURE]</t>
        </is>
      </c>
      <c r="Q15" s="11" t="inlineStr">
        <is>
          <t>05.D.01</t>
        </is>
      </c>
    </row>
    <row r="16" ht="18" customHeight="1">
      <c r="A16" s="7" t="n">
        <v>14</v>
      </c>
      <c r="B16" s="14" t="inlineStr">
        <is>
          <t>E-007</t>
        </is>
      </c>
      <c r="C16" s="14" t="inlineStr">
        <is>
          <t>CCTV-01</t>
        </is>
      </c>
      <c r="D16" s="14" t="inlineStr">
        <is>
          <t>IP camera – 4MP, IR, outdoor, IK10, with POE</t>
        </is>
      </c>
      <c r="E16" s="14" t="inlineStr">
        <is>
          <t>BS EN 50132</t>
        </is>
      </c>
      <c r="F16" s="7" t="inlineStr">
        <is>
          <t>No</t>
        </is>
      </c>
      <c r="G16" s="7" t="n">
        <v>1</v>
      </c>
      <c r="H16" s="7" t="n">
        <v>2</v>
      </c>
      <c r="I16" s="7">
        <f>G16*(1+H16/100)</f>
        <v/>
      </c>
      <c r="J16" s="15" t="inlineStr"/>
      <c r="K16" s="15">
        <f>I16*J16</f>
        <v/>
      </c>
      <c r="L16" s="7" t="inlineStr">
        <is>
          <t>4</t>
        </is>
      </c>
      <c r="M16" s="14" t="inlineStr">
        <is>
          <t>Hikvision / Dahua / Axis</t>
        </is>
      </c>
      <c r="N16" s="7" t="inlineStr">
        <is>
          <t>CN/SE</t>
        </is>
      </c>
      <c r="O16" s="14" t="inlineStr">
        <is>
          <t>As approved</t>
        </is>
      </c>
      <c r="P16" s="58" t="inlineStr">
        <is>
          <t>PROCURE  [ASS_STATUS_TXT=PROCURE]</t>
        </is>
      </c>
      <c r="Q16" s="14" t="inlineStr">
        <is>
          <t>05.D.04</t>
        </is>
      </c>
    </row>
    <row r="17" ht="18" customHeight="1">
      <c r="A17" s="3" t="n">
        <v>15</v>
      </c>
      <c r="B17" s="11" t="inlineStr">
        <is>
          <t>C-001</t>
        </is>
      </c>
      <c r="C17" s="11" t="inlineStr">
        <is>
          <t>CONC-C25</t>
        </is>
      </c>
      <c r="D17" s="11" t="inlineStr">
        <is>
          <t>Ready-mix concrete Grade C25 (certified batch plant)</t>
        </is>
      </c>
      <c r="E17" s="11" t="inlineStr">
        <is>
          <t>BS EN 206</t>
        </is>
      </c>
      <c r="F17" s="3" t="inlineStr">
        <is>
          <t>m³</t>
        </is>
      </c>
      <c r="G17" s="3" t="n">
        <v>1</v>
      </c>
      <c r="H17" s="3" t="n">
        <v>3</v>
      </c>
      <c r="I17" s="3">
        <f>G17*(1+H17/100)</f>
        <v/>
      </c>
      <c r="J17" s="12" t="inlineStr"/>
      <c r="K17" s="12">
        <f>I17*J17</f>
        <v/>
      </c>
      <c r="L17" s="3" t="inlineStr">
        <is>
          <t>1</t>
        </is>
      </c>
      <c r="M17" s="11" t="inlineStr">
        <is>
          <t>Hima / local plant</t>
        </is>
      </c>
      <c r="N17" s="3" t="inlineStr">
        <is>
          <t>Uganda</t>
        </is>
      </c>
      <c r="O17" s="11" t="inlineStr">
        <is>
          <t>As approved</t>
        </is>
      </c>
      <c r="P17" s="58" t="inlineStr">
        <is>
          <t>PROCURE  [ASS_STATUS_TXT=PROCURE]</t>
        </is>
      </c>
      <c r="Q17" s="11" t="inlineStr">
        <is>
          <t>02.B.02</t>
        </is>
      </c>
    </row>
    <row r="18" ht="18" customHeight="1">
      <c r="A18" s="7" t="n">
        <v>16</v>
      </c>
      <c r="B18" s="14" t="inlineStr">
        <is>
          <t>C-002</t>
        </is>
      </c>
      <c r="C18" s="14" t="inlineStr">
        <is>
          <t>STL-Y16</t>
        </is>
      </c>
      <c r="D18" s="14" t="inlineStr">
        <is>
          <t>High-tensile rebar Y16 (Fy=500MPa), certified mill cert</t>
        </is>
      </c>
      <c r="E18" s="14" t="inlineStr">
        <is>
          <t>BS 4449</t>
        </is>
      </c>
      <c r="F18" s="7" t="inlineStr">
        <is>
          <t>ton</t>
        </is>
      </c>
      <c r="G18" s="7" t="n">
        <v>1</v>
      </c>
      <c r="H18" s="7" t="n">
        <v>5</v>
      </c>
      <c r="I18" s="7">
        <f>G18*(1+H18/100)</f>
        <v/>
      </c>
      <c r="J18" s="15" t="inlineStr"/>
      <c r="K18" s="15">
        <f>I18*J18</f>
        <v/>
      </c>
      <c r="L18" s="7" t="inlineStr">
        <is>
          <t>3</t>
        </is>
      </c>
      <c r="M18" s="14" t="inlineStr">
        <is>
          <t>Roofings Rolling Mills</t>
        </is>
      </c>
      <c r="N18" s="7" t="inlineStr">
        <is>
          <t>Uganda</t>
        </is>
      </c>
      <c r="O18" s="14" t="inlineStr">
        <is>
          <t>As approved</t>
        </is>
      </c>
      <c r="P18" s="58" t="inlineStr">
        <is>
          <t>PROCURE  [ASS_STATUS_TXT=PROCURE]</t>
        </is>
      </c>
      <c r="Q18" s="14" t="inlineStr">
        <is>
          <t>02.B.07</t>
        </is>
      </c>
    </row>
    <row r="19" ht="18" customHeight="1">
      <c r="A19" s="3" t="n">
        <v>17</v>
      </c>
      <c r="B19" s="11" t="inlineStr">
        <is>
          <t>C-003</t>
        </is>
      </c>
      <c r="C19" s="11" t="inlineStr">
        <is>
          <t>BLOCK-200</t>
        </is>
      </c>
      <c r="D19" s="11" t="inlineStr">
        <is>
          <t>200mm dense concrete block (7.5N/mm²)</t>
        </is>
      </c>
      <c r="E19" s="11" t="inlineStr">
        <is>
          <t>BS EN 771-3</t>
        </is>
      </c>
      <c r="F19" s="3" t="inlineStr">
        <is>
          <t>No</t>
        </is>
      </c>
      <c r="G19" s="3" t="n">
        <v>1</v>
      </c>
      <c r="H19" s="3" t="n">
        <v>5</v>
      </c>
      <c r="I19" s="3">
        <f>G19*(1+H19/100)</f>
        <v/>
      </c>
      <c r="J19" s="12" t="inlineStr"/>
      <c r="K19" s="12">
        <f>I19*J19</f>
        <v/>
      </c>
      <c r="L19" s="3" t="inlineStr">
        <is>
          <t>1</t>
        </is>
      </c>
      <c r="M19" s="11" t="inlineStr">
        <is>
          <t>Hima / Bamburi / local</t>
        </is>
      </c>
      <c r="N19" s="3" t="inlineStr">
        <is>
          <t>Uganda</t>
        </is>
      </c>
      <c r="O19" s="11" t="inlineStr">
        <is>
          <t>As approved</t>
        </is>
      </c>
      <c r="P19" s="58" t="inlineStr">
        <is>
          <t>PROCURE  [ASS_STATUS_TXT=PROCURE]</t>
        </is>
      </c>
      <c r="Q19" s="11" t="inlineStr">
        <is>
          <t>02.C.01</t>
        </is>
      </c>
    </row>
    <row r="20" ht="18" customHeight="1">
      <c r="A20" s="7" t="n">
        <v>18</v>
      </c>
      <c r="B20" s="14" t="inlineStr">
        <is>
          <t>A-001</t>
        </is>
      </c>
      <c r="C20" s="14" t="inlineStr">
        <is>
          <t>TILE-P01</t>
        </is>
      </c>
      <c r="D20" s="14" t="inlineStr">
        <is>
          <t>Porcelain floor tile 600×600mm, R10 slip rating, class 5 wear</t>
        </is>
      </c>
      <c r="E20" s="14" t="inlineStr">
        <is>
          <t>JS 374 / EN 14411</t>
        </is>
      </c>
      <c r="F20" s="7" t="inlineStr">
        <is>
          <t>m²</t>
        </is>
      </c>
      <c r="G20" s="7" t="n">
        <v>1</v>
      </c>
      <c r="H20" s="7" t="n">
        <v>10</v>
      </c>
      <c r="I20" s="7">
        <f>G20*(1+H20/100)</f>
        <v/>
      </c>
      <c r="J20" s="15" t="inlineStr"/>
      <c r="K20" s="15">
        <f>I20*J20</f>
        <v/>
      </c>
      <c r="L20" s="7" t="inlineStr">
        <is>
          <t>4</t>
        </is>
      </c>
      <c r="M20" s="14" t="inlineStr">
        <is>
          <t>Kajaria / RAK / Johnson</t>
        </is>
      </c>
      <c r="N20" s="7" t="inlineStr">
        <is>
          <t>India/UAE</t>
        </is>
      </c>
      <c r="O20" s="14" t="inlineStr">
        <is>
          <t>As approved</t>
        </is>
      </c>
      <c r="P20" s="58" t="inlineStr">
        <is>
          <t>PROCURE  [ASS_STATUS_TXT=PROCURE]</t>
        </is>
      </c>
      <c r="Q20" s="14" t="inlineStr">
        <is>
          <t>03.B.01</t>
        </is>
      </c>
    </row>
    <row r="21" ht="18" customHeight="1">
      <c r="A21" s="3" t="n">
        <v>19</v>
      </c>
      <c r="B21" s="11" t="inlineStr">
        <is>
          <t>A-002</t>
        </is>
      </c>
      <c r="C21" s="11" t="inlineStr">
        <is>
          <t>GYPBD-01</t>
        </is>
      </c>
      <c r="D21" s="11" t="inlineStr">
        <is>
          <t>12.5mm gypsum board (standard / moisture resistant)</t>
        </is>
      </c>
      <c r="E21" s="11" t="inlineStr">
        <is>
          <t>BS EN 520</t>
        </is>
      </c>
      <c r="F21" s="3" t="inlineStr">
        <is>
          <t>m²</t>
        </is>
      </c>
      <c r="G21" s="3" t="n">
        <v>1</v>
      </c>
      <c r="H21" s="3" t="n">
        <v>10</v>
      </c>
      <c r="I21" s="3">
        <f>G21*(1+H21/100)</f>
        <v/>
      </c>
      <c r="J21" s="12" t="inlineStr"/>
      <c r="K21" s="12">
        <f>I21*J21</f>
        <v/>
      </c>
      <c r="L21" s="3" t="inlineStr">
        <is>
          <t>2</t>
        </is>
      </c>
      <c r="M21" s="11" t="inlineStr">
        <is>
          <t>Gyproc / USG / Knauf</t>
        </is>
      </c>
      <c r="N21" s="3" t="inlineStr">
        <is>
          <t>EU</t>
        </is>
      </c>
      <c r="O21" s="11" t="inlineStr">
        <is>
          <t>As approved</t>
        </is>
      </c>
      <c r="P21" s="58" t="inlineStr">
        <is>
          <t>PROCURE  [ASS_STATUS_TXT=PROCURE]</t>
        </is>
      </c>
      <c r="Q21" s="11" t="inlineStr">
        <is>
          <t>03.D.01</t>
        </is>
      </c>
    </row>
    <row r="22" ht="18" customHeight="1">
      <c r="A22" s="7" t="n">
        <v>20</v>
      </c>
      <c r="B22" s="14" t="inlineStr">
        <is>
          <t>A-003</t>
        </is>
      </c>
      <c r="C22" s="14" t="inlineStr">
        <is>
          <t>ALUM-WIN</t>
        </is>
      </c>
      <c r="D22" s="14" t="inlineStr">
        <is>
          <t>Aluminium window system – TK50 thermally broken, double glazed</t>
        </is>
      </c>
      <c r="E22" s="14" t="inlineStr">
        <is>
          <t>BS EN 14351</t>
        </is>
      </c>
      <c r="F22" s="7" t="inlineStr">
        <is>
          <t>m²</t>
        </is>
      </c>
      <c r="G22" s="7" t="n">
        <v>1</v>
      </c>
      <c r="H22" s="7" t="n">
        <v>2</v>
      </c>
      <c r="I22" s="7">
        <f>G22*(1+H22/100)</f>
        <v/>
      </c>
      <c r="J22" s="15" t="inlineStr"/>
      <c r="K22" s="15">
        <f>I22*J22</f>
        <v/>
      </c>
      <c r="L22" s="7" t="inlineStr">
        <is>
          <t>10</t>
        </is>
      </c>
      <c r="M22" s="14" t="inlineStr">
        <is>
          <t>Technal / Sapa / YKK</t>
        </is>
      </c>
      <c r="N22" s="7" t="inlineStr">
        <is>
          <t>EU/Japan</t>
        </is>
      </c>
      <c r="O22" s="14" t="inlineStr">
        <is>
          <t>As approved</t>
        </is>
      </c>
      <c r="P22" s="58" t="inlineStr">
        <is>
          <t>PROCURE  [ASS_STATUS_TXT=PROCURE]</t>
        </is>
      </c>
      <c r="Q22" s="14" t="inlineStr">
        <is>
          <t>03.E.02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4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2" customWidth="1" min="11" max="11"/>
    <col width="18" customWidth="1" min="12" max="12"/>
  </cols>
  <sheetData>
    <row r="1" ht="22" customHeight="1">
      <c r="A1" s="1" t="inlineStr">
        <is>
          <t>DIVISION 06  –  PROVISIONAL SUMS, PC SUMS &amp; CONTINGENCY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60" t="inlineStr">
        <is>
          <t>Qty  [ASS_CST_QUANTITY_NR]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60" t="inlineStr">
        <is>
          <t>Amount  [ASS_CST_TOTAL_UGX_NR]</t>
        </is>
      </c>
      <c r="K2" s="60" t="inlineStr">
        <is>
          <t>Notes / Spec Compliance  [ASS_STATUS_TXT | ASS_DESCRIPTION_TXT | RGL_QA_COMMISSIONING_REQ_TXT]</t>
        </is>
      </c>
      <c r="L2" s="60" t="inlineStr">
        <is>
          <t>BIM Tag / STING ID  [ASS_ID_TXT | ASS_TAG_1_TXT]</t>
        </is>
      </c>
    </row>
    <row r="3" ht="18" customHeight="1">
      <c r="A3" s="3" t="inlineStr">
        <is>
          <t>06.01</t>
        </is>
      </c>
      <c r="B3" s="11" t="inlineStr">
        <is>
          <t>Provisional Sum – Specialist subcontractor works (nominated)</t>
        </is>
      </c>
      <c r="C3" s="3" t="inlineStr">
        <is>
          <t>NRM2 2.8</t>
        </is>
      </c>
      <c r="D3" s="3" t="inlineStr">
        <is>
          <t>LS</t>
        </is>
      </c>
      <c r="E3" s="3" t="n">
        <v>1</v>
      </c>
      <c r="F3" s="12" t="inlineStr"/>
      <c r="G3" s="12" t="inlineStr"/>
      <c r="H3" s="12" t="inlineStr"/>
      <c r="I3" s="12">
        <f>F3+G3+H3</f>
        <v/>
      </c>
      <c r="J3" s="12">
        <f>E3*I3</f>
        <v/>
      </c>
      <c r="K3" s="11" t="inlineStr"/>
      <c r="L3" s="11" t="inlineStr"/>
    </row>
    <row r="4" ht="18" customHeight="1">
      <c r="A4" s="7" t="inlineStr">
        <is>
          <t>06.02</t>
        </is>
      </c>
      <c r="B4" s="14" t="inlineStr">
        <is>
          <t>Provisional Sum – Utility service connections (UMEME/NWSC etc.)</t>
        </is>
      </c>
      <c r="C4" s="7" t="inlineStr">
        <is>
          <t>NRM2 2.8</t>
        </is>
      </c>
      <c r="D4" s="7" t="inlineStr">
        <is>
          <t>LS</t>
        </is>
      </c>
      <c r="E4" s="7" t="n">
        <v>1</v>
      </c>
      <c r="F4" s="15" t="inlineStr"/>
      <c r="G4" s="15" t="inlineStr"/>
      <c r="H4" s="15" t="inlineStr"/>
      <c r="I4" s="15">
        <f>F4+G4+H4</f>
        <v/>
      </c>
      <c r="J4" s="15">
        <f>E4*I4</f>
        <v/>
      </c>
      <c r="K4" s="14" t="inlineStr"/>
      <c r="L4" s="14" t="inlineStr"/>
    </row>
    <row r="5" ht="18" customHeight="1">
      <c r="A5" s="3" t="inlineStr">
        <is>
          <t>06.03</t>
        </is>
      </c>
      <c r="B5" s="11" t="inlineStr">
        <is>
          <t>Provisional Sum – Statutory fees, approvals and permits</t>
        </is>
      </c>
      <c r="C5" s="3" t="inlineStr">
        <is>
          <t>NRM2 2.8</t>
        </is>
      </c>
      <c r="D5" s="3" t="inlineStr">
        <is>
          <t>LS</t>
        </is>
      </c>
      <c r="E5" s="3" t="n">
        <v>1</v>
      </c>
      <c r="F5" s="12" t="inlineStr"/>
      <c r="G5" s="12" t="inlineStr"/>
      <c r="H5" s="12" t="inlineStr"/>
      <c r="I5" s="12">
        <f>F5+G5+H5</f>
        <v/>
      </c>
      <c r="J5" s="12">
        <f>E5*I5</f>
        <v/>
      </c>
      <c r="K5" s="11" t="inlineStr"/>
      <c r="L5" s="11" t="inlineStr"/>
    </row>
    <row r="6" ht="18" customHeight="1">
      <c r="A6" s="7" t="inlineStr">
        <is>
          <t>06.04</t>
        </is>
      </c>
      <c r="B6" s="14" t="inlineStr">
        <is>
          <t>Provisional Sum – Landscaping and irrigation (client-nominated)</t>
        </is>
      </c>
      <c r="C6" s="7" t="inlineStr">
        <is>
          <t>NRM2 2.8</t>
        </is>
      </c>
      <c r="D6" s="7" t="inlineStr">
        <is>
          <t>LS</t>
        </is>
      </c>
      <c r="E6" s="7" t="n">
        <v>1</v>
      </c>
      <c r="F6" s="15" t="inlineStr"/>
      <c r="G6" s="15" t="inlineStr"/>
      <c r="H6" s="15" t="inlineStr"/>
      <c r="I6" s="15">
        <f>F6+G6+H6</f>
        <v/>
      </c>
      <c r="J6" s="15">
        <f>E6*I6</f>
        <v/>
      </c>
      <c r="K6" s="14" t="inlineStr"/>
      <c r="L6" s="14" t="inlineStr"/>
    </row>
    <row r="7" ht="18" customHeight="1">
      <c r="A7" s="3" t="inlineStr">
        <is>
          <t>06.05</t>
        </is>
      </c>
      <c r="B7" s="11" t="inlineStr">
        <is>
          <t>PC Sum – Interior furniture, fittings and equipment (FFE)</t>
        </is>
      </c>
      <c r="C7" s="3" t="inlineStr">
        <is>
          <t>NRM2 2.9</t>
        </is>
      </c>
      <c r="D7" s="3" t="inlineStr">
        <is>
          <t>LS</t>
        </is>
      </c>
      <c r="E7" s="3" t="n">
        <v>1</v>
      </c>
      <c r="F7" s="12" t="inlineStr"/>
      <c r="G7" s="12" t="inlineStr"/>
      <c r="H7" s="12" t="inlineStr"/>
      <c r="I7" s="12">
        <f>F7+G7+H7</f>
        <v/>
      </c>
      <c r="J7" s="12">
        <f>E7*I7</f>
        <v/>
      </c>
      <c r="K7" s="11" t="inlineStr"/>
      <c r="L7" s="11" t="inlineStr"/>
    </row>
    <row r="8" ht="18" customHeight="1">
      <c r="A8" s="7" t="inlineStr">
        <is>
          <t>06.06</t>
        </is>
      </c>
      <c r="B8" s="14" t="inlineStr">
        <is>
          <t>PC Sum – Kitchen / lab / specialist equipment</t>
        </is>
      </c>
      <c r="C8" s="7" t="inlineStr">
        <is>
          <t>NRM2 2.9</t>
        </is>
      </c>
      <c r="D8" s="7" t="inlineStr">
        <is>
          <t>LS</t>
        </is>
      </c>
      <c r="E8" s="7" t="n">
        <v>1</v>
      </c>
      <c r="F8" s="15" t="inlineStr"/>
      <c r="G8" s="15" t="inlineStr"/>
      <c r="H8" s="15" t="inlineStr"/>
      <c r="I8" s="15">
        <f>F8+G8+H8</f>
        <v/>
      </c>
      <c r="J8" s="15">
        <f>E8*I8</f>
        <v/>
      </c>
      <c r="K8" s="14" t="inlineStr"/>
      <c r="L8" s="14" t="inlineStr"/>
    </row>
    <row r="9" ht="18" customHeight="1">
      <c r="A9" s="3" t="inlineStr">
        <is>
          <t>06.07</t>
        </is>
      </c>
      <c r="B9" s="11" t="inlineStr">
        <is>
          <t>Day work – Labour allowance (100 hrs @ agreed rate)</t>
        </is>
      </c>
      <c r="C9" s="3" t="inlineStr">
        <is>
          <t>NRM2 3</t>
        </is>
      </c>
      <c r="D9" s="3" t="inlineStr">
        <is>
          <t>hr</t>
        </is>
      </c>
      <c r="E9" s="3" t="n">
        <v>100</v>
      </c>
      <c r="F9" s="12" t="inlineStr"/>
      <c r="G9" s="12" t="inlineStr"/>
      <c r="H9" s="12" t="inlineStr"/>
      <c r="I9" s="12">
        <f>F9+G9+H9</f>
        <v/>
      </c>
      <c r="J9" s="12">
        <f>E9*I9</f>
        <v/>
      </c>
      <c r="K9" s="11" t="inlineStr"/>
      <c r="L9" s="11" t="inlineStr"/>
    </row>
    <row r="10" ht="18" customHeight="1">
      <c r="A10" s="7" t="inlineStr">
        <is>
          <t>06.08</t>
        </is>
      </c>
      <c r="B10" s="14" t="inlineStr">
        <is>
          <t>Day work – Plant allowance (provisional)</t>
        </is>
      </c>
      <c r="C10" s="7" t="inlineStr">
        <is>
          <t>NRM2 3</t>
        </is>
      </c>
      <c r="D10" s="7" t="inlineStr">
        <is>
          <t>LS</t>
        </is>
      </c>
      <c r="E10" s="7" t="n">
        <v>1</v>
      </c>
      <c r="F10" s="15" t="inlineStr"/>
      <c r="G10" s="15" t="inlineStr"/>
      <c r="H10" s="15" t="inlineStr"/>
      <c r="I10" s="15">
        <f>F10+G10+H10</f>
        <v/>
      </c>
      <c r="J10" s="15">
        <f>E10*I10</f>
        <v/>
      </c>
      <c r="K10" s="14" t="inlineStr"/>
      <c r="L10" s="14" t="inlineStr"/>
    </row>
    <row r="11" ht="18" customHeight="1">
      <c r="A11" s="3" t="inlineStr">
        <is>
          <t>06.09</t>
        </is>
      </c>
      <c r="B11" s="11" t="inlineStr">
        <is>
          <t>Design contingency (5% of construction cost)</t>
        </is>
      </c>
      <c r="C11" s="3" t="inlineStr">
        <is>
          <t>RIBA</t>
        </is>
      </c>
      <c r="D11" s="3" t="inlineStr">
        <is>
          <t>%</t>
        </is>
      </c>
      <c r="E11" s="3" t="inlineStr"/>
      <c r="F11" s="12" t="inlineStr"/>
      <c r="G11" s="12" t="inlineStr"/>
      <c r="H11" s="12" t="inlineStr"/>
      <c r="I11" s="12">
        <f>F11+G11+H11</f>
        <v/>
      </c>
      <c r="J11" s="12" t="inlineStr"/>
      <c r="K11" s="11" t="inlineStr"/>
      <c r="L11" s="11" t="inlineStr"/>
    </row>
    <row r="12" ht="18" customHeight="1">
      <c r="A12" s="7" t="inlineStr">
        <is>
          <t>06.10</t>
        </is>
      </c>
      <c r="B12" s="14" t="inlineStr">
        <is>
          <t>Construction contingency (10% of construction cost)</t>
        </is>
      </c>
      <c r="C12" s="7" t="inlineStr">
        <is>
          <t>NRM1</t>
        </is>
      </c>
      <c r="D12" s="7" t="inlineStr">
        <is>
          <t>%</t>
        </is>
      </c>
      <c r="E12" s="7" t="inlineStr"/>
      <c r="F12" s="15" t="inlineStr"/>
      <c r="G12" s="15" t="inlineStr"/>
      <c r="H12" s="15" t="inlineStr"/>
      <c r="I12" s="15">
        <f>F12+G12+H12</f>
        <v/>
      </c>
      <c r="J12" s="15" t="inlineStr"/>
      <c r="K12" s="14" t="inlineStr"/>
      <c r="L12" s="14" t="inlineStr"/>
    </row>
    <row r="13" ht="20" customHeight="1">
      <c r="A13" s="17" t="inlineStr">
        <is>
          <t>SUBTOTAL – PROVISIONAL SUMS &amp; CONTINGENCY</t>
        </is>
      </c>
      <c r="B13" s="61" t="n"/>
      <c r="C13" s="61" t="n"/>
      <c r="D13" s="61" t="n"/>
      <c r="E13" s="61" t="n"/>
      <c r="F13" s="61" t="n"/>
      <c r="G13" s="61" t="n"/>
      <c r="H13" s="61" t="n"/>
      <c r="I13" s="62" t="n"/>
      <c r="J13" s="18">
        <f>SUM(J3:J13)</f>
        <v/>
      </c>
      <c r="K13" s="19" t="n"/>
      <c r="L13" s="19" t="n"/>
    </row>
  </sheetData>
  <mergeCells count="2">
    <mergeCell ref="A13:I1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4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2" customWidth="1" min="11" max="11"/>
    <col width="18" customWidth="1" min="12" max="12"/>
  </cols>
  <sheetData>
    <row r="1" ht="22" customHeight="1">
      <c r="A1" s="1" t="inlineStr">
        <is>
          <t>DIVISION 05  –  ELECTRICAL WORKS  (LV, ELV, LIGHTING, POWER)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60" t="inlineStr">
        <is>
          <t>Qty  [ELC_CBL_LENGTH_M | ASS_CST_QUANTITY_NR | ELC_CKT_LENGTH_M]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60" t="inlineStr">
        <is>
          <t>Amount  [ASS_CST_TOTAL_UGX_NR | ELC_ENERGY_COST_UGX_PA | FLS_DETECTION_COST_UGX | FLS_SUPPRESSION_COST_UGX]</t>
        </is>
      </c>
      <c r="K2" s="60" t="inlineStr">
        <is>
          <t>Notes / Spec Compliance  [ELC_PNL_DESIGNATION_NAME_TXT | ELC_PNL_MAIN_BRK_A | ELC_PNL_VLT_V | CBL_TYPE_TXT | ELC_CBL_SZ_MM | ELC_CDT_SZ_MM | ELC_CDT_MAT_TXT | LTG_CLR_TEMP_K | LTG_DESIGN_ILLUMINANCE_LUX | LTG_FIX_LMP_WATTAGE_W | FLS_SFTY_DEV_TYPE_TXT | FLS_SFTY_DEV_LOOP_TXT | ELC_LP_EARTH_RES_OHMS]</t>
        </is>
      </c>
      <c r="L2" s="60" t="inlineStr">
        <is>
          <t>BIM Tag / STING ID  [ELC_EQP_TAG_01_TXT | ELC_EQP_TAG_02_TXT | LTG_FIX_TAG_01_TXT | FLS_DEV_TAG_01_TXT | ELC_CDT_TAG_01_TXT | ELC_CTR_TAG_01_TXT | ASS_TAG_1_TXT]</t>
        </is>
      </c>
    </row>
    <row r="3" ht="18" customHeight="1">
      <c r="A3" s="20" t="inlineStr"/>
      <c r="B3" s="21" t="inlineStr">
        <is>
          <t>A. HV/LV SUPPLY &amp; DISTRIBUTION</t>
        </is>
      </c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2" t="n"/>
    </row>
    <row r="4" ht="18" customHeight="1">
      <c r="A4" s="3" t="inlineStr">
        <is>
          <t>05.A.01</t>
        </is>
      </c>
      <c r="B4" s="11" t="inlineStr">
        <is>
          <t>Main LV Distribution Board (MLVDB) - as schedule</t>
        </is>
      </c>
      <c r="C4" s="3" t="inlineStr">
        <is>
          <t>IEC 61439</t>
        </is>
      </c>
      <c r="D4" s="3" t="inlineStr">
        <is>
          <t>No</t>
        </is>
      </c>
      <c r="E4" s="3" t="inlineStr"/>
      <c r="F4" s="12" t="inlineStr"/>
      <c r="G4" s="12" t="inlineStr"/>
      <c r="H4" s="12" t="inlineStr"/>
      <c r="I4" s="12">
        <f>F4+G4+H4</f>
        <v/>
      </c>
      <c r="J4" s="12" t="inlineStr"/>
      <c r="K4" s="11" t="inlineStr"/>
      <c r="L4" s="11" t="inlineStr"/>
    </row>
    <row r="5" ht="18" customHeight="1">
      <c r="A5" s="7" t="inlineStr">
        <is>
          <t>05.A.02</t>
        </is>
      </c>
      <c r="B5" s="14" t="inlineStr">
        <is>
          <t>Sub-distribution board (SDB) - as schedule</t>
        </is>
      </c>
      <c r="C5" s="7" t="inlineStr">
        <is>
          <t>IEC 61439</t>
        </is>
      </c>
      <c r="D5" s="7" t="inlineStr">
        <is>
          <t>No</t>
        </is>
      </c>
      <c r="E5" s="7" t="inlineStr"/>
      <c r="F5" s="15" t="inlineStr"/>
      <c r="G5" s="15" t="inlineStr"/>
      <c r="H5" s="15" t="inlineStr"/>
      <c r="I5" s="15">
        <f>F5+G5+H5</f>
        <v/>
      </c>
      <c r="J5" s="15" t="inlineStr"/>
      <c r="K5" s="14" t="inlineStr"/>
      <c r="L5" s="14" t="inlineStr"/>
    </row>
    <row r="6" ht="18" customHeight="1">
      <c r="A6" s="3" t="inlineStr">
        <is>
          <t>05.A.03</t>
        </is>
      </c>
      <c r="B6" s="11" t="inlineStr">
        <is>
          <t>Transformer (if applicable) - as schedule (kVA rating)</t>
        </is>
      </c>
      <c r="C6" s="3" t="inlineStr">
        <is>
          <t>IEC 60076</t>
        </is>
      </c>
      <c r="D6" s="3" t="inlineStr">
        <is>
          <t>No</t>
        </is>
      </c>
      <c r="E6" s="3" t="inlineStr"/>
      <c r="F6" s="12" t="inlineStr"/>
      <c r="G6" s="12" t="inlineStr"/>
      <c r="H6" s="12" t="inlineStr"/>
      <c r="I6" s="12">
        <f>F6+G6+H6</f>
        <v/>
      </c>
      <c r="J6" s="12" t="inlineStr"/>
      <c r="K6" s="11" t="inlineStr"/>
      <c r="L6" s="11" t="inlineStr"/>
    </row>
    <row r="7" ht="18" customHeight="1">
      <c r="A7" s="7" t="inlineStr">
        <is>
          <t>05.A.04</t>
        </is>
      </c>
      <c r="B7" s="14" t="inlineStr">
        <is>
          <t>Diesel generator set (standby) - complete with ATS &amp; controls</t>
        </is>
      </c>
      <c r="C7" s="7" t="inlineStr">
        <is>
          <t>ISO 8528</t>
        </is>
      </c>
      <c r="D7" s="7" t="inlineStr">
        <is>
          <t>No</t>
        </is>
      </c>
      <c r="E7" s="7" t="inlineStr"/>
      <c r="F7" s="15" t="inlineStr"/>
      <c r="G7" s="15" t="inlineStr"/>
      <c r="H7" s="15" t="inlineStr"/>
      <c r="I7" s="15">
        <f>F7+G7+H7</f>
        <v/>
      </c>
      <c r="J7" s="15" t="inlineStr"/>
      <c r="K7" s="14" t="inlineStr"/>
      <c r="L7" s="14" t="inlineStr"/>
    </row>
    <row r="8" ht="18" customHeight="1">
      <c r="A8" s="3" t="inlineStr">
        <is>
          <t>05.A.05</t>
        </is>
      </c>
      <c r="B8" s="11" t="inlineStr">
        <is>
          <t>UPS system - as schedule (kVA, minutes back-up)</t>
        </is>
      </c>
      <c r="C8" s="3" t="inlineStr">
        <is>
          <t>IEC 62040</t>
        </is>
      </c>
      <c r="D8" s="3" t="inlineStr">
        <is>
          <t>No</t>
        </is>
      </c>
      <c r="E8" s="3" t="inlineStr"/>
      <c r="F8" s="12" t="inlineStr"/>
      <c r="G8" s="12" t="inlineStr"/>
      <c r="H8" s="12" t="inlineStr"/>
      <c r="I8" s="12">
        <f>F8+G8+H8</f>
        <v/>
      </c>
      <c r="J8" s="12" t="inlineStr"/>
      <c r="K8" s="11" t="inlineStr"/>
      <c r="L8" s="11" t="inlineStr"/>
    </row>
    <row r="9" ht="18" customHeight="1">
      <c r="A9" s="7" t="inlineStr">
        <is>
          <t>05.A.06</t>
        </is>
      </c>
      <c r="B9" s="14" t="inlineStr">
        <is>
          <t>PVC/XLPE armoured cable - MV/LV feeders as schedule</t>
        </is>
      </c>
      <c r="C9" s="7" t="inlineStr">
        <is>
          <t>IEC 60502</t>
        </is>
      </c>
      <c r="D9" s="7" t="inlineStr">
        <is>
          <t>LM</t>
        </is>
      </c>
      <c r="E9" s="7" t="inlineStr"/>
      <c r="F9" s="15" t="inlineStr"/>
      <c r="G9" s="15" t="inlineStr"/>
      <c r="H9" s="15" t="inlineStr"/>
      <c r="I9" s="15">
        <f>F9+G9+H9</f>
        <v/>
      </c>
      <c r="J9" s="15" t="inlineStr"/>
      <c r="K9" s="14" t="inlineStr"/>
      <c r="L9" s="14" t="inlineStr"/>
    </row>
    <row r="10" ht="18" customHeight="1">
      <c r="A10" s="3" t="inlineStr">
        <is>
          <t>05.A.07</t>
        </is>
      </c>
      <c r="B10" s="11" t="inlineStr">
        <is>
          <t>Cable tray / ladder (galvanised steel) - as schedule</t>
        </is>
      </c>
      <c r="C10" s="3" t="inlineStr">
        <is>
          <t>IEC 61537</t>
        </is>
      </c>
      <c r="D10" s="3" t="inlineStr">
        <is>
          <t>LM</t>
        </is>
      </c>
      <c r="E10" s="3" t="inlineStr"/>
      <c r="F10" s="12" t="inlineStr"/>
      <c r="G10" s="12" t="inlineStr"/>
      <c r="H10" s="12" t="inlineStr"/>
      <c r="I10" s="12">
        <f>F10+G10+H10</f>
        <v/>
      </c>
      <c r="J10" s="12" t="inlineStr"/>
      <c r="K10" s="11" t="inlineStr"/>
      <c r="L10" s="11" t="inlineStr"/>
    </row>
    <row r="11" ht="18" customHeight="1">
      <c r="A11" s="7" t="inlineStr">
        <is>
          <t>05.A.08</t>
        </is>
      </c>
      <c r="B11" s="14" t="inlineStr">
        <is>
          <t>Cable conduit (metal/PVC) - as schedule</t>
        </is>
      </c>
      <c r="C11" s="7" t="inlineStr">
        <is>
          <t>IEC 61386</t>
        </is>
      </c>
      <c r="D11" s="7" t="inlineStr">
        <is>
          <t>LM</t>
        </is>
      </c>
      <c r="E11" s="7" t="inlineStr"/>
      <c r="F11" s="15" t="inlineStr"/>
      <c r="G11" s="15" t="inlineStr"/>
      <c r="H11" s="15" t="inlineStr"/>
      <c r="I11" s="15">
        <f>F11+G11+H11</f>
        <v/>
      </c>
      <c r="J11" s="15" t="inlineStr"/>
      <c r="K11" s="14" t="inlineStr"/>
      <c r="L11" s="14" t="inlineStr"/>
    </row>
    <row r="12" ht="20" customHeight="1">
      <c r="A12" s="17" t="inlineStr">
        <is>
          <t>SUBTOTAL – A. HV/LV SUPPLY &amp; DISTRIBUTION</t>
        </is>
      </c>
      <c r="B12" s="61" t="n"/>
      <c r="C12" s="61" t="n"/>
      <c r="D12" s="61" t="n"/>
      <c r="E12" s="61" t="n"/>
      <c r="F12" s="61" t="n"/>
      <c r="G12" s="61" t="n"/>
      <c r="H12" s="61" t="n"/>
      <c r="I12" s="62" t="n"/>
      <c r="J12" s="18">
        <f>SUM(J4:J12)</f>
        <v/>
      </c>
      <c r="K12" s="19" t="n"/>
      <c r="L12" s="19" t="n"/>
    </row>
    <row r="14" ht="18" customHeight="1">
      <c r="A14" s="20" t="inlineStr"/>
      <c r="B14" s="21" t="inlineStr">
        <is>
          <t>B. POWER WIRING</t>
        </is>
      </c>
      <c r="C14" s="61" t="n"/>
      <c r="D14" s="61" t="n"/>
      <c r="E14" s="61" t="n"/>
      <c r="F14" s="61" t="n"/>
      <c r="G14" s="61" t="n"/>
      <c r="H14" s="61" t="n"/>
      <c r="I14" s="61" t="n"/>
      <c r="J14" s="61" t="n"/>
      <c r="K14" s="61" t="n"/>
      <c r="L14" s="62" t="n"/>
    </row>
    <row r="15" ht="18" customHeight="1">
      <c r="A15" s="3" t="inlineStr">
        <is>
          <t>05.B.01</t>
        </is>
      </c>
      <c r="B15" s="11" t="inlineStr">
        <is>
          <t>Power socket outlet (13A, twin, switched) - complete</t>
        </is>
      </c>
      <c r="C15" s="3" t="inlineStr">
        <is>
          <t>BS 1363</t>
        </is>
      </c>
      <c r="D15" s="3" t="inlineStr">
        <is>
          <t>No</t>
        </is>
      </c>
      <c r="E15" s="3" t="inlineStr"/>
      <c r="F15" s="12" t="inlineStr"/>
      <c r="G15" s="12" t="inlineStr"/>
      <c r="H15" s="12" t="inlineStr"/>
      <c r="I15" s="12">
        <f>F15+G15+H15</f>
        <v/>
      </c>
      <c r="J15" s="12" t="inlineStr"/>
      <c r="K15" s="11" t="inlineStr"/>
      <c r="L15" s="11" t="inlineStr"/>
    </row>
    <row r="16" ht="18" customHeight="1">
      <c r="A16" s="7" t="inlineStr">
        <is>
          <t>05.B.02</t>
        </is>
      </c>
      <c r="B16" s="14" t="inlineStr">
        <is>
          <t>Power socket - 16A industrial (CEE form) - complete</t>
        </is>
      </c>
      <c r="C16" s="7" t="inlineStr">
        <is>
          <t>IEC 60309</t>
        </is>
      </c>
      <c r="D16" s="7" t="inlineStr">
        <is>
          <t>No</t>
        </is>
      </c>
      <c r="E16" s="7" t="inlineStr"/>
      <c r="F16" s="15" t="inlineStr"/>
      <c r="G16" s="15" t="inlineStr"/>
      <c r="H16" s="15" t="inlineStr"/>
      <c r="I16" s="15">
        <f>F16+G16+H16</f>
        <v/>
      </c>
      <c r="J16" s="15" t="inlineStr"/>
      <c r="K16" s="14" t="inlineStr"/>
      <c r="L16" s="14" t="inlineStr"/>
    </row>
    <row r="17" ht="18" customHeight="1">
      <c r="A17" s="3" t="inlineStr">
        <is>
          <t>05.B.03</t>
        </is>
      </c>
      <c r="B17" s="11" t="inlineStr">
        <is>
          <t>Single-phase wiring circuit - from panel to outlet (15m avg)</t>
        </is>
      </c>
      <c r="C17" s="3" t="inlineStr">
        <is>
          <t>IEC 60364</t>
        </is>
      </c>
      <c r="D17" s="3" t="inlineStr">
        <is>
          <t>No</t>
        </is>
      </c>
      <c r="E17" s="3" t="inlineStr"/>
      <c r="F17" s="12" t="inlineStr"/>
      <c r="G17" s="12" t="inlineStr"/>
      <c r="H17" s="12" t="inlineStr"/>
      <c r="I17" s="12">
        <f>F17+G17+H17</f>
        <v/>
      </c>
      <c r="J17" s="12" t="inlineStr"/>
      <c r="K17" s="11" t="inlineStr"/>
      <c r="L17" s="11" t="inlineStr"/>
    </row>
    <row r="18" ht="18" customHeight="1">
      <c r="A18" s="7" t="inlineStr">
        <is>
          <t>05.B.04</t>
        </is>
      </c>
      <c r="B18" s="14" t="inlineStr">
        <is>
          <t>3-phase wiring circuit - from panel to equipment (15m avg)</t>
        </is>
      </c>
      <c r="C18" s="7" t="inlineStr">
        <is>
          <t>IEC 60364</t>
        </is>
      </c>
      <c r="D18" s="7" t="inlineStr">
        <is>
          <t>No</t>
        </is>
      </c>
      <c r="E18" s="7" t="inlineStr"/>
      <c r="F18" s="15" t="inlineStr"/>
      <c r="G18" s="15" t="inlineStr"/>
      <c r="H18" s="15" t="inlineStr"/>
      <c r="I18" s="15">
        <f>F18+G18+H18</f>
        <v/>
      </c>
      <c r="J18" s="15" t="inlineStr"/>
      <c r="K18" s="14" t="inlineStr"/>
      <c r="L18" s="14" t="inlineStr"/>
    </row>
    <row r="19" ht="18" customHeight="1">
      <c r="A19" s="3" t="inlineStr">
        <is>
          <t>05.B.05</t>
        </is>
      </c>
      <c r="B19" s="11" t="inlineStr">
        <is>
          <t>Earth bonding system - electrodes, bonding conductors, bars</t>
        </is>
      </c>
      <c r="C19" s="3" t="inlineStr">
        <is>
          <t>IEC 60364</t>
        </is>
      </c>
      <c r="D19" s="3" t="inlineStr">
        <is>
          <t>LS</t>
        </is>
      </c>
      <c r="E19" s="3" t="inlineStr"/>
      <c r="F19" s="12" t="inlineStr"/>
      <c r="G19" s="12" t="inlineStr"/>
      <c r="H19" s="12" t="inlineStr"/>
      <c r="I19" s="12">
        <f>F19+G19+H19</f>
        <v/>
      </c>
      <c r="J19" s="12" t="inlineStr"/>
      <c r="K19" s="11" t="inlineStr"/>
      <c r="L19" s="11" t="inlineStr"/>
    </row>
    <row r="20" ht="18" customHeight="1">
      <c r="A20" s="7" t="inlineStr">
        <is>
          <t>05.B.06</t>
        </is>
      </c>
      <c r="B20" s="14" t="inlineStr">
        <is>
          <t>Surge Protection Device (SPD) - class I/II as required</t>
        </is>
      </c>
      <c r="C20" s="7" t="inlineStr">
        <is>
          <t>IEC 61643</t>
        </is>
      </c>
      <c r="D20" s="7" t="inlineStr">
        <is>
          <t>No</t>
        </is>
      </c>
      <c r="E20" s="7" t="inlineStr"/>
      <c r="F20" s="15" t="inlineStr"/>
      <c r="G20" s="15" t="inlineStr"/>
      <c r="H20" s="15" t="inlineStr"/>
      <c r="I20" s="15">
        <f>F20+G20+H20</f>
        <v/>
      </c>
      <c r="J20" s="15" t="inlineStr"/>
      <c r="K20" s="14" t="inlineStr"/>
      <c r="L20" s="14" t="inlineStr"/>
    </row>
    <row r="21" ht="20" customHeight="1">
      <c r="A21" s="17" t="inlineStr">
        <is>
          <t>SUBTOTAL – B. POWER WIRING</t>
        </is>
      </c>
      <c r="B21" s="61" t="n"/>
      <c r="C21" s="61" t="n"/>
      <c r="D21" s="61" t="n"/>
      <c r="E21" s="61" t="n"/>
      <c r="F21" s="61" t="n"/>
      <c r="G21" s="61" t="n"/>
      <c r="H21" s="61" t="n"/>
      <c r="I21" s="62" t="n"/>
      <c r="J21" s="18">
        <f>SUM(J15:J21)</f>
        <v/>
      </c>
      <c r="K21" s="19" t="n"/>
      <c r="L21" s="19" t="n"/>
    </row>
    <row r="23" ht="18" customHeight="1">
      <c r="A23" s="20" t="inlineStr"/>
      <c r="B23" s="21" t="inlineStr">
        <is>
          <t>C. LIGHTING</t>
        </is>
      </c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2" t="n"/>
    </row>
    <row r="24" ht="18" customHeight="1">
      <c r="A24" s="3" t="inlineStr">
        <is>
          <t>05.C.01</t>
        </is>
      </c>
      <c r="B24" s="11" t="inlineStr">
        <is>
          <t>LED panel light 60x60cm (recessed) - as schedule</t>
        </is>
      </c>
      <c r="C24" s="3" t="inlineStr">
        <is>
          <t>EN 60598</t>
        </is>
      </c>
      <c r="D24" s="3" t="inlineStr">
        <is>
          <t>No</t>
        </is>
      </c>
      <c r="E24" s="3" t="inlineStr"/>
      <c r="F24" s="12" t="inlineStr"/>
      <c r="G24" s="12" t="inlineStr"/>
      <c r="H24" s="12" t="inlineStr"/>
      <c r="I24" s="12">
        <f>F24+G24+H24</f>
        <v/>
      </c>
      <c r="J24" s="12" t="inlineStr"/>
      <c r="K24" s="11" t="inlineStr"/>
      <c r="L24" s="11" t="inlineStr"/>
    </row>
    <row r="25" ht="18" customHeight="1">
      <c r="A25" s="7" t="inlineStr">
        <is>
          <t>05.C.02</t>
        </is>
      </c>
      <c r="B25" s="14" t="inlineStr">
        <is>
          <t>LED downlight (recessed, as schedule)</t>
        </is>
      </c>
      <c r="C25" s="7" t="inlineStr">
        <is>
          <t>EN 60598</t>
        </is>
      </c>
      <c r="D25" s="7" t="inlineStr">
        <is>
          <t>No</t>
        </is>
      </c>
      <c r="E25" s="7" t="inlineStr"/>
      <c r="F25" s="15" t="inlineStr"/>
      <c r="G25" s="15" t="inlineStr"/>
      <c r="H25" s="15" t="inlineStr"/>
      <c r="I25" s="15">
        <f>F25+G25+H25</f>
        <v/>
      </c>
      <c r="J25" s="15" t="inlineStr"/>
      <c r="K25" s="14" t="inlineStr"/>
      <c r="L25" s="14" t="inlineStr"/>
    </row>
    <row r="26" ht="18" customHeight="1">
      <c r="A26" s="3" t="inlineStr">
        <is>
          <t>05.C.03</t>
        </is>
      </c>
      <c r="B26" s="11" t="inlineStr">
        <is>
          <t>LED batten fitting IP65 (plant rooms / toilets)</t>
        </is>
      </c>
      <c r="C26" s="3" t="inlineStr">
        <is>
          <t>EN 60598</t>
        </is>
      </c>
      <c r="D26" s="3" t="inlineStr">
        <is>
          <t>No</t>
        </is>
      </c>
      <c r="E26" s="3" t="inlineStr"/>
      <c r="F26" s="12" t="inlineStr"/>
      <c r="G26" s="12" t="inlineStr"/>
      <c r="H26" s="12" t="inlineStr"/>
      <c r="I26" s="12">
        <f>F26+G26+H26</f>
        <v/>
      </c>
      <c r="J26" s="12" t="inlineStr"/>
      <c r="K26" s="11" t="inlineStr"/>
      <c r="L26" s="11" t="inlineStr"/>
    </row>
    <row r="27" ht="18" customHeight="1">
      <c r="A27" s="7" t="inlineStr">
        <is>
          <t>05.C.04</t>
        </is>
      </c>
      <c r="B27" s="14" t="inlineStr">
        <is>
          <t>LED exterior wall/flood light - as schedule</t>
        </is>
      </c>
      <c r="C27" s="7" t="inlineStr">
        <is>
          <t>EN 60598</t>
        </is>
      </c>
      <c r="D27" s="7" t="inlineStr">
        <is>
          <t>No</t>
        </is>
      </c>
      <c r="E27" s="7" t="inlineStr"/>
      <c r="F27" s="15" t="inlineStr"/>
      <c r="G27" s="15" t="inlineStr"/>
      <c r="H27" s="15" t="inlineStr"/>
      <c r="I27" s="15">
        <f>F27+G27+H27</f>
        <v/>
      </c>
      <c r="J27" s="15" t="inlineStr"/>
      <c r="K27" s="14" t="inlineStr"/>
      <c r="L27" s="14" t="inlineStr"/>
    </row>
    <row r="28" ht="18" customHeight="1">
      <c r="A28" s="3" t="inlineStr">
        <is>
          <t>05.C.05</t>
        </is>
      </c>
      <c r="B28" s="11" t="inlineStr">
        <is>
          <t>Emergency exit / maintained emergency luminaire</t>
        </is>
      </c>
      <c r="C28" s="3" t="inlineStr">
        <is>
          <t>BS EN 1838</t>
        </is>
      </c>
      <c r="D28" s="3" t="inlineStr">
        <is>
          <t>No</t>
        </is>
      </c>
      <c r="E28" s="3" t="inlineStr"/>
      <c r="F28" s="12" t="inlineStr"/>
      <c r="G28" s="12" t="inlineStr"/>
      <c r="H28" s="12" t="inlineStr"/>
      <c r="I28" s="12">
        <f>F28+G28+H28</f>
        <v/>
      </c>
      <c r="J28" s="12" t="inlineStr"/>
      <c r="K28" s="11" t="inlineStr"/>
      <c r="L28" s="11" t="inlineStr"/>
    </row>
    <row r="29" ht="18" customHeight="1">
      <c r="A29" s="7" t="inlineStr">
        <is>
          <t>05.C.06</t>
        </is>
      </c>
      <c r="B29" s="14" t="inlineStr">
        <is>
          <t>Light switch (1-gang, 2-gang, 3-gang) - as schedule</t>
        </is>
      </c>
      <c r="C29" s="7" t="inlineStr">
        <is>
          <t>BS 3676</t>
        </is>
      </c>
      <c r="D29" s="7" t="inlineStr">
        <is>
          <t>No</t>
        </is>
      </c>
      <c r="E29" s="7" t="inlineStr"/>
      <c r="F29" s="15" t="inlineStr"/>
      <c r="G29" s="15" t="inlineStr"/>
      <c r="H29" s="15" t="inlineStr"/>
      <c r="I29" s="15">
        <f>F29+G29+H29</f>
        <v/>
      </c>
      <c r="J29" s="15" t="inlineStr"/>
      <c r="K29" s="14" t="inlineStr"/>
      <c r="L29" s="14" t="inlineStr"/>
    </row>
    <row r="30" ht="18" customHeight="1">
      <c r="A30" s="3" t="inlineStr">
        <is>
          <t>05.C.07</t>
        </is>
      </c>
      <c r="B30" s="11" t="inlineStr">
        <is>
          <t>Lighting circuit wiring - 2.5mm2 twin &amp; earth in conduit</t>
        </is>
      </c>
      <c r="C30" s="3" t="inlineStr">
        <is>
          <t>IEC 60364</t>
        </is>
      </c>
      <c r="D30" s="3" t="inlineStr">
        <is>
          <t>No</t>
        </is>
      </c>
      <c r="E30" s="3" t="inlineStr"/>
      <c r="F30" s="12" t="inlineStr"/>
      <c r="G30" s="12" t="inlineStr"/>
      <c r="H30" s="12" t="inlineStr"/>
      <c r="I30" s="12">
        <f>F30+G30+H30</f>
        <v/>
      </c>
      <c r="J30" s="12" t="inlineStr"/>
      <c r="K30" s="11" t="inlineStr"/>
      <c r="L30" s="11" t="inlineStr"/>
    </row>
    <row r="31" ht="18" customHeight="1">
      <c r="A31" s="7" t="inlineStr">
        <is>
          <t>05.C.08</t>
        </is>
      </c>
      <c r="B31" s="14" t="inlineStr">
        <is>
          <t>DALI lighting control module / scene controller</t>
        </is>
      </c>
      <c r="C31" s="7" t="inlineStr">
        <is>
          <t>IEC 62386</t>
        </is>
      </c>
      <c r="D31" s="7" t="inlineStr">
        <is>
          <t>No</t>
        </is>
      </c>
      <c r="E31" s="7" t="inlineStr"/>
      <c r="F31" s="15" t="inlineStr"/>
      <c r="G31" s="15" t="inlineStr"/>
      <c r="H31" s="15" t="inlineStr"/>
      <c r="I31" s="15">
        <f>F31+G31+H31</f>
        <v/>
      </c>
      <c r="J31" s="15" t="inlineStr"/>
      <c r="K31" s="14" t="inlineStr"/>
      <c r="L31" s="14" t="inlineStr"/>
    </row>
    <row r="32" ht="20" customHeight="1">
      <c r="A32" s="17" t="inlineStr">
        <is>
          <t>SUBTOTAL – C. LIGHTING</t>
        </is>
      </c>
      <c r="B32" s="61" t="n"/>
      <c r="C32" s="61" t="n"/>
      <c r="D32" s="61" t="n"/>
      <c r="E32" s="61" t="n"/>
      <c r="F32" s="61" t="n"/>
      <c r="G32" s="61" t="n"/>
      <c r="H32" s="61" t="n"/>
      <c r="I32" s="62" t="n"/>
      <c r="J32" s="18">
        <f>SUM(J24:J32)</f>
        <v/>
      </c>
      <c r="K32" s="19" t="n"/>
      <c r="L32" s="19" t="n"/>
    </row>
    <row r="34" ht="18" customHeight="1">
      <c r="A34" s="20" t="inlineStr"/>
      <c r="B34" s="21" t="inlineStr">
        <is>
          <t>D. ELV SYSTEMS</t>
        </is>
      </c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2" t="n"/>
    </row>
    <row r="35" ht="18" customHeight="1">
      <c r="A35" s="3" t="inlineStr">
        <is>
          <t>05.D.01</t>
        </is>
      </c>
      <c r="B35" s="11" t="inlineStr">
        <is>
          <t>Structured cabling Cat6A (UTP) - data outlets and patch panels</t>
        </is>
      </c>
      <c r="C35" s="3" t="inlineStr">
        <is>
          <t>TIA-568</t>
        </is>
      </c>
      <c r="D35" s="3" t="inlineStr">
        <is>
          <t>No</t>
        </is>
      </c>
      <c r="E35" s="3" t="inlineStr"/>
      <c r="F35" s="12" t="inlineStr"/>
      <c r="G35" s="12" t="inlineStr"/>
      <c r="H35" s="12" t="inlineStr"/>
      <c r="I35" s="12">
        <f>F35+G35+H35</f>
        <v/>
      </c>
      <c r="J35" s="12" t="inlineStr"/>
      <c r="K35" s="11" t="inlineStr"/>
      <c r="L35" s="11" t="inlineStr"/>
    </row>
    <row r="36" ht="18" customHeight="1">
      <c r="A36" s="7" t="inlineStr">
        <is>
          <t>05.D.02</t>
        </is>
      </c>
      <c r="B36" s="14" t="inlineStr">
        <is>
          <t>Fibre optic backbone - multimode 12-core</t>
        </is>
      </c>
      <c r="C36" s="7" t="inlineStr">
        <is>
          <t>ISO 11801</t>
        </is>
      </c>
      <c r="D36" s="7" t="inlineStr">
        <is>
          <t>LM</t>
        </is>
      </c>
      <c r="E36" s="7" t="inlineStr"/>
      <c r="F36" s="15" t="inlineStr"/>
      <c r="G36" s="15" t="inlineStr"/>
      <c r="H36" s="15" t="inlineStr"/>
      <c r="I36" s="15">
        <f>F36+G36+H36</f>
        <v/>
      </c>
      <c r="J36" s="15" t="inlineStr"/>
      <c r="K36" s="14" t="inlineStr"/>
      <c r="L36" s="14" t="inlineStr"/>
    </row>
    <row r="37" ht="18" customHeight="1">
      <c r="A37" s="3" t="inlineStr">
        <is>
          <t>05.D.03</t>
        </is>
      </c>
      <c r="B37" s="11" t="inlineStr">
        <is>
          <t>Network rack / cabinet (42U, with PDU and patch panels)</t>
        </is>
      </c>
      <c r="C37" s="3" t="inlineStr">
        <is>
          <t>TIA-942</t>
        </is>
      </c>
      <c r="D37" s="3" t="inlineStr">
        <is>
          <t>No</t>
        </is>
      </c>
      <c r="E37" s="3" t="inlineStr"/>
      <c r="F37" s="12" t="inlineStr"/>
      <c r="G37" s="12" t="inlineStr"/>
      <c r="H37" s="12" t="inlineStr"/>
      <c r="I37" s="12">
        <f>F37+G37+H37</f>
        <v/>
      </c>
      <c r="J37" s="12" t="inlineStr"/>
      <c r="K37" s="11" t="inlineStr"/>
      <c r="L37" s="11" t="inlineStr"/>
    </row>
    <row r="38" ht="18" customHeight="1">
      <c r="A38" s="7" t="inlineStr">
        <is>
          <t>05.D.04</t>
        </is>
      </c>
      <c r="B38" s="14" t="inlineStr">
        <is>
          <t>CCTV - IP camera (indoor / outdoor as schedule)</t>
        </is>
      </c>
      <c r="C38" s="7" t="inlineStr">
        <is>
          <t>BS EN 50132</t>
        </is>
      </c>
      <c r="D38" s="7" t="inlineStr">
        <is>
          <t>No</t>
        </is>
      </c>
      <c r="E38" s="7" t="inlineStr"/>
      <c r="F38" s="15" t="inlineStr"/>
      <c r="G38" s="15" t="inlineStr"/>
      <c r="H38" s="15" t="inlineStr"/>
      <c r="I38" s="15">
        <f>F38+G38+H38</f>
        <v/>
      </c>
      <c r="J38" s="15" t="inlineStr"/>
      <c r="K38" s="14" t="inlineStr"/>
      <c r="L38" s="14" t="inlineStr"/>
    </row>
    <row r="39" ht="18" customHeight="1">
      <c r="A39" s="3" t="inlineStr">
        <is>
          <t>05.D.05</t>
        </is>
      </c>
      <c r="B39" s="11" t="inlineStr">
        <is>
          <t>CCTV - NVR (16/32 channel), monitor and cabling</t>
        </is>
      </c>
      <c r="C39" s="3" t="inlineStr">
        <is>
          <t>BS EN 50132</t>
        </is>
      </c>
      <c r="D39" s="3" t="inlineStr">
        <is>
          <t>LS</t>
        </is>
      </c>
      <c r="E39" s="3" t="inlineStr"/>
      <c r="F39" s="12" t="inlineStr"/>
      <c r="G39" s="12" t="inlineStr"/>
      <c r="H39" s="12" t="inlineStr"/>
      <c r="I39" s="12">
        <f>F39+G39+H39</f>
        <v/>
      </c>
      <c r="J39" s="12" t="inlineStr"/>
      <c r="K39" s="11" t="inlineStr"/>
      <c r="L39" s="11" t="inlineStr"/>
    </row>
    <row r="40" ht="18" customHeight="1">
      <c r="A40" s="7" t="inlineStr">
        <is>
          <t>05.D.06</t>
        </is>
      </c>
      <c r="B40" s="14" t="inlineStr">
        <is>
          <t>Access Control - card reader, controller, door strike</t>
        </is>
      </c>
      <c r="C40" s="7" t="inlineStr">
        <is>
          <t>BS EN 60839</t>
        </is>
      </c>
      <c r="D40" s="7" t="inlineStr">
        <is>
          <t>No</t>
        </is>
      </c>
      <c r="E40" s="7" t="inlineStr"/>
      <c r="F40" s="15" t="inlineStr"/>
      <c r="G40" s="15" t="inlineStr"/>
      <c r="H40" s="15" t="inlineStr"/>
      <c r="I40" s="15">
        <f>F40+G40+H40</f>
        <v/>
      </c>
      <c r="J40" s="15" t="inlineStr"/>
      <c r="K40" s="14" t="inlineStr"/>
      <c r="L40" s="14" t="inlineStr"/>
    </row>
    <row r="41" ht="18" customHeight="1">
      <c r="A41" s="3" t="inlineStr">
        <is>
          <t>05.D.07</t>
        </is>
      </c>
      <c r="B41" s="11" t="inlineStr">
        <is>
          <t>Intercom / video door entry system</t>
        </is>
      </c>
      <c r="C41" s="3" t="inlineStr">
        <is>
          <t>BS EN 60839</t>
        </is>
      </c>
      <c r="D41" s="3" t="inlineStr">
        <is>
          <t>LS</t>
        </is>
      </c>
      <c r="E41" s="3" t="inlineStr"/>
      <c r="F41" s="12" t="inlineStr"/>
      <c r="G41" s="12" t="inlineStr"/>
      <c r="H41" s="12" t="inlineStr"/>
      <c r="I41" s="12">
        <f>F41+G41+H41</f>
        <v/>
      </c>
      <c r="J41" s="12" t="inlineStr"/>
      <c r="K41" s="11" t="inlineStr"/>
      <c r="L41" s="11" t="inlineStr"/>
    </row>
    <row r="42" ht="18" customHeight="1">
      <c r="A42" s="7" t="inlineStr">
        <is>
          <t>05.D.08</t>
        </is>
      </c>
      <c r="B42" s="14" t="inlineStr">
        <is>
          <t>Fire alarm - addressable system (panel, detectors, MCP, bells)</t>
        </is>
      </c>
      <c r="C42" s="7" t="inlineStr">
        <is>
          <t>BS EN 54</t>
        </is>
      </c>
      <c r="D42" s="7" t="inlineStr">
        <is>
          <t>LS</t>
        </is>
      </c>
      <c r="E42" s="7" t="inlineStr"/>
      <c r="F42" s="15" t="inlineStr"/>
      <c r="G42" s="15" t="inlineStr"/>
      <c r="H42" s="15" t="inlineStr"/>
      <c r="I42" s="15">
        <f>F42+G42+H42</f>
        <v/>
      </c>
      <c r="J42" s="15" t="inlineStr"/>
      <c r="K42" s="14" t="inlineStr"/>
      <c r="L42" s="14" t="inlineStr"/>
    </row>
    <row r="43" ht="18" customHeight="1">
      <c r="A43" s="3" t="inlineStr">
        <is>
          <t>05.D.09</t>
        </is>
      </c>
      <c r="B43" s="11" t="inlineStr">
        <is>
          <t>PA / voice evacuation system</t>
        </is>
      </c>
      <c r="C43" s="3" t="inlineStr">
        <is>
          <t>IEC 60849</t>
        </is>
      </c>
      <c r="D43" s="3" t="inlineStr">
        <is>
          <t>LS</t>
        </is>
      </c>
      <c r="E43" s="3" t="inlineStr"/>
      <c r="F43" s="12" t="inlineStr"/>
      <c r="G43" s="12" t="inlineStr"/>
      <c r="H43" s="12" t="inlineStr"/>
      <c r="I43" s="12">
        <f>F43+G43+H43</f>
        <v/>
      </c>
      <c r="J43" s="12" t="inlineStr"/>
      <c r="K43" s="11" t="inlineStr"/>
      <c r="L43" s="11" t="inlineStr"/>
    </row>
    <row r="44" ht="18" customHeight="1">
      <c r="A44" s="7" t="inlineStr">
        <is>
          <t>05.D.10</t>
        </is>
      </c>
      <c r="B44" s="14" t="inlineStr">
        <is>
          <t>Nurse call / duress alarm system (if applicable)</t>
        </is>
      </c>
      <c r="C44" s="7" t="inlineStr">
        <is>
          <t>IEC 60601</t>
        </is>
      </c>
      <c r="D44" s="7" t="inlineStr">
        <is>
          <t>LS</t>
        </is>
      </c>
      <c r="E44" s="7" t="inlineStr"/>
      <c r="F44" s="15" t="inlineStr"/>
      <c r="G44" s="15" t="inlineStr"/>
      <c r="H44" s="15" t="inlineStr"/>
      <c r="I44" s="15">
        <f>F44+G44+H44</f>
        <v/>
      </c>
      <c r="J44" s="15" t="inlineStr"/>
      <c r="K44" s="14" t="inlineStr"/>
      <c r="L44" s="14" t="inlineStr"/>
    </row>
    <row r="45" ht="18" customHeight="1">
      <c r="A45" s="3" t="inlineStr">
        <is>
          <t>05.D.11</t>
        </is>
      </c>
      <c r="B45" s="11" t="inlineStr">
        <is>
          <t>Lightning protection system - ESE/traditional (risk assessed)</t>
        </is>
      </c>
      <c r="C45" s="3" t="inlineStr">
        <is>
          <t>IEC 62305</t>
        </is>
      </c>
      <c r="D45" s="3" t="inlineStr">
        <is>
          <t>LS</t>
        </is>
      </c>
      <c r="E45" s="3" t="inlineStr"/>
      <c r="F45" s="12" t="inlineStr"/>
      <c r="G45" s="12" t="inlineStr"/>
      <c r="H45" s="12" t="inlineStr"/>
      <c r="I45" s="12">
        <f>F45+G45+H45</f>
        <v/>
      </c>
      <c r="J45" s="12" t="inlineStr"/>
      <c r="K45" s="11" t="inlineStr"/>
      <c r="L45" s="11" t="inlineStr"/>
    </row>
    <row r="46" ht="20" customHeight="1">
      <c r="A46" s="17" t="inlineStr">
        <is>
          <t>SUBTOTAL – D. ELV SYSTEMS</t>
        </is>
      </c>
      <c r="B46" s="61" t="n"/>
      <c r="C46" s="61" t="n"/>
      <c r="D46" s="61" t="n"/>
      <c r="E46" s="61" t="n"/>
      <c r="F46" s="61" t="n"/>
      <c r="G46" s="61" t="n"/>
      <c r="H46" s="61" t="n"/>
      <c r="I46" s="62" t="n"/>
      <c r="J46" s="18">
        <f>SUM(J35:J46)</f>
        <v/>
      </c>
      <c r="K46" s="19" t="n"/>
      <c r="L46" s="19" t="n"/>
    </row>
  </sheetData>
  <mergeCells count="9">
    <mergeCell ref="A46:I46"/>
    <mergeCell ref="A32:I32"/>
    <mergeCell ref="A1:L1"/>
    <mergeCell ref="B3:L3"/>
    <mergeCell ref="B34:L34"/>
    <mergeCell ref="B14:L14"/>
    <mergeCell ref="A12:I12"/>
    <mergeCell ref="B23:L23"/>
    <mergeCell ref="A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  <col width="14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2" customWidth="1" min="11" max="11"/>
    <col width="18" customWidth="1" min="12" max="12"/>
  </cols>
  <sheetData>
    <row r="1" ht="22" customHeight="1">
      <c r="A1" s="1" t="inlineStr">
        <is>
          <t>DIVISION 04  –  MECHANICAL WORKS  (HVAC, PLUMBING, FIREFIGHTING)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60" t="inlineStr">
        <is>
          <t>Qty  [HVC_DUCT_AREA_SQ_M | PLM_PPE_LENGTH_M | PLM_DRN_PPE_LENGTH_M | ASS_CST_QUANTITY_NR]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60" t="inlineStr">
        <is>
          <t>Amount  [ASS_CST_TOTAL_UGX_NR | FLS_SUPPRESSION_COST_UGX | FLS_DETECTION_COST_UGX]</t>
        </is>
      </c>
      <c r="K2" s="60" t="inlineStr">
        <is>
          <t>Notes / Spec Compliance  [HVC_CAP_KW | HVC_CAP_TR | HVC_REFRIGERANT_TXT | HVC_DUCT_CLASS_TXT | HVC_DCT_MAT_TXT | PLM_PPE_MAT_TXT | PLM_PPE_SZ_MM | PLM_PPE_LENGTH_M | FLS_PROT_SPRINKLER_HED_TYPE_TXT | FLS_SFTY_K_FACTOR_NR | FLS_SFTY_TEMP_RATING_C | PLM_VLV_BODY_MAT_TXT | PLM_VLV_PSR_CLASS_TXT]</t>
        </is>
      </c>
      <c r="L2" s="60" t="inlineStr">
        <is>
          <t>BIM Tag / STING ID  [HVC_EQP_TAG_01_TXT | HVC_EQP_TAG_02_TXT | HVC_DCT_TAG_01_TXT | PLM_EQP_TAG_01_TXT | FLS_DEV_TAG_01_TXT | ASS_TAG_1_TXT]</t>
        </is>
      </c>
    </row>
    <row r="3" ht="18" customHeight="1">
      <c r="A3" s="20" t="inlineStr"/>
      <c r="B3" s="21" t="inlineStr">
        <is>
          <t>A. HVAC WORKS</t>
        </is>
      </c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2" t="n"/>
    </row>
    <row r="4" ht="18" customHeight="1">
      <c r="A4" s="3" t="inlineStr">
        <is>
          <t>04.A.01</t>
        </is>
      </c>
      <c r="B4" s="11" t="inlineStr">
        <is>
          <t>Supply, install, test &amp; commission Central Air Handling Unit (AHU)</t>
        </is>
      </c>
      <c r="C4" s="3" t="inlineStr">
        <is>
          <t>ASHRAE 90.1</t>
        </is>
      </c>
      <c r="D4" s="3" t="inlineStr">
        <is>
          <t>No</t>
        </is>
      </c>
      <c r="E4" s="3" t="inlineStr"/>
      <c r="F4" s="12" t="inlineStr"/>
      <c r="G4" s="12" t="inlineStr"/>
      <c r="H4" s="12" t="inlineStr"/>
      <c r="I4" s="12">
        <f>F4+G4+H4</f>
        <v/>
      </c>
      <c r="J4" s="12" t="inlineStr"/>
      <c r="K4" s="11" t="inlineStr"/>
      <c r="L4" s="11" t="inlineStr"/>
    </row>
    <row r="5" ht="18" customHeight="1">
      <c r="A5" s="7" t="inlineStr">
        <is>
          <t>04.A.02</t>
        </is>
      </c>
      <c r="B5" s="14" t="inlineStr">
        <is>
          <t>Supply &amp; install Fan Coil Unit (FCU) - ceiling concealed type</t>
        </is>
      </c>
      <c r="C5" s="7" t="inlineStr">
        <is>
          <t>ASHRAE 62.1</t>
        </is>
      </c>
      <c r="D5" s="7" t="inlineStr">
        <is>
          <t>No</t>
        </is>
      </c>
      <c r="E5" s="7" t="inlineStr"/>
      <c r="F5" s="15" t="inlineStr"/>
      <c r="G5" s="15" t="inlineStr"/>
      <c r="H5" s="15" t="inlineStr"/>
      <c r="I5" s="15">
        <f>F5+G5+H5</f>
        <v/>
      </c>
      <c r="J5" s="15" t="inlineStr"/>
      <c r="K5" s="14" t="inlineStr"/>
      <c r="L5" s="14" t="inlineStr"/>
    </row>
    <row r="6" ht="18" customHeight="1">
      <c r="A6" s="3" t="inlineStr">
        <is>
          <t>04.A.03</t>
        </is>
      </c>
      <c r="B6" s="11" t="inlineStr">
        <is>
          <t>Supply &amp; install VRF/VRV outdoor condensing unit</t>
        </is>
      </c>
      <c r="C6" s="3" t="inlineStr">
        <is>
          <t>ISO 13256</t>
        </is>
      </c>
      <c r="D6" s="3" t="inlineStr">
        <is>
          <t>No</t>
        </is>
      </c>
      <c r="E6" s="3" t="inlineStr"/>
      <c r="F6" s="12" t="inlineStr"/>
      <c r="G6" s="12" t="inlineStr"/>
      <c r="H6" s="12" t="inlineStr"/>
      <c r="I6" s="12">
        <f>F6+G6+H6</f>
        <v/>
      </c>
      <c r="J6" s="12" t="inlineStr"/>
      <c r="K6" s="11" t="inlineStr"/>
      <c r="L6" s="11" t="inlineStr"/>
    </row>
    <row r="7" ht="18" customHeight="1">
      <c r="A7" s="7" t="inlineStr">
        <is>
          <t>04.A.04</t>
        </is>
      </c>
      <c r="B7" s="14" t="inlineStr">
        <is>
          <t>Supply &amp; install VRF indoor unit - ducted/cassette</t>
        </is>
      </c>
      <c r="C7" s="7" t="inlineStr">
        <is>
          <t>ISO 13256</t>
        </is>
      </c>
      <c r="D7" s="7" t="inlineStr">
        <is>
          <t>No</t>
        </is>
      </c>
      <c r="E7" s="7" t="inlineStr"/>
      <c r="F7" s="15" t="inlineStr"/>
      <c r="G7" s="15" t="inlineStr"/>
      <c r="H7" s="15" t="inlineStr"/>
      <c r="I7" s="15">
        <f>F7+G7+H7</f>
        <v/>
      </c>
      <c r="J7" s="15" t="inlineStr"/>
      <c r="K7" s="14" t="inlineStr"/>
      <c r="L7" s="14" t="inlineStr"/>
    </row>
    <row r="8" ht="18" customHeight="1">
      <c r="A8" s="3" t="inlineStr">
        <is>
          <t>04.A.05</t>
        </is>
      </c>
      <c r="B8" s="11" t="inlineStr">
        <is>
          <t>Galvanised steel ductwork (supply/return) - including insulation</t>
        </is>
      </c>
      <c r="C8" s="3" t="inlineStr">
        <is>
          <t>SMACNA</t>
        </is>
      </c>
      <c r="D8" s="3" t="inlineStr">
        <is>
          <t>kg</t>
        </is>
      </c>
      <c r="E8" s="3" t="inlineStr"/>
      <c r="F8" s="12" t="inlineStr"/>
      <c r="G8" s="12" t="inlineStr"/>
      <c r="H8" s="12" t="inlineStr"/>
      <c r="I8" s="12">
        <f>F8+G8+H8</f>
        <v/>
      </c>
      <c r="J8" s="12" t="inlineStr"/>
      <c r="K8" s="11" t="inlineStr"/>
      <c r="L8" s="11" t="inlineStr"/>
    </row>
    <row r="9" ht="18" customHeight="1">
      <c r="A9" s="7" t="inlineStr">
        <is>
          <t>04.A.06</t>
        </is>
      </c>
      <c r="B9" s="14" t="inlineStr">
        <is>
          <t>Flexible ducting connections 150-350mm dia, max 1.5m</t>
        </is>
      </c>
      <c r="C9" s="7" t="inlineStr">
        <is>
          <t>SMACNA</t>
        </is>
      </c>
      <c r="D9" s="7" t="inlineStr">
        <is>
          <t>No</t>
        </is>
      </c>
      <c r="E9" s="7" t="inlineStr"/>
      <c r="F9" s="15" t="inlineStr"/>
      <c r="G9" s="15" t="inlineStr"/>
      <c r="H9" s="15" t="inlineStr"/>
      <c r="I9" s="15">
        <f>F9+G9+H9</f>
        <v/>
      </c>
      <c r="J9" s="15" t="inlineStr"/>
      <c r="K9" s="14" t="inlineStr"/>
      <c r="L9" s="14" t="inlineStr"/>
    </row>
    <row r="10" ht="18" customHeight="1">
      <c r="A10" s="3" t="inlineStr">
        <is>
          <t>04.A.07</t>
        </is>
      </c>
      <c r="B10" s="11" t="inlineStr">
        <is>
          <t>Supply air diffuser - square/linear (as schedule)</t>
        </is>
      </c>
      <c r="C10" s="3" t="inlineStr">
        <is>
          <t>ASHRAE 70</t>
        </is>
      </c>
      <c r="D10" s="3" t="inlineStr">
        <is>
          <t>No</t>
        </is>
      </c>
      <c r="E10" s="3" t="inlineStr"/>
      <c r="F10" s="12" t="inlineStr"/>
      <c r="G10" s="12" t="inlineStr"/>
      <c r="H10" s="12" t="inlineStr"/>
      <c r="I10" s="12">
        <f>F10+G10+H10</f>
        <v/>
      </c>
      <c r="J10" s="12" t="inlineStr"/>
      <c r="K10" s="11" t="inlineStr"/>
      <c r="L10" s="11" t="inlineStr"/>
    </row>
    <row r="11" ht="18" customHeight="1">
      <c r="A11" s="7" t="inlineStr">
        <is>
          <t>04.A.08</t>
        </is>
      </c>
      <c r="B11" s="14" t="inlineStr">
        <is>
          <t>Return air grille (egg-crate / louvred)</t>
        </is>
      </c>
      <c r="C11" s="7" t="inlineStr">
        <is>
          <t>ASHRAE 70</t>
        </is>
      </c>
      <c r="D11" s="7" t="inlineStr">
        <is>
          <t>No</t>
        </is>
      </c>
      <c r="E11" s="7" t="inlineStr"/>
      <c r="F11" s="15" t="inlineStr"/>
      <c r="G11" s="15" t="inlineStr"/>
      <c r="H11" s="15" t="inlineStr"/>
      <c r="I11" s="15">
        <f>F11+G11+H11</f>
        <v/>
      </c>
      <c r="J11" s="15" t="inlineStr"/>
      <c r="K11" s="14" t="inlineStr"/>
      <c r="L11" s="14" t="inlineStr"/>
    </row>
    <row r="12" ht="18" customHeight="1">
      <c r="A12" s="3" t="inlineStr">
        <is>
          <t>04.A.09</t>
        </is>
      </c>
      <c r="B12" s="11" t="inlineStr">
        <is>
          <t>Volume control damper (manual / motorised)</t>
        </is>
      </c>
      <c r="C12" s="3" t="inlineStr">
        <is>
          <t>SMACNA</t>
        </is>
      </c>
      <c r="D12" s="3" t="inlineStr">
        <is>
          <t>No</t>
        </is>
      </c>
      <c r="E12" s="3" t="inlineStr"/>
      <c r="F12" s="12" t="inlineStr"/>
      <c r="G12" s="12" t="inlineStr"/>
      <c r="H12" s="12" t="inlineStr"/>
      <c r="I12" s="12">
        <f>F12+G12+H12</f>
        <v/>
      </c>
      <c r="J12" s="12" t="inlineStr"/>
      <c r="K12" s="11" t="inlineStr"/>
      <c r="L12" s="11" t="inlineStr"/>
    </row>
    <row r="13" ht="18" customHeight="1">
      <c r="A13" s="7" t="inlineStr">
        <is>
          <t>04.A.10</t>
        </is>
      </c>
      <c r="B13" s="14" t="inlineStr">
        <is>
          <t>Fire damper - fusible link / motorised (UL listed)</t>
        </is>
      </c>
      <c r="C13" s="7" t="inlineStr">
        <is>
          <t>NFPA 90A</t>
        </is>
      </c>
      <c r="D13" s="7" t="inlineStr">
        <is>
          <t>No</t>
        </is>
      </c>
      <c r="E13" s="7" t="inlineStr"/>
      <c r="F13" s="15" t="inlineStr"/>
      <c r="G13" s="15" t="inlineStr"/>
      <c r="H13" s="15" t="inlineStr"/>
      <c r="I13" s="15">
        <f>F13+G13+H13</f>
        <v/>
      </c>
      <c r="J13" s="15" t="inlineStr"/>
      <c r="K13" s="14" t="inlineStr"/>
      <c r="L13" s="14" t="inlineStr"/>
    </row>
    <row r="14" ht="18" customHeight="1">
      <c r="A14" s="3" t="inlineStr">
        <is>
          <t>04.A.11</t>
        </is>
      </c>
      <c r="B14" s="11" t="inlineStr">
        <is>
          <t>Exhaust / extract fan - centrifugal inline, as schedule</t>
        </is>
      </c>
      <c r="C14" s="3" t="inlineStr">
        <is>
          <t>BS EN ISO 5801</t>
        </is>
      </c>
      <c r="D14" s="3" t="inlineStr">
        <is>
          <t>No</t>
        </is>
      </c>
      <c r="E14" s="3" t="inlineStr"/>
      <c r="F14" s="12" t="inlineStr"/>
      <c r="G14" s="12" t="inlineStr"/>
      <c r="H14" s="12" t="inlineStr"/>
      <c r="I14" s="12">
        <f>F14+G14+H14</f>
        <v/>
      </c>
      <c r="J14" s="12" t="inlineStr"/>
      <c r="K14" s="11" t="inlineStr"/>
      <c r="L14" s="11" t="inlineStr"/>
    </row>
    <row r="15" ht="18" customHeight="1">
      <c r="A15" s="7" t="inlineStr">
        <is>
          <t>04.A.12</t>
        </is>
      </c>
      <c r="B15" s="14" t="inlineStr">
        <is>
          <t>BMS/DDC controls - sensors, controllers and wiring for HVAC</t>
        </is>
      </c>
      <c r="C15" s="7" t="inlineStr">
        <is>
          <t>ASHRAE 135</t>
        </is>
      </c>
      <c r="D15" s="7" t="inlineStr">
        <is>
          <t>LS</t>
        </is>
      </c>
      <c r="E15" s="7" t="inlineStr"/>
      <c r="F15" s="15" t="inlineStr"/>
      <c r="G15" s="15" t="inlineStr"/>
      <c r="H15" s="15" t="inlineStr"/>
      <c r="I15" s="15">
        <f>F15+G15+H15</f>
        <v/>
      </c>
      <c r="J15" s="15" t="inlineStr"/>
      <c r="K15" s="14" t="inlineStr"/>
      <c r="L15" s="14" t="inlineStr"/>
    </row>
    <row r="16" ht="18" customHeight="1">
      <c r="A16" s="3" t="inlineStr">
        <is>
          <t>04.A.13</t>
        </is>
      </c>
      <c r="B16" s="11" t="inlineStr">
        <is>
          <t>Refrigerant piping (copper, insulated) - complete system</t>
        </is>
      </c>
      <c r="C16" s="3" t="inlineStr">
        <is>
          <t>ASHRAE 15</t>
        </is>
      </c>
      <c r="D16" s="3" t="inlineStr">
        <is>
          <t>LM</t>
        </is>
      </c>
      <c r="E16" s="3" t="inlineStr"/>
      <c r="F16" s="12" t="inlineStr"/>
      <c r="G16" s="12" t="inlineStr"/>
      <c r="H16" s="12" t="inlineStr"/>
      <c r="I16" s="12">
        <f>F16+G16+H16</f>
        <v/>
      </c>
      <c r="J16" s="12" t="inlineStr"/>
      <c r="K16" s="11" t="inlineStr"/>
      <c r="L16" s="11" t="inlineStr"/>
    </row>
    <row r="17" ht="18" customHeight="1">
      <c r="A17" s="7" t="inlineStr">
        <is>
          <t>04.A.14</t>
        </is>
      </c>
      <c r="B17" s="14" t="inlineStr">
        <is>
          <t>Chilled water piping (MS schedule 40, insulated) - supply &amp; return</t>
        </is>
      </c>
      <c r="C17" s="7" t="inlineStr">
        <is>
          <t>ASME B31.9</t>
        </is>
      </c>
      <c r="D17" s="7" t="inlineStr">
        <is>
          <t>LM</t>
        </is>
      </c>
      <c r="E17" s="7" t="inlineStr"/>
      <c r="F17" s="15" t="inlineStr"/>
      <c r="G17" s="15" t="inlineStr"/>
      <c r="H17" s="15" t="inlineStr"/>
      <c r="I17" s="15">
        <f>F17+G17+H17</f>
        <v/>
      </c>
      <c r="J17" s="15" t="inlineStr"/>
      <c r="K17" s="14" t="inlineStr"/>
      <c r="L17" s="14" t="inlineStr"/>
    </row>
    <row r="18" ht="18" customHeight="1">
      <c r="A18" s="3" t="inlineStr">
        <is>
          <t>04.A.15</t>
        </is>
      </c>
      <c r="B18" s="11" t="inlineStr">
        <is>
          <t>Chiller unit (air-cooled) - complete with isolations</t>
        </is>
      </c>
      <c r="C18" s="3" t="inlineStr">
        <is>
          <t>ISO 13256</t>
        </is>
      </c>
      <c r="D18" s="3" t="inlineStr">
        <is>
          <t>No</t>
        </is>
      </c>
      <c r="E18" s="3" t="inlineStr"/>
      <c r="F18" s="12" t="inlineStr"/>
      <c r="G18" s="12" t="inlineStr"/>
      <c r="H18" s="12" t="inlineStr"/>
      <c r="I18" s="12">
        <f>F18+G18+H18</f>
        <v/>
      </c>
      <c r="J18" s="12" t="inlineStr"/>
      <c r="K18" s="11" t="inlineStr"/>
      <c r="L18" s="11" t="inlineStr"/>
    </row>
    <row r="19" ht="20" customHeight="1">
      <c r="A19" s="17" t="inlineStr">
        <is>
          <t>SUBTOTAL – A. HVAC WORKS</t>
        </is>
      </c>
      <c r="B19" s="61" t="n"/>
      <c r="C19" s="61" t="n"/>
      <c r="D19" s="61" t="n"/>
      <c r="E19" s="61" t="n"/>
      <c r="F19" s="61" t="n"/>
      <c r="G19" s="61" t="n"/>
      <c r="H19" s="61" t="n"/>
      <c r="I19" s="62" t="n"/>
      <c r="J19" s="18">
        <f>SUM(J4:J19)</f>
        <v/>
      </c>
      <c r="K19" s="19" t="n"/>
      <c r="L19" s="19" t="n"/>
    </row>
    <row r="21" ht="18" customHeight="1">
      <c r="A21" s="20" t="inlineStr"/>
      <c r="B21" s="21" t="inlineStr">
        <is>
          <t>B. PLUMBING &amp; DRAINAGE WORKS</t>
        </is>
      </c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2" t="n"/>
    </row>
    <row r="22" ht="18" customHeight="1">
      <c r="A22" s="3" t="inlineStr">
        <is>
          <t>04.B.01</t>
        </is>
      </c>
      <c r="B22" s="11" t="inlineStr">
        <is>
          <t>Hot &amp; cold water piping - CPVC / uPVC Sch 40, insulated</t>
        </is>
      </c>
      <c r="C22" s="3" t="inlineStr">
        <is>
          <t>BS EN ISO 15494</t>
        </is>
      </c>
      <c r="D22" s="3" t="inlineStr">
        <is>
          <t>LM</t>
        </is>
      </c>
      <c r="E22" s="3" t="inlineStr"/>
      <c r="F22" s="12" t="inlineStr"/>
      <c r="G22" s="12" t="inlineStr"/>
      <c r="H22" s="12" t="inlineStr"/>
      <c r="I22" s="12">
        <f>F22+G22+H22</f>
        <v/>
      </c>
      <c r="J22" s="12" t="inlineStr"/>
      <c r="K22" s="11" t="inlineStr"/>
      <c r="L22" s="11" t="inlineStr"/>
    </row>
    <row r="23" ht="18" customHeight="1">
      <c r="A23" s="7" t="inlineStr">
        <is>
          <t>04.B.02</t>
        </is>
      </c>
      <c r="B23" s="14" t="inlineStr">
        <is>
          <t>Sanitary plumbing - uPVC soil/waste pipes (internal)</t>
        </is>
      </c>
      <c r="C23" s="7" t="inlineStr">
        <is>
          <t>BS EN 1329</t>
        </is>
      </c>
      <c r="D23" s="7" t="inlineStr">
        <is>
          <t>LM</t>
        </is>
      </c>
      <c r="E23" s="7" t="inlineStr"/>
      <c r="F23" s="15" t="inlineStr"/>
      <c r="G23" s="15" t="inlineStr"/>
      <c r="H23" s="15" t="inlineStr"/>
      <c r="I23" s="15">
        <f>F23+G23+H23</f>
        <v/>
      </c>
      <c r="J23" s="15" t="inlineStr"/>
      <c r="K23" s="14" t="inlineStr"/>
      <c r="L23" s="14" t="inlineStr"/>
    </row>
    <row r="24" ht="18" customHeight="1">
      <c r="A24" s="3" t="inlineStr">
        <is>
          <t>04.B.03</t>
        </is>
      </c>
      <c r="B24" s="11" t="inlineStr">
        <is>
          <t>Underground drainage - uPVC DWV 110-200mm dia</t>
        </is>
      </c>
      <c r="C24" s="3" t="inlineStr">
        <is>
          <t>BS EN 1401</t>
        </is>
      </c>
      <c r="D24" s="3" t="inlineStr">
        <is>
          <t>LM</t>
        </is>
      </c>
      <c r="E24" s="3" t="inlineStr"/>
      <c r="F24" s="12" t="inlineStr"/>
      <c r="G24" s="12" t="inlineStr"/>
      <c r="H24" s="12" t="inlineStr"/>
      <c r="I24" s="12">
        <f>F24+G24+H24</f>
        <v/>
      </c>
      <c r="J24" s="12" t="inlineStr"/>
      <c r="K24" s="11" t="inlineStr"/>
      <c r="L24" s="11" t="inlineStr"/>
    </row>
    <row r="25" ht="18" customHeight="1">
      <c r="A25" s="7" t="inlineStr">
        <is>
          <t>04.B.04</t>
        </is>
      </c>
      <c r="B25" s="14" t="inlineStr">
        <is>
          <t>Inspection chamber / manhole (pre-cast, cover &amp; frame)</t>
        </is>
      </c>
      <c r="C25" s="7" t="inlineStr">
        <is>
          <t>BS EN 1917</t>
        </is>
      </c>
      <c r="D25" s="7" t="inlineStr">
        <is>
          <t>No</t>
        </is>
      </c>
      <c r="E25" s="7" t="inlineStr"/>
      <c r="F25" s="15" t="inlineStr"/>
      <c r="G25" s="15" t="inlineStr"/>
      <c r="H25" s="15" t="inlineStr"/>
      <c r="I25" s="15">
        <f>F25+G25+H25</f>
        <v/>
      </c>
      <c r="J25" s="15" t="inlineStr"/>
      <c r="K25" s="14" t="inlineStr"/>
      <c r="L25" s="14" t="inlineStr"/>
    </row>
    <row r="26" ht="18" customHeight="1">
      <c r="A26" s="3" t="inlineStr">
        <is>
          <t>04.B.05</t>
        </is>
      </c>
      <c r="B26" s="11" t="inlineStr">
        <is>
          <t>WC suite - close-coupled, dual-flush, complete set</t>
        </is>
      </c>
      <c r="C26" s="3" t="inlineStr">
        <is>
          <t>BS EN 997</t>
        </is>
      </c>
      <c r="D26" s="3" t="inlineStr">
        <is>
          <t>No</t>
        </is>
      </c>
      <c r="E26" s="3" t="inlineStr"/>
      <c r="F26" s="12" t="inlineStr"/>
      <c r="G26" s="12" t="inlineStr"/>
      <c r="H26" s="12" t="inlineStr"/>
      <c r="I26" s="12">
        <f>F26+G26+H26</f>
        <v/>
      </c>
      <c r="J26" s="12" t="inlineStr"/>
      <c r="K26" s="11" t="inlineStr"/>
      <c r="L26" s="11" t="inlineStr"/>
    </row>
    <row r="27" ht="18" customHeight="1">
      <c r="A27" s="7" t="inlineStr">
        <is>
          <t>04.B.06</t>
        </is>
      </c>
      <c r="B27" s="14" t="inlineStr">
        <is>
          <t>Wash-hand basin - vitreous china, with taps and waste</t>
        </is>
      </c>
      <c r="C27" s="7" t="inlineStr">
        <is>
          <t>BS EN 111</t>
        </is>
      </c>
      <c r="D27" s="7" t="inlineStr">
        <is>
          <t>No</t>
        </is>
      </c>
      <c r="E27" s="7" t="inlineStr"/>
      <c r="F27" s="15" t="inlineStr"/>
      <c r="G27" s="15" t="inlineStr"/>
      <c r="H27" s="15" t="inlineStr"/>
      <c r="I27" s="15">
        <f>F27+G27+H27</f>
        <v/>
      </c>
      <c r="J27" s="15" t="inlineStr"/>
      <c r="K27" s="14" t="inlineStr"/>
      <c r="L27" s="14" t="inlineStr"/>
    </row>
    <row r="28" ht="18" customHeight="1">
      <c r="A28" s="3" t="inlineStr">
        <is>
          <t>04.B.07</t>
        </is>
      </c>
      <c r="B28" s="11" t="inlineStr">
        <is>
          <t>Shower tray, enclosure, mixer valve and fittings - complete</t>
        </is>
      </c>
      <c r="C28" s="3" t="inlineStr">
        <is>
          <t>BS EN 14527</t>
        </is>
      </c>
      <c r="D28" s="3" t="inlineStr">
        <is>
          <t>No</t>
        </is>
      </c>
      <c r="E28" s="3" t="inlineStr"/>
      <c r="F28" s="12" t="inlineStr"/>
      <c r="G28" s="12" t="inlineStr"/>
      <c r="H28" s="12" t="inlineStr"/>
      <c r="I28" s="12">
        <f>F28+G28+H28</f>
        <v/>
      </c>
      <c r="J28" s="12" t="inlineStr"/>
      <c r="K28" s="11" t="inlineStr"/>
      <c r="L28" s="11" t="inlineStr"/>
    </row>
    <row r="29" ht="18" customHeight="1">
      <c r="A29" s="7" t="inlineStr">
        <is>
          <t>04.B.08</t>
        </is>
      </c>
      <c r="B29" s="14" t="inlineStr">
        <is>
          <t>Urinal - vitreous china with flush valve, complete</t>
        </is>
      </c>
      <c r="C29" s="7" t="inlineStr">
        <is>
          <t>BS EN 13407</t>
        </is>
      </c>
      <c r="D29" s="7" t="inlineStr">
        <is>
          <t>No</t>
        </is>
      </c>
      <c r="E29" s="7" t="inlineStr"/>
      <c r="F29" s="15" t="inlineStr"/>
      <c r="G29" s="15" t="inlineStr"/>
      <c r="H29" s="15" t="inlineStr"/>
      <c r="I29" s="15">
        <f>F29+G29+H29</f>
        <v/>
      </c>
      <c r="J29" s="15" t="inlineStr"/>
      <c r="K29" s="14" t="inlineStr"/>
      <c r="L29" s="14" t="inlineStr"/>
    </row>
    <row r="30" ht="18" customHeight="1">
      <c r="A30" s="3" t="inlineStr">
        <is>
          <t>04.B.09</t>
        </is>
      </c>
      <c r="B30" s="11" t="inlineStr">
        <is>
          <t>Kitchen sink - stainless steel 1.5 bowl with mixer tap</t>
        </is>
      </c>
      <c r="C30" s="3" t="inlineStr">
        <is>
          <t>BS EN 1757</t>
        </is>
      </c>
      <c r="D30" s="3" t="inlineStr">
        <is>
          <t>No</t>
        </is>
      </c>
      <c r="E30" s="3" t="inlineStr"/>
      <c r="F30" s="12" t="inlineStr"/>
      <c r="G30" s="12" t="inlineStr"/>
      <c r="H30" s="12" t="inlineStr"/>
      <c r="I30" s="12">
        <f>F30+G30+H30</f>
        <v/>
      </c>
      <c r="J30" s="12" t="inlineStr"/>
      <c r="K30" s="11" t="inlineStr"/>
      <c r="L30" s="11" t="inlineStr"/>
    </row>
    <row r="31" ht="18" customHeight="1">
      <c r="A31" s="7" t="inlineStr">
        <is>
          <t>04.B.10</t>
        </is>
      </c>
      <c r="B31" s="14" t="inlineStr">
        <is>
          <t>Booster pump set (duty/standby) with controls</t>
        </is>
      </c>
      <c r="C31" s="7" t="inlineStr">
        <is>
          <t>BS EN ISO 9906</t>
        </is>
      </c>
      <c r="D31" s="7" t="inlineStr">
        <is>
          <t>No</t>
        </is>
      </c>
      <c r="E31" s="7" t="inlineStr"/>
      <c r="F31" s="15" t="inlineStr"/>
      <c r="G31" s="15" t="inlineStr"/>
      <c r="H31" s="15" t="inlineStr"/>
      <c r="I31" s="15">
        <f>F31+G31+H31</f>
        <v/>
      </c>
      <c r="J31" s="15" t="inlineStr"/>
      <c r="K31" s="14" t="inlineStr"/>
      <c r="L31" s="14" t="inlineStr"/>
    </row>
    <row r="32" ht="18" customHeight="1">
      <c r="A32" s="3" t="inlineStr">
        <is>
          <t>04.B.11</t>
        </is>
      </c>
      <c r="B32" s="11" t="inlineStr">
        <is>
          <t>Cold water storage tank - GRP/PE (as schedule)</t>
        </is>
      </c>
      <c r="C32" s="3" t="inlineStr">
        <is>
          <t>BS EN 13280</t>
        </is>
      </c>
      <c r="D32" s="3" t="inlineStr">
        <is>
          <t>No</t>
        </is>
      </c>
      <c r="E32" s="3" t="inlineStr"/>
      <c r="F32" s="12" t="inlineStr"/>
      <c r="G32" s="12" t="inlineStr"/>
      <c r="H32" s="12" t="inlineStr"/>
      <c r="I32" s="12">
        <f>F32+G32+H32</f>
        <v/>
      </c>
      <c r="J32" s="12" t="inlineStr"/>
      <c r="K32" s="11" t="inlineStr"/>
      <c r="L32" s="11" t="inlineStr"/>
    </row>
    <row r="33" ht="18" customHeight="1">
      <c r="A33" s="7" t="inlineStr">
        <is>
          <t>04.B.12</t>
        </is>
      </c>
      <c r="B33" s="14" t="inlineStr">
        <is>
          <t>Electric water heater (as schedule)</t>
        </is>
      </c>
      <c r="C33" s="7" t="inlineStr">
        <is>
          <t>BS EN 60335</t>
        </is>
      </c>
      <c r="D33" s="7" t="inlineStr">
        <is>
          <t>No</t>
        </is>
      </c>
      <c r="E33" s="7" t="inlineStr"/>
      <c r="F33" s="15" t="inlineStr"/>
      <c r="G33" s="15" t="inlineStr"/>
      <c r="H33" s="15" t="inlineStr"/>
      <c r="I33" s="15">
        <f>F33+G33+H33</f>
        <v/>
      </c>
      <c r="J33" s="15" t="inlineStr"/>
      <c r="K33" s="14" t="inlineStr"/>
      <c r="L33" s="14" t="inlineStr"/>
    </row>
    <row r="34" ht="18" customHeight="1">
      <c r="A34" s="3" t="inlineStr">
        <is>
          <t>04.B.13</t>
        </is>
      </c>
      <c r="B34" s="11" t="inlineStr">
        <is>
          <t>Gate / ball / check valves - as schedule</t>
        </is>
      </c>
      <c r="C34" s="3" t="inlineStr">
        <is>
          <t>BS EN 1074</t>
        </is>
      </c>
      <c r="D34" s="3" t="inlineStr">
        <is>
          <t>No</t>
        </is>
      </c>
      <c r="E34" s="3" t="inlineStr"/>
      <c r="F34" s="12" t="inlineStr"/>
      <c r="G34" s="12" t="inlineStr"/>
      <c r="H34" s="12" t="inlineStr"/>
      <c r="I34" s="12">
        <f>F34+G34+H34</f>
        <v/>
      </c>
      <c r="J34" s="12" t="inlineStr"/>
      <c r="K34" s="11" t="inlineStr"/>
      <c r="L34" s="11" t="inlineStr"/>
    </row>
    <row r="35" ht="20" customHeight="1">
      <c r="A35" s="17" t="inlineStr">
        <is>
          <t>SUBTOTAL – B. PLUMBING &amp; DRAINAGE WORKS</t>
        </is>
      </c>
      <c r="B35" s="61" t="n"/>
      <c r="C35" s="61" t="n"/>
      <c r="D35" s="61" t="n"/>
      <c r="E35" s="61" t="n"/>
      <c r="F35" s="61" t="n"/>
      <c r="G35" s="61" t="n"/>
      <c r="H35" s="61" t="n"/>
      <c r="I35" s="62" t="n"/>
      <c r="J35" s="18">
        <f>SUM(J22:J35)</f>
        <v/>
      </c>
      <c r="K35" s="19" t="n"/>
      <c r="L35" s="19" t="n"/>
    </row>
    <row r="37" ht="18" customHeight="1">
      <c r="A37" s="20" t="inlineStr"/>
      <c r="B37" s="21" t="inlineStr">
        <is>
          <t>C. FIREFIGHTING WORKS</t>
        </is>
      </c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2" t="n"/>
    </row>
    <row r="38" ht="18" customHeight="1">
      <c r="A38" s="3" t="inlineStr">
        <is>
          <t>04.C.01</t>
        </is>
      </c>
      <c r="B38" s="11" t="inlineStr">
        <is>
          <t>Wet riser system piping (MS GI schedule 40, red painted)</t>
        </is>
      </c>
      <c r="C38" s="3" t="inlineStr">
        <is>
          <t>NFPA 14</t>
        </is>
      </c>
      <c r="D38" s="3" t="inlineStr">
        <is>
          <t>LM</t>
        </is>
      </c>
      <c r="E38" s="3" t="inlineStr"/>
      <c r="F38" s="12" t="inlineStr"/>
      <c r="G38" s="12" t="inlineStr"/>
      <c r="H38" s="12" t="inlineStr"/>
      <c r="I38" s="12">
        <f>F38+G38+H38</f>
        <v/>
      </c>
      <c r="J38" s="12" t="inlineStr"/>
      <c r="K38" s="11" t="inlineStr"/>
      <c r="L38" s="11" t="inlineStr"/>
    </row>
    <row r="39" ht="18" customHeight="1">
      <c r="A39" s="7" t="inlineStr">
        <is>
          <t>04.C.02</t>
        </is>
      </c>
      <c r="B39" s="14" t="inlineStr">
        <is>
          <t>Fire hose reel cabinet - recessed / surface mounted</t>
        </is>
      </c>
      <c r="C39" s="7" t="inlineStr">
        <is>
          <t>BS EN 671</t>
        </is>
      </c>
      <c r="D39" s="7" t="inlineStr">
        <is>
          <t>No</t>
        </is>
      </c>
      <c r="E39" s="7" t="inlineStr"/>
      <c r="F39" s="15" t="inlineStr"/>
      <c r="G39" s="15" t="inlineStr"/>
      <c r="H39" s="15" t="inlineStr"/>
      <c r="I39" s="15">
        <f>F39+G39+H39</f>
        <v/>
      </c>
      <c r="J39" s="15" t="inlineStr"/>
      <c r="K39" s="14" t="inlineStr"/>
      <c r="L39" s="14" t="inlineStr"/>
    </row>
    <row r="40" ht="18" customHeight="1">
      <c r="A40" s="3" t="inlineStr">
        <is>
          <t>04.C.03</t>
        </is>
      </c>
      <c r="B40" s="11" t="inlineStr">
        <is>
          <t>Fire extinguisher - 9kg CO2 / dry powder (as schedule)</t>
        </is>
      </c>
      <c r="C40" s="3" t="inlineStr">
        <is>
          <t>BS EN 3</t>
        </is>
      </c>
      <c r="D40" s="3" t="inlineStr">
        <is>
          <t>No</t>
        </is>
      </c>
      <c r="E40" s="3" t="inlineStr"/>
      <c r="F40" s="12" t="inlineStr"/>
      <c r="G40" s="12" t="inlineStr"/>
      <c r="H40" s="12" t="inlineStr"/>
      <c r="I40" s="12">
        <f>F40+G40+H40</f>
        <v/>
      </c>
      <c r="J40" s="12" t="inlineStr"/>
      <c r="K40" s="11" t="inlineStr"/>
      <c r="L40" s="11" t="inlineStr"/>
    </row>
    <row r="41" ht="18" customHeight="1">
      <c r="A41" s="7" t="inlineStr">
        <is>
          <t>04.C.04</t>
        </is>
      </c>
      <c r="B41" s="14" t="inlineStr">
        <is>
          <t>Automatic wet pipe sprinkler system - head, piping, controls</t>
        </is>
      </c>
      <c r="C41" s="7" t="inlineStr">
        <is>
          <t>NFPA 13</t>
        </is>
      </c>
      <c r="D41" s="7" t="inlineStr">
        <is>
          <t>No</t>
        </is>
      </c>
      <c r="E41" s="7" t="inlineStr"/>
      <c r="F41" s="15" t="inlineStr"/>
      <c r="G41" s="15" t="inlineStr"/>
      <c r="H41" s="15" t="inlineStr"/>
      <c r="I41" s="15">
        <f>F41+G41+H41</f>
        <v/>
      </c>
      <c r="J41" s="15" t="inlineStr"/>
      <c r="K41" s="14" t="inlineStr"/>
      <c r="L41" s="14" t="inlineStr"/>
    </row>
    <row r="42" ht="18" customHeight="1">
      <c r="A42" s="3" t="inlineStr">
        <is>
          <t>04.C.05</t>
        </is>
      </c>
      <c r="B42" s="11" t="inlineStr">
        <is>
          <t>Sprinkler head - pendant / upright (as schedule)</t>
        </is>
      </c>
      <c r="C42" s="3" t="inlineStr">
        <is>
          <t>NFPA 13</t>
        </is>
      </c>
      <c r="D42" s="3" t="inlineStr">
        <is>
          <t>No</t>
        </is>
      </c>
      <c r="E42" s="3" t="inlineStr"/>
      <c r="F42" s="12" t="inlineStr"/>
      <c r="G42" s="12" t="inlineStr"/>
      <c r="H42" s="12" t="inlineStr"/>
      <c r="I42" s="12">
        <f>F42+G42+H42</f>
        <v/>
      </c>
      <c r="J42" s="12" t="inlineStr"/>
      <c r="K42" s="11" t="inlineStr"/>
      <c r="L42" s="11" t="inlineStr"/>
    </row>
    <row r="43" ht="18" customHeight="1">
      <c r="A43" s="7" t="inlineStr">
        <is>
          <t>04.C.06</t>
        </is>
      </c>
      <c r="B43" s="14" t="inlineStr">
        <is>
          <t>Fire pump set - jockey + duty + diesel standby with controller</t>
        </is>
      </c>
      <c r="C43" s="7" t="inlineStr">
        <is>
          <t>NFPA 20</t>
        </is>
      </c>
      <c r="D43" s="7" t="inlineStr">
        <is>
          <t>LS</t>
        </is>
      </c>
      <c r="E43" s="7" t="inlineStr"/>
      <c r="F43" s="15" t="inlineStr"/>
      <c r="G43" s="15" t="inlineStr"/>
      <c r="H43" s="15" t="inlineStr"/>
      <c r="I43" s="15">
        <f>F43+G43+H43</f>
        <v/>
      </c>
      <c r="J43" s="15" t="inlineStr"/>
      <c r="K43" s="14" t="inlineStr"/>
      <c r="L43" s="14" t="inlineStr"/>
    </row>
    <row r="44" ht="18" customHeight="1">
      <c r="A44" s="3" t="inlineStr">
        <is>
          <t>04.C.07</t>
        </is>
      </c>
      <c r="B44" s="11" t="inlineStr">
        <is>
          <t>Break tank for fire system (GRP)</t>
        </is>
      </c>
      <c r="C44" s="3" t="inlineStr">
        <is>
          <t>BS 9251</t>
        </is>
      </c>
      <c r="D44" s="3" t="inlineStr">
        <is>
          <t>No</t>
        </is>
      </c>
      <c r="E44" s="3" t="inlineStr"/>
      <c r="F44" s="12" t="inlineStr"/>
      <c r="G44" s="12" t="inlineStr"/>
      <c r="H44" s="12" t="inlineStr"/>
      <c r="I44" s="12">
        <f>F44+G44+H44</f>
        <v/>
      </c>
      <c r="J44" s="12" t="inlineStr"/>
      <c r="K44" s="11" t="inlineStr"/>
      <c r="L44" s="11" t="inlineStr"/>
    </row>
    <row r="45" ht="18" customHeight="1">
      <c r="A45" s="7" t="inlineStr">
        <is>
          <t>04.C.08</t>
        </is>
      </c>
      <c r="B45" s="14" t="inlineStr">
        <is>
          <t>Heat / smoke detector and manual call point (for M&amp;E plant rooms)</t>
        </is>
      </c>
      <c r="C45" s="7" t="inlineStr">
        <is>
          <t>BS EN 54</t>
        </is>
      </c>
      <c r="D45" s="7" t="inlineStr">
        <is>
          <t>No</t>
        </is>
      </c>
      <c r="E45" s="7" t="inlineStr"/>
      <c r="F45" s="15" t="inlineStr"/>
      <c r="G45" s="15" t="inlineStr"/>
      <c r="H45" s="15" t="inlineStr"/>
      <c r="I45" s="15">
        <f>F45+G45+H45</f>
        <v/>
      </c>
      <c r="J45" s="15" t="inlineStr"/>
      <c r="K45" s="14" t="inlineStr"/>
      <c r="L45" s="14" t="inlineStr"/>
    </row>
    <row r="46" ht="20" customHeight="1">
      <c r="A46" s="17" t="inlineStr">
        <is>
          <t>SUBTOTAL – C. FIREFIGHTING WORKS</t>
        </is>
      </c>
      <c r="B46" s="61" t="n"/>
      <c r="C46" s="61" t="n"/>
      <c r="D46" s="61" t="n"/>
      <c r="E46" s="61" t="n"/>
      <c r="F46" s="61" t="n"/>
      <c r="G46" s="61" t="n"/>
      <c r="H46" s="61" t="n"/>
      <c r="I46" s="62" t="n"/>
      <c r="J46" s="18">
        <f>SUM(J38:J46)</f>
        <v/>
      </c>
      <c r="K46" s="19" t="n"/>
      <c r="L46" s="19" t="n"/>
    </row>
    <row r="48" ht="18" customHeight="1">
      <c r="A48" s="20" t="inlineStr"/>
      <c r="B48" s="21" t="inlineStr">
        <is>
          <t>D. GAS WORKS</t>
        </is>
      </c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2" t="n"/>
    </row>
    <row r="49" ht="18" customHeight="1">
      <c r="A49" s="3" t="inlineStr">
        <is>
          <t>04.D.01</t>
        </is>
      </c>
      <c r="B49" s="11" t="inlineStr">
        <is>
          <t>LPG / piped gas distribution pipework (copper, as schedule)</t>
        </is>
      </c>
      <c r="C49" s="3" t="inlineStr">
        <is>
          <t>BS EN 1213</t>
        </is>
      </c>
      <c r="D49" s="3" t="inlineStr">
        <is>
          <t>LM</t>
        </is>
      </c>
      <c r="E49" s="3" t="inlineStr"/>
      <c r="F49" s="12" t="inlineStr"/>
      <c r="G49" s="12" t="inlineStr"/>
      <c r="H49" s="12" t="inlineStr"/>
      <c r="I49" s="12">
        <f>F49+G49+H49</f>
        <v/>
      </c>
      <c r="J49" s="12" t="inlineStr"/>
      <c r="K49" s="11" t="inlineStr"/>
      <c r="L49" s="11" t="inlineStr"/>
    </row>
    <row r="50" ht="18" customHeight="1">
      <c r="A50" s="7" t="inlineStr">
        <is>
          <t>04.D.02</t>
        </is>
      </c>
      <c r="B50" s="14" t="inlineStr">
        <is>
          <t>Gas meter, regulator and isolation valve - complete</t>
        </is>
      </c>
      <c r="C50" s="7" t="inlineStr">
        <is>
          <t>BS EN 1359</t>
        </is>
      </c>
      <c r="D50" s="7" t="inlineStr">
        <is>
          <t>No</t>
        </is>
      </c>
      <c r="E50" s="7" t="inlineStr"/>
      <c r="F50" s="15" t="inlineStr"/>
      <c r="G50" s="15" t="inlineStr"/>
      <c r="H50" s="15" t="inlineStr"/>
      <c r="I50" s="15">
        <f>F50+G50+H50</f>
        <v/>
      </c>
      <c r="J50" s="15" t="inlineStr"/>
      <c r="K50" s="14" t="inlineStr"/>
      <c r="L50" s="14" t="inlineStr"/>
    </row>
    <row r="51" ht="18" customHeight="1">
      <c r="A51" s="3" t="inlineStr">
        <is>
          <t>04.D.03</t>
        </is>
      </c>
      <c r="B51" s="11" t="inlineStr">
        <is>
          <t>Gas detection system (for plant rooms / kitchens)</t>
        </is>
      </c>
      <c r="C51" s="3" t="inlineStr">
        <is>
          <t>BS EN 50194</t>
        </is>
      </c>
      <c r="D51" s="3" t="inlineStr">
        <is>
          <t>LS</t>
        </is>
      </c>
      <c r="E51" s="3" t="inlineStr"/>
      <c r="F51" s="12" t="inlineStr"/>
      <c r="G51" s="12" t="inlineStr"/>
      <c r="H51" s="12" t="inlineStr"/>
      <c r="I51" s="12">
        <f>F51+G51+H51</f>
        <v/>
      </c>
      <c r="J51" s="12" t="inlineStr"/>
      <c r="K51" s="11" t="inlineStr"/>
      <c r="L51" s="11" t="inlineStr"/>
    </row>
    <row r="52" ht="20" customHeight="1">
      <c r="A52" s="17" t="inlineStr">
        <is>
          <t>SUBTOTAL – D. GAS WORKS</t>
        </is>
      </c>
      <c r="B52" s="61" t="n"/>
      <c r="C52" s="61" t="n"/>
      <c r="D52" s="61" t="n"/>
      <c r="E52" s="61" t="n"/>
      <c r="F52" s="61" t="n"/>
      <c r="G52" s="61" t="n"/>
      <c r="H52" s="61" t="n"/>
      <c r="I52" s="62" t="n"/>
      <c r="J52" s="18">
        <f>SUM(J49:J52)</f>
        <v/>
      </c>
      <c r="K52" s="19" t="n"/>
      <c r="L52" s="19" t="n"/>
    </row>
  </sheetData>
  <mergeCells count="9">
    <mergeCell ref="A52:I52"/>
    <mergeCell ref="A19:I19"/>
    <mergeCell ref="B21:L21"/>
    <mergeCell ref="B48:L48"/>
    <mergeCell ref="A46:I46"/>
    <mergeCell ref="A1:L1"/>
    <mergeCell ref="B3:L3"/>
    <mergeCell ref="B37:L37"/>
    <mergeCell ref="A35:I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0" customWidth="1" min="11" max="11"/>
    <col width="18" customWidth="1" min="12" max="12"/>
  </cols>
  <sheetData>
    <row r="1" ht="22" customHeight="1">
      <c r="A1" s="1" t="inlineStr">
        <is>
          <t>DIVISION 03  –  ARCHITECTURAL &amp; FINISHES WORKS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60" t="inlineStr">
        <is>
          <t>Qty  [BLE_FINISH_TILE_AREA_SQ_M | CST_CALC_TILE_M2 | BLE_FINISH_PAINT_AREA_SQ_M | BLE_DOOR_AREA_SQ_M | BLE_WINDOW_AREA_SQ_M | BLE_FINISH_PLASTER_AREA_SQ_M]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60" t="inlineStr">
        <is>
          <t>Amount  [ASS_CST_TOTAL_UGX_NR | CST_TOTAL_TILE_COST | CST_TOTAL_PAINT_COST | CST_TOTAL_PLASTER_COST]</t>
        </is>
      </c>
      <c r="K2" s="60" t="inlineStr">
        <is>
          <t>Notes / Spec Compliance  [BLE_FINISH_TYPE_TXT | BLE_FLR_FINISH_TXT | BLE_FLR_FINISH_MAT_TXT | BLE_FINISH_TILE_SZ_TXT | BLE_CEILING_SYSTEM_TXT | BLE_DOOR_MAT_TXT | BLE_WINDOW_FRAME_MAT_TXT | FIN_FLR_TAG_TXT | FIN_WALL_TAG_TXT | FIN_CEIL_TAG_TXT | ENV_WIN_TAG_TXT | ENV_FAC_TAG_TXT | ENV_ROOF_TAG_TXT]</t>
        </is>
      </c>
      <c r="L2" s="60" t="inlineStr">
        <is>
          <t>BIM Tag / STING ID  [ASS_ID_TXT | ASS_TAG_1_TXT]</t>
        </is>
      </c>
    </row>
    <row r="3" ht="18" customHeight="1">
      <c r="A3" s="20" t="inlineStr"/>
      <c r="B3" s="21" t="inlineStr">
        <is>
          <t>A. PLASTERING &amp; RENDERING</t>
        </is>
      </c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2" t="n"/>
    </row>
    <row r="4" ht="18" customHeight="1">
      <c r="A4" s="3" t="inlineStr">
        <is>
          <t>03.A.01</t>
        </is>
      </c>
      <c r="B4" s="11" t="inlineStr">
        <is>
          <t>Internal cement-sand plaster 3 coats 15mm thick</t>
        </is>
      </c>
      <c r="C4" s="3" t="inlineStr">
        <is>
          <t>NRM2 28.1</t>
        </is>
      </c>
      <c r="D4" s="3" t="inlineStr">
        <is>
          <t>m²</t>
        </is>
      </c>
      <c r="E4" s="3" t="inlineStr"/>
      <c r="F4" s="12" t="inlineStr"/>
      <c r="G4" s="12" t="inlineStr"/>
      <c r="H4" s="12" t="inlineStr"/>
      <c r="I4" s="12">
        <f>F4+G4+H4</f>
        <v/>
      </c>
      <c r="J4" s="12" t="inlineStr"/>
      <c r="K4" s="11" t="inlineStr"/>
      <c r="L4" s="11" t="inlineStr"/>
    </row>
    <row r="5" ht="18" customHeight="1">
      <c r="A5" s="7" t="inlineStr">
        <is>
          <t>03.A.02</t>
        </is>
      </c>
      <c r="B5" s="14" t="inlineStr">
        <is>
          <t>External render – 4 coats with waterproof additive</t>
        </is>
      </c>
      <c r="C5" s="7" t="inlineStr">
        <is>
          <t>NRM2 28.2</t>
        </is>
      </c>
      <c r="D5" s="7" t="inlineStr">
        <is>
          <t>m²</t>
        </is>
      </c>
      <c r="E5" s="7" t="inlineStr"/>
      <c r="F5" s="15" t="inlineStr"/>
      <c r="G5" s="15" t="inlineStr"/>
      <c r="H5" s="15" t="inlineStr"/>
      <c r="I5" s="15">
        <f>F5+G5+H5</f>
        <v/>
      </c>
      <c r="J5" s="15" t="inlineStr"/>
      <c r="K5" s="14" t="inlineStr"/>
      <c r="L5" s="14" t="inlineStr"/>
    </row>
    <row r="6" ht="18" customHeight="1">
      <c r="A6" s="3" t="inlineStr">
        <is>
          <t>03.A.03</t>
        </is>
      </c>
      <c r="B6" s="11" t="inlineStr">
        <is>
          <t>Skim coat / setting coat to ceilings</t>
        </is>
      </c>
      <c r="C6" s="3" t="inlineStr">
        <is>
          <t>NRM2 28.3</t>
        </is>
      </c>
      <c r="D6" s="3" t="inlineStr">
        <is>
          <t>m²</t>
        </is>
      </c>
      <c r="E6" s="3" t="inlineStr"/>
      <c r="F6" s="12" t="inlineStr"/>
      <c r="G6" s="12" t="inlineStr"/>
      <c r="H6" s="12" t="inlineStr"/>
      <c r="I6" s="12">
        <f>F6+G6+H6</f>
        <v/>
      </c>
      <c r="J6" s="12" t="inlineStr"/>
      <c r="K6" s="11" t="inlineStr"/>
      <c r="L6" s="11" t="inlineStr"/>
    </row>
    <row r="7" ht="20" customHeight="1">
      <c r="A7" s="17" t="inlineStr">
        <is>
          <t>SUBTOTAL – A. PLASTERING &amp; RENDERING</t>
        </is>
      </c>
      <c r="B7" s="61" t="n"/>
      <c r="C7" s="61" t="n"/>
      <c r="D7" s="61" t="n"/>
      <c r="E7" s="61" t="n"/>
      <c r="F7" s="61" t="n"/>
      <c r="G7" s="61" t="n"/>
      <c r="H7" s="61" t="n"/>
      <c r="I7" s="62" t="n"/>
      <c r="J7" s="18">
        <f>SUM(J4:J7)</f>
        <v/>
      </c>
      <c r="K7" s="19" t="n"/>
      <c r="L7" s="19" t="n"/>
    </row>
    <row r="9" ht="18" customHeight="1">
      <c r="A9" s="20" t="inlineStr"/>
      <c r="B9" s="21" t="inlineStr">
        <is>
          <t>B. FLOOR FINISHES</t>
        </is>
      </c>
      <c r="C9" s="61" t="n"/>
      <c r="D9" s="61" t="n"/>
      <c r="E9" s="61" t="n"/>
      <c r="F9" s="61" t="n"/>
      <c r="G9" s="61" t="n"/>
      <c r="H9" s="61" t="n"/>
      <c r="I9" s="61" t="n"/>
      <c r="J9" s="61" t="n"/>
      <c r="K9" s="61" t="n"/>
      <c r="L9" s="62" t="n"/>
    </row>
    <row r="10" ht="18" customHeight="1">
      <c r="A10" s="3" t="inlineStr">
        <is>
          <t>03.B.01</t>
        </is>
      </c>
      <c r="B10" s="11" t="inlineStr">
        <is>
          <t>Porcelain floor tiles 600x600mm (non-slip)</t>
        </is>
      </c>
      <c r="C10" s="3" t="inlineStr">
        <is>
          <t>JS 374</t>
        </is>
      </c>
      <c r="D10" s="3" t="inlineStr">
        <is>
          <t>m2</t>
        </is>
      </c>
      <c r="E10" s="3" t="inlineStr"/>
      <c r="F10" s="12" t="inlineStr"/>
      <c r="G10" s="12" t="inlineStr"/>
      <c r="H10" s="12" t="inlineStr"/>
      <c r="I10" s="12">
        <f>F10+G10+H10</f>
        <v/>
      </c>
      <c r="J10" s="12" t="inlineStr"/>
      <c r="K10" s="11" t="inlineStr"/>
      <c r="L10" s="11" t="inlineStr"/>
    </row>
    <row r="11" ht="18" customHeight="1">
      <c r="A11" s="7" t="inlineStr">
        <is>
          <t>03.B.02</t>
        </is>
      </c>
      <c r="B11" s="14" t="inlineStr">
        <is>
          <t>Porcelain skirting 600x80mm</t>
        </is>
      </c>
      <c r="C11" s="7" t="inlineStr">
        <is>
          <t>JS 374</t>
        </is>
      </c>
      <c r="D11" s="7" t="inlineStr">
        <is>
          <t>LM</t>
        </is>
      </c>
      <c r="E11" s="7" t="inlineStr"/>
      <c r="F11" s="15" t="inlineStr"/>
      <c r="G11" s="15" t="inlineStr"/>
      <c r="H11" s="15" t="inlineStr"/>
      <c r="I11" s="15">
        <f>F11+G11+H11</f>
        <v/>
      </c>
      <c r="J11" s="15" t="inlineStr"/>
      <c r="K11" s="14" t="inlineStr"/>
      <c r="L11" s="14" t="inlineStr"/>
    </row>
    <row r="12" ht="18" customHeight="1">
      <c r="A12" s="3" t="inlineStr">
        <is>
          <t>03.B.03</t>
        </is>
      </c>
      <c r="B12" s="11" t="inlineStr">
        <is>
          <t>Ceramic floor tiles 300x300mm - wet areas</t>
        </is>
      </c>
      <c r="C12" s="3" t="inlineStr">
        <is>
          <t>JS 374</t>
        </is>
      </c>
      <c r="D12" s="3" t="inlineStr">
        <is>
          <t>m2</t>
        </is>
      </c>
      <c r="E12" s="3" t="inlineStr"/>
      <c r="F12" s="12" t="inlineStr"/>
      <c r="G12" s="12" t="inlineStr"/>
      <c r="H12" s="12" t="inlineStr"/>
      <c r="I12" s="12">
        <f>F12+G12+H12</f>
        <v/>
      </c>
      <c r="J12" s="12" t="inlineStr"/>
      <c r="K12" s="11" t="inlineStr"/>
      <c r="L12" s="11" t="inlineStr"/>
    </row>
    <row r="13" ht="18" customHeight="1">
      <c r="A13" s="7" t="inlineStr">
        <is>
          <t>03.B.04</t>
        </is>
      </c>
      <c r="B13" s="14" t="inlineStr">
        <is>
          <t>Epoxy floor coating - plant rooms and parking</t>
        </is>
      </c>
      <c r="C13" s="7" t="inlineStr">
        <is>
          <t>ISO 8501</t>
        </is>
      </c>
      <c r="D13" s="7" t="inlineStr">
        <is>
          <t>m2</t>
        </is>
      </c>
      <c r="E13" s="7" t="inlineStr"/>
      <c r="F13" s="15" t="inlineStr"/>
      <c r="G13" s="15" t="inlineStr"/>
      <c r="H13" s="15" t="inlineStr"/>
      <c r="I13" s="15">
        <f>F13+G13+H13</f>
        <v/>
      </c>
      <c r="J13" s="15" t="inlineStr"/>
      <c r="K13" s="14" t="inlineStr"/>
      <c r="L13" s="14" t="inlineStr"/>
    </row>
    <row r="14" ht="18" customHeight="1">
      <c r="A14" s="3" t="inlineStr">
        <is>
          <t>03.B.05</t>
        </is>
      </c>
      <c r="B14" s="11" t="inlineStr">
        <is>
          <t>Marble window sills 30mm thick (polished)</t>
        </is>
      </c>
      <c r="C14" s="3" t="inlineStr">
        <is>
          <t>NRM2 27</t>
        </is>
      </c>
      <c r="D14" s="3" t="inlineStr">
        <is>
          <t>m2</t>
        </is>
      </c>
      <c r="E14" s="3" t="inlineStr"/>
      <c r="F14" s="12" t="inlineStr"/>
      <c r="G14" s="12" t="inlineStr"/>
      <c r="H14" s="12" t="inlineStr"/>
      <c r="I14" s="12">
        <f>F14+G14+H14</f>
        <v/>
      </c>
      <c r="J14" s="12" t="inlineStr"/>
      <c r="K14" s="11" t="inlineStr"/>
      <c r="L14" s="11" t="inlineStr"/>
    </row>
    <row r="15" ht="20" customHeight="1">
      <c r="A15" s="17" t="inlineStr">
        <is>
          <t>SUBTOTAL – B. FLOOR FINISHES</t>
        </is>
      </c>
      <c r="B15" s="61" t="n"/>
      <c r="C15" s="61" t="n"/>
      <c r="D15" s="61" t="n"/>
      <c r="E15" s="61" t="n"/>
      <c r="F15" s="61" t="n"/>
      <c r="G15" s="61" t="n"/>
      <c r="H15" s="61" t="n"/>
      <c r="I15" s="62" t="n"/>
      <c r="J15" s="18">
        <f>SUM(J10:J15)</f>
        <v/>
      </c>
      <c r="K15" s="19" t="n"/>
      <c r="L15" s="19" t="n"/>
    </row>
    <row r="17" ht="18" customHeight="1">
      <c r="A17" s="20" t="inlineStr"/>
      <c r="B17" s="21" t="inlineStr">
        <is>
          <t>C. WALL FINISHES</t>
        </is>
      </c>
      <c r="C17" s="61" t="n"/>
      <c r="D17" s="61" t="n"/>
      <c r="E17" s="61" t="n"/>
      <c r="F17" s="61" t="n"/>
      <c r="G17" s="61" t="n"/>
      <c r="H17" s="61" t="n"/>
      <c r="I17" s="61" t="n"/>
      <c r="J17" s="61" t="n"/>
      <c r="K17" s="61" t="n"/>
      <c r="L17" s="62" t="n"/>
    </row>
    <row r="18" ht="18" customHeight="1">
      <c r="A18" s="3" t="inlineStr">
        <is>
          <t>03.C.01</t>
        </is>
      </c>
      <c r="B18" s="11" t="inlineStr">
        <is>
          <t>Ceramic wall tiles 300x600mm - wet areas and kitchen</t>
        </is>
      </c>
      <c r="C18" s="3" t="inlineStr">
        <is>
          <t>JS 374</t>
        </is>
      </c>
      <c r="D18" s="3" t="inlineStr">
        <is>
          <t>m2</t>
        </is>
      </c>
      <c r="E18" s="3" t="inlineStr"/>
      <c r="F18" s="12" t="inlineStr"/>
      <c r="G18" s="12" t="inlineStr"/>
      <c r="H18" s="12" t="inlineStr"/>
      <c r="I18" s="12">
        <f>F18+G18+H18</f>
        <v/>
      </c>
      <c r="J18" s="12" t="inlineStr"/>
      <c r="K18" s="11" t="inlineStr"/>
      <c r="L18" s="11" t="inlineStr"/>
    </row>
    <row r="19" ht="18" customHeight="1">
      <c r="A19" s="7" t="inlineStr">
        <is>
          <t>03.C.02</t>
        </is>
      </c>
      <c r="B19" s="14" t="inlineStr">
        <is>
          <t>Emulsion paint - 2 coats internally (walls and ceilings)</t>
        </is>
      </c>
      <c r="C19" s="7" t="inlineStr">
        <is>
          <t>NRM2 29</t>
        </is>
      </c>
      <c r="D19" s="7" t="inlineStr">
        <is>
          <t>m2</t>
        </is>
      </c>
      <c r="E19" s="7" t="inlineStr"/>
      <c r="F19" s="15" t="inlineStr"/>
      <c r="G19" s="15" t="inlineStr"/>
      <c r="H19" s="15" t="inlineStr"/>
      <c r="I19" s="15">
        <f>F19+G19+H19</f>
        <v/>
      </c>
      <c r="J19" s="15" t="inlineStr"/>
      <c r="K19" s="14" t="inlineStr"/>
      <c r="L19" s="14" t="inlineStr"/>
    </row>
    <row r="20" ht="18" customHeight="1">
      <c r="A20" s="3" t="inlineStr">
        <is>
          <t>03.C.03</t>
        </is>
      </c>
      <c r="B20" s="11" t="inlineStr">
        <is>
          <t>Masonry paint - 2 coats externally</t>
        </is>
      </c>
      <c r="C20" s="3" t="inlineStr">
        <is>
          <t>NRM2 29</t>
        </is>
      </c>
      <c r="D20" s="3" t="inlineStr">
        <is>
          <t>m2</t>
        </is>
      </c>
      <c r="E20" s="3" t="inlineStr"/>
      <c r="F20" s="12" t="inlineStr"/>
      <c r="G20" s="12" t="inlineStr"/>
      <c r="H20" s="12" t="inlineStr"/>
      <c r="I20" s="12">
        <f>F20+G20+H20</f>
        <v/>
      </c>
      <c r="J20" s="12" t="inlineStr"/>
      <c r="K20" s="11" t="inlineStr"/>
      <c r="L20" s="11" t="inlineStr"/>
    </row>
    <row r="21" ht="20" customHeight="1">
      <c r="A21" s="17" t="inlineStr">
        <is>
          <t>SUBTOTAL – C. WALL FINISHES</t>
        </is>
      </c>
      <c r="B21" s="61" t="n"/>
      <c r="C21" s="61" t="n"/>
      <c r="D21" s="61" t="n"/>
      <c r="E21" s="61" t="n"/>
      <c r="F21" s="61" t="n"/>
      <c r="G21" s="61" t="n"/>
      <c r="H21" s="61" t="n"/>
      <c r="I21" s="62" t="n"/>
      <c r="J21" s="18">
        <f>SUM(J18:J21)</f>
        <v/>
      </c>
      <c r="K21" s="19" t="n"/>
      <c r="L21" s="19" t="n"/>
    </row>
    <row r="23" ht="18" customHeight="1">
      <c r="A23" s="20" t="inlineStr"/>
      <c r="B23" s="21" t="inlineStr">
        <is>
          <t>D. CEILINGS</t>
        </is>
      </c>
      <c r="C23" s="61" t="n"/>
      <c r="D23" s="61" t="n"/>
      <c r="E23" s="61" t="n"/>
      <c r="F23" s="61" t="n"/>
      <c r="G23" s="61" t="n"/>
      <c r="H23" s="61" t="n"/>
      <c r="I23" s="61" t="n"/>
      <c r="J23" s="61" t="n"/>
      <c r="K23" s="61" t="n"/>
      <c r="L23" s="62" t="n"/>
    </row>
    <row r="24" ht="18" customHeight="1">
      <c r="A24" s="3" t="inlineStr">
        <is>
          <t>03.D.01</t>
        </is>
      </c>
      <c r="B24" s="11" t="inlineStr">
        <is>
          <t>Suspended gypsum board ceiling on galv. framing</t>
        </is>
      </c>
      <c r="C24" s="3" t="inlineStr">
        <is>
          <t>NRM2 30</t>
        </is>
      </c>
      <c r="D24" s="3" t="inlineStr">
        <is>
          <t>m2</t>
        </is>
      </c>
      <c r="E24" s="3" t="inlineStr"/>
      <c r="F24" s="12" t="inlineStr"/>
      <c r="G24" s="12" t="inlineStr"/>
      <c r="H24" s="12" t="inlineStr"/>
      <c r="I24" s="12">
        <f>F24+G24+H24</f>
        <v/>
      </c>
      <c r="J24" s="12" t="inlineStr"/>
      <c r="K24" s="11" t="inlineStr"/>
      <c r="L24" s="11" t="inlineStr"/>
    </row>
    <row r="25" ht="18" customHeight="1">
      <c r="A25" s="7" t="inlineStr">
        <is>
          <t>03.D.02</t>
        </is>
      </c>
      <c r="B25" s="14" t="inlineStr">
        <is>
          <t>Suspended mineral fibre tile ceiling 600x600mm</t>
        </is>
      </c>
      <c r="C25" s="7" t="inlineStr">
        <is>
          <t>NRM2 30</t>
        </is>
      </c>
      <c r="D25" s="7" t="inlineStr">
        <is>
          <t>m2</t>
        </is>
      </c>
      <c r="E25" s="7" t="inlineStr"/>
      <c r="F25" s="15" t="inlineStr"/>
      <c r="G25" s="15" t="inlineStr"/>
      <c r="H25" s="15" t="inlineStr"/>
      <c r="I25" s="15">
        <f>F25+G25+H25</f>
        <v/>
      </c>
      <c r="J25" s="15" t="inlineStr"/>
      <c r="K25" s="14" t="inlineStr"/>
      <c r="L25" s="14" t="inlineStr"/>
    </row>
    <row r="26" ht="20" customHeight="1">
      <c r="A26" s="17" t="inlineStr">
        <is>
          <t>SUBTOTAL – D. CEILINGS</t>
        </is>
      </c>
      <c r="B26" s="61" t="n"/>
      <c r="C26" s="61" t="n"/>
      <c r="D26" s="61" t="n"/>
      <c r="E26" s="61" t="n"/>
      <c r="F26" s="61" t="n"/>
      <c r="G26" s="61" t="n"/>
      <c r="H26" s="61" t="n"/>
      <c r="I26" s="62" t="n"/>
      <c r="J26" s="18">
        <f>SUM(J24:J26)</f>
        <v/>
      </c>
      <c r="K26" s="19" t="n"/>
      <c r="L26" s="19" t="n"/>
    </row>
    <row r="28" ht="18" customHeight="1">
      <c r="A28" s="20" t="inlineStr"/>
      <c r="B28" s="21" t="inlineStr">
        <is>
          <t>E. DOORS &amp; WINDOWS</t>
        </is>
      </c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2" t="n"/>
    </row>
    <row r="29" ht="18" customHeight="1">
      <c r="A29" s="3" t="inlineStr">
        <is>
          <t>03.E.01</t>
        </is>
      </c>
      <c r="B29" s="11" t="inlineStr">
        <is>
          <t>Solid core timber door with frame and hardware (rated)</t>
        </is>
      </c>
      <c r="C29" s="3" t="inlineStr">
        <is>
          <t>NRM2 23</t>
        </is>
      </c>
      <c r="D29" s="3" t="inlineStr">
        <is>
          <t>No</t>
        </is>
      </c>
      <c r="E29" s="3" t="inlineStr"/>
      <c r="F29" s="12" t="inlineStr"/>
      <c r="G29" s="12" t="inlineStr"/>
      <c r="H29" s="12" t="inlineStr"/>
      <c r="I29" s="12">
        <f>F29+G29+H29</f>
        <v/>
      </c>
      <c r="J29" s="12" t="inlineStr"/>
      <c r="K29" s="11" t="inlineStr"/>
      <c r="L29" s="11" t="inlineStr"/>
    </row>
    <row r="30" ht="18" customHeight="1">
      <c r="A30" s="7" t="inlineStr">
        <is>
          <t>03.E.02</t>
        </is>
      </c>
      <c r="B30" s="14" t="inlineStr">
        <is>
          <t>Aluminium double-glazed window system - powder coated</t>
        </is>
      </c>
      <c r="C30" s="7" t="inlineStr">
        <is>
          <t>NRM2 24</t>
        </is>
      </c>
      <c r="D30" s="7" t="inlineStr">
        <is>
          <t>m2</t>
        </is>
      </c>
      <c r="E30" s="7" t="inlineStr"/>
      <c r="F30" s="15" t="inlineStr"/>
      <c r="G30" s="15" t="inlineStr"/>
      <c r="H30" s="15" t="inlineStr"/>
      <c r="I30" s="15">
        <f>F30+G30+H30</f>
        <v/>
      </c>
      <c r="J30" s="15" t="inlineStr"/>
      <c r="K30" s="14" t="inlineStr"/>
      <c r="L30" s="14" t="inlineStr"/>
    </row>
    <row r="31" ht="18" customHeight="1">
      <c r="A31" s="3" t="inlineStr">
        <is>
          <t>03.E.03</t>
        </is>
      </c>
      <c r="B31" s="11" t="inlineStr">
        <is>
          <t>Aluminium curtain-wall / glazed facade system</t>
        </is>
      </c>
      <c r="C31" s="3" t="inlineStr">
        <is>
          <t>NRM2 24</t>
        </is>
      </c>
      <c r="D31" s="3" t="inlineStr">
        <is>
          <t>m2</t>
        </is>
      </c>
      <c r="E31" s="3" t="inlineStr"/>
      <c r="F31" s="12" t="inlineStr"/>
      <c r="G31" s="12" t="inlineStr"/>
      <c r="H31" s="12" t="inlineStr"/>
      <c r="I31" s="12">
        <f>F31+G31+H31</f>
        <v/>
      </c>
      <c r="J31" s="12" t="inlineStr"/>
      <c r="K31" s="11" t="inlineStr"/>
      <c r="L31" s="11" t="inlineStr"/>
    </row>
    <row r="32" ht="18" customHeight="1">
      <c r="A32" s="7" t="inlineStr">
        <is>
          <t>03.E.04</t>
        </is>
      </c>
      <c r="B32" s="14" t="inlineStr">
        <is>
          <t>Roller shutter door - manual (plant rooms)</t>
        </is>
      </c>
      <c r="C32" s="7" t="inlineStr">
        <is>
          <t>NRM2 23</t>
        </is>
      </c>
      <c r="D32" s="7" t="inlineStr">
        <is>
          <t>No</t>
        </is>
      </c>
      <c r="E32" s="7" t="inlineStr"/>
      <c r="F32" s="15" t="inlineStr"/>
      <c r="G32" s="15" t="inlineStr"/>
      <c r="H32" s="15" t="inlineStr"/>
      <c r="I32" s="15">
        <f>F32+G32+H32</f>
        <v/>
      </c>
      <c r="J32" s="15" t="inlineStr"/>
      <c r="K32" s="14" t="inlineStr"/>
      <c r="L32" s="14" t="inlineStr"/>
    </row>
    <row r="33" ht="18" customHeight="1">
      <c r="A33" s="3" t="inlineStr">
        <is>
          <t>03.E.05</t>
        </is>
      </c>
      <c r="B33" s="11" t="inlineStr">
        <is>
          <t>Access / security door - steel, galvanised</t>
        </is>
      </c>
      <c r="C33" s="3" t="inlineStr">
        <is>
          <t>NRM2 23</t>
        </is>
      </c>
      <c r="D33" s="3" t="inlineStr">
        <is>
          <t>No</t>
        </is>
      </c>
      <c r="E33" s="3" t="inlineStr"/>
      <c r="F33" s="12" t="inlineStr"/>
      <c r="G33" s="12" t="inlineStr"/>
      <c r="H33" s="12" t="inlineStr"/>
      <c r="I33" s="12">
        <f>F33+G33+H33</f>
        <v/>
      </c>
      <c r="J33" s="12" t="inlineStr"/>
      <c r="K33" s="11" t="inlineStr"/>
      <c r="L33" s="11" t="inlineStr"/>
    </row>
    <row r="34" ht="20" customHeight="1">
      <c r="A34" s="17" t="inlineStr">
        <is>
          <t>SUBTOTAL – E. DOORS &amp; WINDOWS</t>
        </is>
      </c>
      <c r="B34" s="61" t="n"/>
      <c r="C34" s="61" t="n"/>
      <c r="D34" s="61" t="n"/>
      <c r="E34" s="61" t="n"/>
      <c r="F34" s="61" t="n"/>
      <c r="G34" s="61" t="n"/>
      <c r="H34" s="61" t="n"/>
      <c r="I34" s="62" t="n"/>
      <c r="J34" s="18">
        <f>SUM(J29:J34)</f>
        <v/>
      </c>
      <c r="K34" s="19" t="n"/>
      <c r="L34" s="19" t="n"/>
    </row>
    <row r="36" ht="18" customHeight="1">
      <c r="A36" s="20" t="inlineStr"/>
      <c r="B36" s="21" t="inlineStr">
        <is>
          <t>F. EXTERNAL WORKS</t>
        </is>
      </c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2" t="n"/>
    </row>
    <row r="37" ht="18" customHeight="1">
      <c r="A37" s="3" t="inlineStr">
        <is>
          <t>03.F.01</t>
        </is>
      </c>
      <c r="B37" s="11" t="inlineStr">
        <is>
          <t>External paving - interlocking concrete blocks 80mm thick</t>
        </is>
      </c>
      <c r="C37" s="3" t="inlineStr">
        <is>
          <t>BS 7533</t>
        </is>
      </c>
      <c r="D37" s="3" t="inlineStr">
        <is>
          <t>m2</t>
        </is>
      </c>
      <c r="E37" s="3" t="inlineStr"/>
      <c r="F37" s="12" t="inlineStr"/>
      <c r="G37" s="12" t="inlineStr"/>
      <c r="H37" s="12" t="inlineStr"/>
      <c r="I37" s="12">
        <f>F37+G37+H37</f>
        <v/>
      </c>
      <c r="J37" s="12" t="inlineStr"/>
      <c r="K37" s="11" t="inlineStr"/>
      <c r="L37" s="11" t="inlineStr"/>
    </row>
    <row r="38" ht="18" customHeight="1">
      <c r="A38" s="7" t="inlineStr">
        <is>
          <t>03.F.02</t>
        </is>
      </c>
      <c r="B38" s="14" t="inlineStr">
        <is>
          <t>Perimeter boundary wall (1.8m high block, capped)</t>
        </is>
      </c>
      <c r="C38" s="7" t="inlineStr">
        <is>
          <t>NRM2 36</t>
        </is>
      </c>
      <c r="D38" s="7" t="inlineStr">
        <is>
          <t>LM</t>
        </is>
      </c>
      <c r="E38" s="7" t="inlineStr"/>
      <c r="F38" s="15" t="inlineStr"/>
      <c r="G38" s="15" t="inlineStr"/>
      <c r="H38" s="15" t="inlineStr"/>
      <c r="I38" s="15">
        <f>F38+G38+H38</f>
        <v/>
      </c>
      <c r="J38" s="15" t="inlineStr"/>
      <c r="K38" s="14" t="inlineStr"/>
      <c r="L38" s="14" t="inlineStr"/>
    </row>
    <row r="39" ht="18" customHeight="1">
      <c r="A39" s="3" t="inlineStr">
        <is>
          <t>03.F.03</t>
        </is>
      </c>
      <c r="B39" s="11" t="inlineStr">
        <is>
          <t>Vehicle access gate - automated with controls</t>
        </is>
      </c>
      <c r="C39" s="3" t="inlineStr">
        <is>
          <t>NRM2 36</t>
        </is>
      </c>
      <c r="D39" s="3" t="inlineStr">
        <is>
          <t>No</t>
        </is>
      </c>
      <c r="E39" s="3" t="inlineStr"/>
      <c r="F39" s="12" t="inlineStr"/>
      <c r="G39" s="12" t="inlineStr"/>
      <c r="H39" s="12" t="inlineStr"/>
      <c r="I39" s="12">
        <f>F39+G39+H39</f>
        <v/>
      </c>
      <c r="J39" s="12" t="inlineStr"/>
      <c r="K39" s="11" t="inlineStr"/>
      <c r="L39" s="11" t="inlineStr"/>
    </row>
    <row r="40" ht="18" customHeight="1">
      <c r="A40" s="7" t="inlineStr">
        <is>
          <t>03.F.04</t>
        </is>
      </c>
      <c r="B40" s="14" t="inlineStr">
        <is>
          <t>Landscaping and topsoil reinstatement</t>
        </is>
      </c>
      <c r="C40" s="7" t="inlineStr">
        <is>
          <t>NRM2 37</t>
        </is>
      </c>
      <c r="D40" s="7" t="inlineStr">
        <is>
          <t>m2</t>
        </is>
      </c>
      <c r="E40" s="7" t="inlineStr"/>
      <c r="F40" s="15" t="inlineStr"/>
      <c r="G40" s="15" t="inlineStr"/>
      <c r="H40" s="15" t="inlineStr"/>
      <c r="I40" s="15">
        <f>F40+G40+H40</f>
        <v/>
      </c>
      <c r="J40" s="15" t="inlineStr"/>
      <c r="K40" s="14" t="inlineStr"/>
      <c r="L40" s="14" t="inlineStr"/>
    </row>
    <row r="41" ht="20" customHeight="1">
      <c r="A41" s="17" t="inlineStr">
        <is>
          <t>SUBTOTAL – F. EXTERNAL WORKS</t>
        </is>
      </c>
      <c r="B41" s="61" t="n"/>
      <c r="C41" s="61" t="n"/>
      <c r="D41" s="61" t="n"/>
      <c r="E41" s="61" t="n"/>
      <c r="F41" s="61" t="n"/>
      <c r="G41" s="61" t="n"/>
      <c r="H41" s="61" t="n"/>
      <c r="I41" s="62" t="n"/>
      <c r="J41" s="18">
        <f>SUM(J37:J41)</f>
        <v/>
      </c>
      <c r="K41" s="19" t="n"/>
      <c r="L41" s="19" t="n"/>
    </row>
  </sheetData>
  <mergeCells count="13">
    <mergeCell ref="A15:I15"/>
    <mergeCell ref="A7:I7"/>
    <mergeCell ref="A26:I26"/>
    <mergeCell ref="A41:I41"/>
    <mergeCell ref="A21:I21"/>
    <mergeCell ref="A1:L1"/>
    <mergeCell ref="B3:L3"/>
    <mergeCell ref="B28:L28"/>
    <mergeCell ref="B17:L17"/>
    <mergeCell ref="B36:L36"/>
    <mergeCell ref="A34:I34"/>
    <mergeCell ref="B23:L23"/>
    <mergeCell ref="B9:L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8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0" customWidth="1" min="11" max="11"/>
    <col width="18" customWidth="1" min="12" max="12"/>
  </cols>
  <sheetData>
    <row r="1" ht="22" customHeight="1">
      <c r="A1" s="1" t="inlineStr">
        <is>
          <t>DIVISION 02  –  CIVIL &amp; STRUCTURAL WORKS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60" t="inlineStr">
        <is>
          <t>Qty  [CST_S_CON_VOLUME_CU_M | CST_CALC_CONCRETE_M3 | CST_S_REI_WEIGHT_KG | CST_S_MAS_NET_AREA_SQ_M | CST_S_EAR_EXCAVATION_VOLUME_CU_M | CST_S_EAR_BACKFILL_VOLUME_CU_M]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60" t="inlineStr">
        <is>
          <t>Amount  [ASS_CST_TOTAL_UGX_NR | CST_S_CON_CST_TOTAL_UGX_NR | CST_S_REI_CST_TOTAL_UGX_NR | CST_S_MAS_CST_TOTAL_UGX_NR]</t>
        </is>
      </c>
      <c r="K2" s="60" t="inlineStr">
        <is>
          <t>Notes / Spec Compliance  [BLE_STRUCT_CONCRETE_GRADE_TXT | CST_S_CON_GRADE_TXT | BLE_WALL_THICKNESS_MM | BLE_WALL_FUNCTION_TXT | BLE_STRUCT_FOUNDATION_TYPE_TXT | CST_S_REI_GRADE_TXT | BLE_STRUCT_MAT_TXT]</t>
        </is>
      </c>
      <c r="L2" s="60" t="inlineStr">
        <is>
          <t>BIM Tag / STING ID  [ASS_ID_TXT | ASS_TAG_1_TXT]</t>
        </is>
      </c>
    </row>
    <row r="3" ht="18" customHeight="1">
      <c r="A3" s="20" t="inlineStr"/>
      <c r="B3" s="21" t="inlineStr">
        <is>
          <t>A. SUBSTRUCTURE / EARTHWORKS</t>
        </is>
      </c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2" t="n"/>
    </row>
    <row r="4" ht="18" customHeight="1">
      <c r="A4" s="3" t="inlineStr">
        <is>
          <t>02.A.01</t>
        </is>
      </c>
      <c r="B4" s="11" t="inlineStr">
        <is>
          <t>Site clearance and grubbing</t>
        </is>
      </c>
      <c r="C4" s="3" t="inlineStr">
        <is>
          <t>NRM2 5.1</t>
        </is>
      </c>
      <c r="D4" s="3" t="inlineStr">
        <is>
          <t>m²</t>
        </is>
      </c>
      <c r="E4" s="3" t="inlineStr"/>
      <c r="F4" s="12" t="inlineStr"/>
      <c r="G4" s="12" t="inlineStr"/>
      <c r="H4" s="12" t="inlineStr"/>
      <c r="I4" s="12">
        <f>F4+G4+H4</f>
        <v/>
      </c>
      <c r="J4" s="12" t="inlineStr"/>
      <c r="K4" s="11" t="inlineStr"/>
      <c r="L4" s="11" t="inlineStr"/>
    </row>
    <row r="5" ht="18" customHeight="1">
      <c r="A5" s="7" t="inlineStr">
        <is>
          <t>02.A.02</t>
        </is>
      </c>
      <c r="B5" s="14" t="inlineStr">
        <is>
          <t>General excavation – bulk earthworks in any material</t>
        </is>
      </c>
      <c r="C5" s="7" t="inlineStr">
        <is>
          <t>NRM2 5.4</t>
        </is>
      </c>
      <c r="D5" s="7" t="inlineStr">
        <is>
          <t>m³</t>
        </is>
      </c>
      <c r="E5" s="7" t="inlineStr"/>
      <c r="F5" s="15" t="inlineStr"/>
      <c r="G5" s="15" t="inlineStr"/>
      <c r="H5" s="15" t="inlineStr"/>
      <c r="I5" s="15">
        <f>F5+G5+H5</f>
        <v/>
      </c>
      <c r="J5" s="15" t="inlineStr"/>
      <c r="K5" s="14" t="inlineStr"/>
      <c r="L5" s="14" t="inlineStr"/>
    </row>
    <row r="6" ht="18" customHeight="1">
      <c r="A6" s="3" t="inlineStr">
        <is>
          <t>02.A.03</t>
        </is>
      </c>
      <c r="B6" s="11" t="inlineStr">
        <is>
          <t>Excavation to foundations, footings and tie beams</t>
        </is>
      </c>
      <c r="C6" s="3" t="inlineStr">
        <is>
          <t>NRM2 5.5</t>
        </is>
      </c>
      <c r="D6" s="3" t="inlineStr">
        <is>
          <t>m³</t>
        </is>
      </c>
      <c r="E6" s="3" t="inlineStr"/>
      <c r="F6" s="12" t="inlineStr"/>
      <c r="G6" s="12" t="inlineStr"/>
      <c r="H6" s="12" t="inlineStr"/>
      <c r="I6" s="12">
        <f>F6+G6+H6</f>
        <v/>
      </c>
      <c r="J6" s="12" t="inlineStr"/>
      <c r="K6" s="11" t="inlineStr"/>
      <c r="L6" s="11" t="inlineStr"/>
    </row>
    <row r="7" ht="18" customHeight="1">
      <c r="A7" s="7" t="inlineStr">
        <is>
          <t>02.A.04</t>
        </is>
      </c>
      <c r="B7" s="14" t="inlineStr">
        <is>
          <t>Backfilling with approved material (compacted, 200mm layers)</t>
        </is>
      </c>
      <c r="C7" s="7" t="inlineStr">
        <is>
          <t>NRM2 5.6</t>
        </is>
      </c>
      <c r="D7" s="7" t="inlineStr">
        <is>
          <t>m³</t>
        </is>
      </c>
      <c r="E7" s="7" t="inlineStr"/>
      <c r="F7" s="15" t="inlineStr"/>
      <c r="G7" s="15" t="inlineStr"/>
      <c r="H7" s="15" t="inlineStr"/>
      <c r="I7" s="15">
        <f>F7+G7+H7</f>
        <v/>
      </c>
      <c r="J7" s="15" t="inlineStr"/>
      <c r="K7" s="14" t="inlineStr"/>
      <c r="L7" s="14" t="inlineStr"/>
    </row>
    <row r="8" ht="18" customHeight="1">
      <c r="A8" s="3" t="inlineStr">
        <is>
          <t>02.A.05</t>
        </is>
      </c>
      <c r="B8" s="11" t="inlineStr">
        <is>
          <t>Dewatering as required</t>
        </is>
      </c>
      <c r="C8" s="3" t="inlineStr">
        <is>
          <t>NRM2 5.7</t>
        </is>
      </c>
      <c r="D8" s="3" t="inlineStr">
        <is>
          <t>Wk</t>
        </is>
      </c>
      <c r="E8" s="3" t="inlineStr"/>
      <c r="F8" s="12" t="inlineStr"/>
      <c r="G8" s="12" t="inlineStr"/>
      <c r="H8" s="12" t="inlineStr"/>
      <c r="I8" s="12">
        <f>F8+G8+H8</f>
        <v/>
      </c>
      <c r="J8" s="12" t="inlineStr"/>
      <c r="K8" s="11" t="inlineStr"/>
      <c r="L8" s="11" t="inlineStr"/>
    </row>
    <row r="9" ht="18" customHeight="1">
      <c r="A9" s="7" t="inlineStr">
        <is>
          <t>02.A.06</t>
        </is>
      </c>
      <c r="B9" s="14" t="inlineStr">
        <is>
          <t>Hardcore / crushed stone base 150mm thick (compacted)</t>
        </is>
      </c>
      <c r="C9" s="7" t="inlineStr">
        <is>
          <t>NRM2 5.8</t>
        </is>
      </c>
      <c r="D9" s="7" t="inlineStr">
        <is>
          <t>m²</t>
        </is>
      </c>
      <c r="E9" s="7" t="inlineStr"/>
      <c r="F9" s="15" t="inlineStr"/>
      <c r="G9" s="15" t="inlineStr"/>
      <c r="H9" s="15" t="inlineStr"/>
      <c r="I9" s="15">
        <f>F9+G9+H9</f>
        <v/>
      </c>
      <c r="J9" s="15" t="inlineStr"/>
      <c r="K9" s="14" t="inlineStr"/>
      <c r="L9" s="14" t="inlineStr"/>
    </row>
    <row r="10" ht="18" customHeight="1">
      <c r="A10" s="3" t="inlineStr">
        <is>
          <t>02.A.07</t>
        </is>
      </c>
      <c r="B10" s="11" t="inlineStr">
        <is>
          <t>Blinding concrete Grade C15, 75mm thick</t>
        </is>
      </c>
      <c r="C10" s="3" t="inlineStr">
        <is>
          <t>NRM2 11.1</t>
        </is>
      </c>
      <c r="D10" s="3" t="inlineStr">
        <is>
          <t>m²</t>
        </is>
      </c>
      <c r="E10" s="3" t="inlineStr"/>
      <c r="F10" s="12" t="inlineStr"/>
      <c r="G10" s="12" t="inlineStr"/>
      <c r="H10" s="12" t="inlineStr"/>
      <c r="I10" s="12">
        <f>F10+G10+H10</f>
        <v/>
      </c>
      <c r="J10" s="12" t="inlineStr"/>
      <c r="K10" s="11" t="inlineStr"/>
      <c r="L10" s="11" t="inlineStr"/>
    </row>
    <row r="11" ht="18" customHeight="1">
      <c r="A11" s="7" t="inlineStr">
        <is>
          <t>02.A.08</t>
        </is>
      </c>
      <c r="B11" s="14" t="inlineStr">
        <is>
          <t>Anti-termite treatment to ground floor</t>
        </is>
      </c>
      <c r="C11" s="7" t="inlineStr">
        <is>
          <t>Local</t>
        </is>
      </c>
      <c r="D11" s="7" t="inlineStr">
        <is>
          <t>m²</t>
        </is>
      </c>
      <c r="E11" s="7" t="inlineStr"/>
      <c r="F11" s="15" t="inlineStr"/>
      <c r="G11" s="15" t="inlineStr"/>
      <c r="H11" s="15" t="inlineStr"/>
      <c r="I11" s="15">
        <f>F11+G11+H11</f>
        <v/>
      </c>
      <c r="J11" s="15" t="inlineStr"/>
      <c r="K11" s="14" t="inlineStr"/>
      <c r="L11" s="14" t="inlineStr"/>
    </row>
    <row r="12" ht="20" customHeight="1">
      <c r="A12" s="17" t="inlineStr">
        <is>
          <t>SUBTOTAL – A. SUBSTRUCTURE / EARTHWORKS</t>
        </is>
      </c>
      <c r="B12" s="61" t="n"/>
      <c r="C12" s="61" t="n"/>
      <c r="D12" s="61" t="n"/>
      <c r="E12" s="61" t="n"/>
      <c r="F12" s="61" t="n"/>
      <c r="G12" s="61" t="n"/>
      <c r="H12" s="61" t="n"/>
      <c r="I12" s="62" t="n"/>
      <c r="J12" s="18">
        <f>SUM(J4:J12)</f>
        <v/>
      </c>
      <c r="K12" s="19" t="n"/>
      <c r="L12" s="19" t="n"/>
    </row>
    <row r="14" ht="18" customHeight="1">
      <c r="A14" s="20" t="inlineStr"/>
      <c r="B14" s="21" t="inlineStr">
        <is>
          <t>B. CONCRETE WORKS</t>
        </is>
      </c>
      <c r="C14" s="61" t="n"/>
      <c r="D14" s="61" t="n"/>
      <c r="E14" s="61" t="n"/>
      <c r="F14" s="61" t="n"/>
      <c r="G14" s="61" t="n"/>
      <c r="H14" s="61" t="n"/>
      <c r="I14" s="61" t="n"/>
      <c r="J14" s="61" t="n"/>
      <c r="K14" s="61" t="n"/>
      <c r="L14" s="62" t="n"/>
    </row>
    <row r="15" ht="18" customHeight="1">
      <c r="A15" s="3" t="inlineStr">
        <is>
          <t>02.B.01</t>
        </is>
      </c>
      <c r="B15" s="11" t="inlineStr">
        <is>
          <t>Plain concrete C15 – blinding and non-structural fill</t>
        </is>
      </c>
      <c r="C15" s="3" t="inlineStr">
        <is>
          <t>BS 8500</t>
        </is>
      </c>
      <c r="D15" s="3" t="inlineStr">
        <is>
          <t>m³</t>
        </is>
      </c>
      <c r="E15" s="3" t="inlineStr"/>
      <c r="F15" s="12" t="inlineStr"/>
      <c r="G15" s="12" t="inlineStr"/>
      <c r="H15" s="12" t="inlineStr"/>
      <c r="I15" s="12">
        <f>F15+G15+H15</f>
        <v/>
      </c>
      <c r="J15" s="12" t="inlineStr"/>
      <c r="K15" s="11" t="inlineStr"/>
      <c r="L15" s="11" t="inlineStr"/>
    </row>
    <row r="16" ht="18" customHeight="1">
      <c r="A16" s="7" t="inlineStr">
        <is>
          <t>02.B.02</t>
        </is>
      </c>
      <c r="B16" s="14" t="inlineStr">
        <is>
          <t>Reinforced concrete C25 – foundations and ground beams</t>
        </is>
      </c>
      <c r="C16" s="7" t="inlineStr">
        <is>
          <t>BS 8500</t>
        </is>
      </c>
      <c r="D16" s="7" t="inlineStr">
        <is>
          <t>m³</t>
        </is>
      </c>
      <c r="E16" s="7" t="inlineStr"/>
      <c r="F16" s="15" t="inlineStr"/>
      <c r="G16" s="15" t="inlineStr"/>
      <c r="H16" s="15" t="inlineStr"/>
      <c r="I16" s="15">
        <f>F16+G16+H16</f>
        <v/>
      </c>
      <c r="J16" s="15" t="inlineStr"/>
      <c r="K16" s="14" t="inlineStr"/>
      <c r="L16" s="14" t="inlineStr"/>
    </row>
    <row r="17" ht="18" customHeight="1">
      <c r="A17" s="3" t="inlineStr">
        <is>
          <t>02.B.03</t>
        </is>
      </c>
      <c r="B17" s="11" t="inlineStr">
        <is>
          <t>Reinforced concrete C25 – columns</t>
        </is>
      </c>
      <c r="C17" s="3" t="inlineStr">
        <is>
          <t>BS 8500</t>
        </is>
      </c>
      <c r="D17" s="3" t="inlineStr">
        <is>
          <t>m³</t>
        </is>
      </c>
      <c r="E17" s="3" t="inlineStr"/>
      <c r="F17" s="12" t="inlineStr"/>
      <c r="G17" s="12" t="inlineStr"/>
      <c r="H17" s="12" t="inlineStr"/>
      <c r="I17" s="12">
        <f>F17+G17+H17</f>
        <v/>
      </c>
      <c r="J17" s="12" t="inlineStr"/>
      <c r="K17" s="11" t="inlineStr"/>
      <c r="L17" s="11" t="inlineStr"/>
    </row>
    <row r="18" ht="18" customHeight="1">
      <c r="A18" s="7" t="inlineStr">
        <is>
          <t>02.B.04</t>
        </is>
      </c>
      <c r="B18" s="14" t="inlineStr">
        <is>
          <t>Reinforced concrete C25 – suspended slabs and beams</t>
        </is>
      </c>
      <c r="C18" s="7" t="inlineStr">
        <is>
          <t>BS 8500</t>
        </is>
      </c>
      <c r="D18" s="7" t="inlineStr">
        <is>
          <t>m³</t>
        </is>
      </c>
      <c r="E18" s="7" t="inlineStr"/>
      <c r="F18" s="15" t="inlineStr"/>
      <c r="G18" s="15" t="inlineStr"/>
      <c r="H18" s="15" t="inlineStr"/>
      <c r="I18" s="15">
        <f>F18+G18+H18</f>
        <v/>
      </c>
      <c r="J18" s="15" t="inlineStr"/>
      <c r="K18" s="14" t="inlineStr"/>
      <c r="L18" s="14" t="inlineStr"/>
    </row>
    <row r="19" ht="18" customHeight="1">
      <c r="A19" s="3" t="inlineStr">
        <is>
          <t>02.B.05</t>
        </is>
      </c>
      <c r="B19" s="11" t="inlineStr">
        <is>
          <t>Reinforced concrete C25 – staircase</t>
        </is>
      </c>
      <c r="C19" s="3" t="inlineStr">
        <is>
          <t>BS 8500</t>
        </is>
      </c>
      <c r="D19" s="3" t="inlineStr">
        <is>
          <t>m³</t>
        </is>
      </c>
      <c r="E19" s="3" t="inlineStr"/>
      <c r="F19" s="12" t="inlineStr"/>
      <c r="G19" s="12" t="inlineStr"/>
      <c r="H19" s="12" t="inlineStr"/>
      <c r="I19" s="12">
        <f>F19+G19+H19</f>
        <v/>
      </c>
      <c r="J19" s="12" t="inlineStr"/>
      <c r="K19" s="11" t="inlineStr"/>
      <c r="L19" s="11" t="inlineStr"/>
    </row>
    <row r="20" ht="18" customHeight="1">
      <c r="A20" s="7" t="inlineStr">
        <is>
          <t>02.B.06</t>
        </is>
      </c>
      <c r="B20" s="14" t="inlineStr">
        <is>
          <t>Reinforced concrete C25 – walls / shear walls</t>
        </is>
      </c>
      <c r="C20" s="7" t="inlineStr">
        <is>
          <t>BS 8500</t>
        </is>
      </c>
      <c r="D20" s="7" t="inlineStr">
        <is>
          <t>m³</t>
        </is>
      </c>
      <c r="E20" s="7" t="inlineStr"/>
      <c r="F20" s="15" t="inlineStr"/>
      <c r="G20" s="15" t="inlineStr"/>
      <c r="H20" s="15" t="inlineStr"/>
      <c r="I20" s="15">
        <f>F20+G20+H20</f>
        <v/>
      </c>
      <c r="J20" s="15" t="inlineStr"/>
      <c r="K20" s="14" t="inlineStr"/>
      <c r="L20" s="14" t="inlineStr"/>
    </row>
    <row r="21" ht="18" customHeight="1">
      <c r="A21" s="3" t="inlineStr">
        <is>
          <t>02.B.07</t>
        </is>
      </c>
      <c r="B21" s="11" t="inlineStr">
        <is>
          <t>High-tensile deformed steel reinforcement Fy=500 MPa</t>
        </is>
      </c>
      <c r="C21" s="3" t="inlineStr">
        <is>
          <t>BS 4449</t>
        </is>
      </c>
      <c r="D21" s="3" t="inlineStr">
        <is>
          <t>ton</t>
        </is>
      </c>
      <c r="E21" s="3" t="inlineStr"/>
      <c r="F21" s="12" t="inlineStr"/>
      <c r="G21" s="12" t="inlineStr"/>
      <c r="H21" s="12" t="inlineStr"/>
      <c r="I21" s="12">
        <f>F21+G21+H21</f>
        <v/>
      </c>
      <c r="J21" s="12" t="inlineStr"/>
      <c r="K21" s="11" t="inlineStr"/>
      <c r="L21" s="11" t="inlineStr"/>
    </row>
    <row r="22" ht="18" customHeight="1">
      <c r="A22" s="7" t="inlineStr">
        <is>
          <t>02.B.08</t>
        </is>
      </c>
      <c r="B22" s="14" t="inlineStr">
        <is>
          <t>Formwork – to soffit of slabs</t>
        </is>
      </c>
      <c r="C22" s="7" t="inlineStr">
        <is>
          <t>NRM2 11.2</t>
        </is>
      </c>
      <c r="D22" s="7" t="inlineStr">
        <is>
          <t>m²</t>
        </is>
      </c>
      <c r="E22" s="7" t="inlineStr"/>
      <c r="F22" s="15" t="inlineStr"/>
      <c r="G22" s="15" t="inlineStr"/>
      <c r="H22" s="15" t="inlineStr"/>
      <c r="I22" s="15">
        <f>F22+G22+H22</f>
        <v/>
      </c>
      <c r="J22" s="15" t="inlineStr"/>
      <c r="K22" s="14" t="inlineStr"/>
      <c r="L22" s="14" t="inlineStr"/>
    </row>
    <row r="23" ht="18" customHeight="1">
      <c r="A23" s="3" t="inlineStr">
        <is>
          <t>02.B.09</t>
        </is>
      </c>
      <c r="B23" s="11" t="inlineStr">
        <is>
          <t>Formwork – to sides of beams and columns</t>
        </is>
      </c>
      <c r="C23" s="3" t="inlineStr">
        <is>
          <t>NRM2 11.2</t>
        </is>
      </c>
      <c r="D23" s="3" t="inlineStr">
        <is>
          <t>m²</t>
        </is>
      </c>
      <c r="E23" s="3" t="inlineStr"/>
      <c r="F23" s="12" t="inlineStr"/>
      <c r="G23" s="12" t="inlineStr"/>
      <c r="H23" s="12" t="inlineStr"/>
      <c r="I23" s="12">
        <f>F23+G23+H23</f>
        <v/>
      </c>
      <c r="J23" s="12" t="inlineStr"/>
      <c r="K23" s="11" t="inlineStr"/>
      <c r="L23" s="11" t="inlineStr"/>
    </row>
    <row r="24" ht="18" customHeight="1">
      <c r="A24" s="7" t="inlineStr">
        <is>
          <t>02.B.10</t>
        </is>
      </c>
      <c r="B24" s="14" t="inlineStr">
        <is>
          <t>Waterproof SBS bituminous membrane 4mm (below grade)</t>
        </is>
      </c>
      <c r="C24" s="7" t="inlineStr">
        <is>
          <t>ASTM D5726</t>
        </is>
      </c>
      <c r="D24" s="7" t="inlineStr">
        <is>
          <t>m²</t>
        </is>
      </c>
      <c r="E24" s="7" t="inlineStr"/>
      <c r="F24" s="15" t="inlineStr"/>
      <c r="G24" s="15" t="inlineStr"/>
      <c r="H24" s="15" t="inlineStr"/>
      <c r="I24" s="15">
        <f>F24+G24+H24</f>
        <v/>
      </c>
      <c r="J24" s="15" t="inlineStr"/>
      <c r="K24" s="14" t="inlineStr"/>
      <c r="L24" s="14" t="inlineStr"/>
    </row>
    <row r="25" ht="20" customHeight="1">
      <c r="A25" s="17" t="inlineStr">
        <is>
          <t>SUBTOTAL – B. CONCRETE WORKS</t>
        </is>
      </c>
      <c r="B25" s="61" t="n"/>
      <c r="C25" s="61" t="n"/>
      <c r="D25" s="61" t="n"/>
      <c r="E25" s="61" t="n"/>
      <c r="F25" s="61" t="n"/>
      <c r="G25" s="61" t="n"/>
      <c r="H25" s="61" t="n"/>
      <c r="I25" s="62" t="n"/>
      <c r="J25" s="18">
        <f>SUM(J15:J25)</f>
        <v/>
      </c>
      <c r="K25" s="19" t="n"/>
      <c r="L25" s="19" t="n"/>
    </row>
    <row r="27" ht="18" customHeight="1">
      <c r="A27" s="20" t="inlineStr"/>
      <c r="B27" s="21" t="inlineStr">
        <is>
          <t>C. MASONRY WORKS</t>
        </is>
      </c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2" t="n"/>
    </row>
    <row r="28" ht="18" customHeight="1">
      <c r="A28" s="3" t="inlineStr">
        <is>
          <t>02.C.01</t>
        </is>
      </c>
      <c r="B28" s="11" t="inlineStr">
        <is>
          <t>200mm concrete block wall (external structural)</t>
        </is>
      </c>
      <c r="C28" s="3" t="inlineStr">
        <is>
          <t>BS EN 771</t>
        </is>
      </c>
      <c r="D28" s="3" t="inlineStr">
        <is>
          <t>m²</t>
        </is>
      </c>
      <c r="E28" s="3" t="inlineStr"/>
      <c r="F28" s="12" t="inlineStr"/>
      <c r="G28" s="12" t="inlineStr"/>
      <c r="H28" s="12" t="inlineStr"/>
      <c r="I28" s="12">
        <f>F28+G28+H28</f>
        <v/>
      </c>
      <c r="J28" s="12" t="inlineStr"/>
      <c r="K28" s="11" t="inlineStr"/>
      <c r="L28" s="11" t="inlineStr"/>
    </row>
    <row r="29" ht="18" customHeight="1">
      <c r="A29" s="7" t="inlineStr">
        <is>
          <t>02.C.02</t>
        </is>
      </c>
      <c r="B29" s="14" t="inlineStr">
        <is>
          <t>100mm concrete block partition wall (internal)</t>
        </is>
      </c>
      <c r="C29" s="7" t="inlineStr">
        <is>
          <t>BS EN 771</t>
        </is>
      </c>
      <c r="D29" s="7" t="inlineStr">
        <is>
          <t>m²</t>
        </is>
      </c>
      <c r="E29" s="7" t="inlineStr"/>
      <c r="F29" s="15" t="inlineStr"/>
      <c r="G29" s="15" t="inlineStr"/>
      <c r="H29" s="15" t="inlineStr"/>
      <c r="I29" s="15">
        <f>F29+G29+H29</f>
        <v/>
      </c>
      <c r="J29" s="15" t="inlineStr"/>
      <c r="K29" s="14" t="inlineStr"/>
      <c r="L29" s="14" t="inlineStr"/>
    </row>
    <row r="30" ht="18" customHeight="1">
      <c r="A30" s="3" t="inlineStr">
        <is>
          <t>02.C.03</t>
        </is>
      </c>
      <c r="B30" s="11" t="inlineStr">
        <is>
          <t>Face brick / fair-face finish (where shown)</t>
        </is>
      </c>
      <c r="C30" s="3" t="inlineStr">
        <is>
          <t>BS EN 771</t>
        </is>
      </c>
      <c r="D30" s="3" t="inlineStr">
        <is>
          <t>m²</t>
        </is>
      </c>
      <c r="E30" s="3" t="inlineStr"/>
      <c r="F30" s="12" t="inlineStr"/>
      <c r="G30" s="12" t="inlineStr"/>
      <c r="H30" s="12" t="inlineStr"/>
      <c r="I30" s="12">
        <f>F30+G30+H30</f>
        <v/>
      </c>
      <c r="J30" s="12" t="inlineStr"/>
      <c r="K30" s="11" t="inlineStr"/>
      <c r="L30" s="11" t="inlineStr"/>
    </row>
    <row r="31" ht="20" customHeight="1">
      <c r="A31" s="17" t="inlineStr">
        <is>
          <t>SUBTOTAL – C. MASONRY WORKS</t>
        </is>
      </c>
      <c r="B31" s="61" t="n"/>
      <c r="C31" s="61" t="n"/>
      <c r="D31" s="61" t="n"/>
      <c r="E31" s="61" t="n"/>
      <c r="F31" s="61" t="n"/>
      <c r="G31" s="61" t="n"/>
      <c r="H31" s="61" t="n"/>
      <c r="I31" s="62" t="n"/>
      <c r="J31" s="18">
        <f>SUM(J28:J31)</f>
        <v/>
      </c>
      <c r="K31" s="19" t="n"/>
      <c r="L31" s="19" t="n"/>
    </row>
  </sheetData>
  <mergeCells count="7">
    <mergeCell ref="A25:I25"/>
    <mergeCell ref="A1:L1"/>
    <mergeCell ref="B3:L3"/>
    <mergeCell ref="A31:I31"/>
    <mergeCell ref="B14:L14"/>
    <mergeCell ref="A12:I12"/>
    <mergeCell ref="B27:L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  <col width="30" customWidth="1" min="11" max="11"/>
    <col width="18" customWidth="1" min="12" max="12"/>
  </cols>
  <sheetData>
    <row r="1" ht="22" customHeight="1">
      <c r="A1" s="1" t="inlineStr">
        <is>
          <t>DIVISION 01  –  PRELIMINARY &amp; GENERAL ITEMS</t>
        </is>
      </c>
    </row>
    <row r="2" ht="36" customHeight="1">
      <c r="A2" s="2" t="inlineStr">
        <is>
          <t>Item No.</t>
        </is>
      </c>
      <c r="B2" s="2" t="inlineStr">
        <is>
          <t>Description of Works</t>
        </is>
      </c>
      <c r="C2" s="2" t="inlineStr">
        <is>
          <t>Spec Ref</t>
        </is>
      </c>
      <c r="D2" s="2" t="inlineStr">
        <is>
          <t>Unit</t>
        </is>
      </c>
      <c r="E2" s="60" t="inlineStr">
        <is>
          <t>Qty  [ASS_CST_QUANTITY_NR]</t>
        </is>
      </c>
      <c r="F2" s="2" t="inlineStr">
        <is>
          <t>Unit Rate
(Material)</t>
        </is>
      </c>
      <c r="G2" s="2" t="inlineStr">
        <is>
          <t>Unit Rate
(Labour)</t>
        </is>
      </c>
      <c r="H2" s="2" t="inlineStr">
        <is>
          <t>Unit Rate
(Plant)</t>
        </is>
      </c>
      <c r="I2" s="2" t="inlineStr">
        <is>
          <t>Unit Rate
(Total)</t>
        </is>
      </c>
      <c r="J2" s="60" t="inlineStr">
        <is>
          <t>Amount  [ASS_CST_TOTAL_UGX_NR]</t>
        </is>
      </c>
      <c r="K2" s="60" t="inlineStr">
        <is>
          <t>Notes / Spec Compliance  [RGL_KCCA_APPROVAL_REQ_BOOL | RGL_NEMA_APPROVAL_REQ_BOOL | RGL_NWSC_APPROVAL_BOOL | RGL_UMEME_APPROVAL_BOOL | SYS_APPLICABLE_STANDARDS_TXT]</t>
        </is>
      </c>
      <c r="L2" s="60" t="inlineStr">
        <is>
          <t>BIM Tag / STING ID  [ASS_ID_TXT | ASS_TAG_1_TXT | ASS_TAG_2_TXT]</t>
        </is>
      </c>
    </row>
    <row r="3" ht="18" customHeight="1">
      <c r="A3" s="3" t="inlineStr">
        <is>
          <t>01.01</t>
        </is>
      </c>
      <c r="B3" s="11" t="inlineStr">
        <is>
          <t>Mobilisation &amp; Demobilisation – Contractor's establishment on site</t>
        </is>
      </c>
      <c r="C3" s="3" t="inlineStr">
        <is>
          <t>FIDIC 4.22</t>
        </is>
      </c>
      <c r="D3" s="3" t="inlineStr">
        <is>
          <t>LS</t>
        </is>
      </c>
      <c r="E3" s="3" t="n">
        <v>1</v>
      </c>
      <c r="F3" s="12" t="inlineStr"/>
      <c r="G3" s="12" t="inlineStr"/>
      <c r="H3" s="12" t="inlineStr"/>
      <c r="I3" s="12">
        <f>F3+G3+H3</f>
        <v/>
      </c>
      <c r="J3" s="12">
        <f>E3*I3</f>
        <v/>
      </c>
      <c r="K3" s="11" t="inlineStr"/>
      <c r="L3" s="11" t="inlineStr"/>
    </row>
    <row r="4" ht="18" customHeight="1">
      <c r="A4" s="7" t="inlineStr">
        <is>
          <t>01.02</t>
        </is>
      </c>
      <c r="B4" s="14" t="inlineStr">
        <is>
          <t>Contractor's site management &amp; supervision staff</t>
        </is>
      </c>
      <c r="C4" s="7" t="inlineStr">
        <is>
          <t>FIDIC 6.1</t>
        </is>
      </c>
      <c r="D4" s="7" t="inlineStr">
        <is>
          <t>Wk</t>
        </is>
      </c>
      <c r="E4" s="7" t="inlineStr"/>
      <c r="F4" s="15" t="inlineStr"/>
      <c r="G4" s="15" t="inlineStr"/>
      <c r="H4" s="15" t="inlineStr"/>
      <c r="I4" s="15">
        <f>F4+G4+H4</f>
        <v/>
      </c>
      <c r="J4" s="15" t="inlineStr"/>
      <c r="K4" s="14" t="inlineStr"/>
      <c r="L4" s="14" t="inlineStr"/>
    </row>
    <row r="5" ht="18" customHeight="1">
      <c r="A5" s="3" t="inlineStr">
        <is>
          <t>01.03</t>
        </is>
      </c>
      <c r="B5" s="11" t="inlineStr">
        <is>
          <t>Temporary site office, ablutions, and storage facilities</t>
        </is>
      </c>
      <c r="C5" s="3" t="inlineStr">
        <is>
          <t>NRM2 1.1</t>
        </is>
      </c>
      <c r="D5" s="3" t="inlineStr">
        <is>
          <t>LS</t>
        </is>
      </c>
      <c r="E5" s="3" t="n">
        <v>1</v>
      </c>
      <c r="F5" s="12" t="inlineStr"/>
      <c r="G5" s="12" t="inlineStr"/>
      <c r="H5" s="12" t="inlineStr"/>
      <c r="I5" s="12">
        <f>F5+G5+H5</f>
        <v/>
      </c>
      <c r="J5" s="12">
        <f>E5*I5</f>
        <v/>
      </c>
      <c r="K5" s="11" t="inlineStr"/>
      <c r="L5" s="11" t="inlineStr"/>
    </row>
    <row r="6" ht="18" customHeight="1">
      <c r="A6" s="7" t="inlineStr">
        <is>
          <t>01.04</t>
        </is>
      </c>
      <c r="B6" s="14" t="inlineStr">
        <is>
          <t>Temporary power and water supply to site</t>
        </is>
      </c>
      <c r="C6" s="7" t="inlineStr">
        <is>
          <t>NRM2 1.2</t>
        </is>
      </c>
      <c r="D6" s="7" t="inlineStr">
        <is>
          <t>LS</t>
        </is>
      </c>
      <c r="E6" s="7" t="n">
        <v>1</v>
      </c>
      <c r="F6" s="15" t="inlineStr"/>
      <c r="G6" s="15" t="inlineStr"/>
      <c r="H6" s="15" t="inlineStr"/>
      <c r="I6" s="15">
        <f>F6+G6+H6</f>
        <v/>
      </c>
      <c r="J6" s="15">
        <f>E6*I6</f>
        <v/>
      </c>
      <c r="K6" s="14" t="inlineStr"/>
      <c r="L6" s="14" t="inlineStr"/>
    </row>
    <row r="7" ht="18" customHeight="1">
      <c r="A7" s="3" t="inlineStr">
        <is>
          <t>01.05</t>
        </is>
      </c>
      <c r="B7" s="11" t="inlineStr">
        <is>
          <t>Site security, fencing and hoardings</t>
        </is>
      </c>
      <c r="C7" s="3" t="inlineStr">
        <is>
          <t>NRM2 1.3</t>
        </is>
      </c>
      <c r="D7" s="3" t="inlineStr">
        <is>
          <t>LS</t>
        </is>
      </c>
      <c r="E7" s="3" t="n">
        <v>1</v>
      </c>
      <c r="F7" s="12" t="inlineStr"/>
      <c r="G7" s="12" t="inlineStr"/>
      <c r="H7" s="12" t="inlineStr"/>
      <c r="I7" s="12">
        <f>F7+G7+H7</f>
        <v/>
      </c>
      <c r="J7" s="12">
        <f>E7*I7</f>
        <v/>
      </c>
      <c r="K7" s="11" t="inlineStr"/>
      <c r="L7" s="11" t="inlineStr"/>
    </row>
    <row r="8" ht="18" customHeight="1">
      <c r="A8" s="7" t="inlineStr">
        <is>
          <t>01.06</t>
        </is>
      </c>
      <c r="B8" s="14" t="inlineStr">
        <is>
          <t>Health, Safety &amp; Environment (HSE) plan, equipment and signage</t>
        </is>
      </c>
      <c r="C8" s="7" t="inlineStr">
        <is>
          <t>ISO 45001</t>
        </is>
      </c>
      <c r="D8" s="7" t="inlineStr">
        <is>
          <t>LS</t>
        </is>
      </c>
      <c r="E8" s="7" t="n">
        <v>1</v>
      </c>
      <c r="F8" s="15" t="inlineStr"/>
      <c r="G8" s="15" t="inlineStr"/>
      <c r="H8" s="15" t="inlineStr"/>
      <c r="I8" s="15">
        <f>F8+G8+H8</f>
        <v/>
      </c>
      <c r="J8" s="15">
        <f>E8*I8</f>
        <v/>
      </c>
      <c r="K8" s="14" t="inlineStr"/>
      <c r="L8" s="14" t="inlineStr"/>
    </row>
    <row r="9" ht="18" customHeight="1">
      <c r="A9" s="3" t="inlineStr">
        <is>
          <t>01.07</t>
        </is>
      </c>
      <c r="B9" s="11" t="inlineStr">
        <is>
          <t>Traffic management during construction</t>
        </is>
      </c>
      <c r="C9" s="3" t="inlineStr">
        <is>
          <t>Local Regs</t>
        </is>
      </c>
      <c r="D9" s="3" t="inlineStr">
        <is>
          <t>LS</t>
        </is>
      </c>
      <c r="E9" s="3" t="n">
        <v>1</v>
      </c>
      <c r="F9" s="12" t="inlineStr"/>
      <c r="G9" s="12" t="inlineStr"/>
      <c r="H9" s="12" t="inlineStr"/>
      <c r="I9" s="12">
        <f>F9+G9+H9</f>
        <v/>
      </c>
      <c r="J9" s="12">
        <f>E9*I9</f>
        <v/>
      </c>
      <c r="K9" s="11" t="inlineStr"/>
      <c r="L9" s="11" t="inlineStr"/>
    </row>
    <row r="10" ht="18" customHeight="1">
      <c r="A10" s="7" t="inlineStr">
        <is>
          <t>01.08</t>
        </is>
      </c>
      <c r="B10" s="14" t="inlineStr">
        <is>
          <t>Site survey, setting out and as-built drawings</t>
        </is>
      </c>
      <c r="C10" s="7" t="inlineStr">
        <is>
          <t>ISO 17123</t>
        </is>
      </c>
      <c r="D10" s="7" t="inlineStr">
        <is>
          <t>LS</t>
        </is>
      </c>
      <c r="E10" s="7" t="n">
        <v>1</v>
      </c>
      <c r="F10" s="15" t="inlineStr"/>
      <c r="G10" s="15" t="inlineStr"/>
      <c r="H10" s="15" t="inlineStr"/>
      <c r="I10" s="15">
        <f>F10+G10+H10</f>
        <v/>
      </c>
      <c r="J10" s="15">
        <f>E10*I10</f>
        <v/>
      </c>
      <c r="K10" s="14" t="inlineStr"/>
      <c r="L10" s="14" t="inlineStr"/>
    </row>
    <row r="11" ht="18" customHeight="1">
      <c r="A11" s="3" t="inlineStr">
        <is>
          <t>01.09</t>
        </is>
      </c>
      <c r="B11" s="11" t="inlineStr">
        <is>
          <t>Insurance – contractor all-risk and public liability</t>
        </is>
      </c>
      <c r="C11" s="3" t="inlineStr">
        <is>
          <t>FIDIC 18</t>
        </is>
      </c>
      <c r="D11" s="3" t="inlineStr">
        <is>
          <t>LS</t>
        </is>
      </c>
      <c r="E11" s="3" t="n">
        <v>1</v>
      </c>
      <c r="F11" s="12" t="inlineStr"/>
      <c r="G11" s="12" t="inlineStr"/>
      <c r="H11" s="12" t="inlineStr"/>
      <c r="I11" s="12">
        <f>F11+G11+H11</f>
        <v/>
      </c>
      <c r="J11" s="12">
        <f>E11*I11</f>
        <v/>
      </c>
      <c r="K11" s="11" t="inlineStr"/>
      <c r="L11" s="11" t="inlineStr"/>
    </row>
    <row r="12" ht="18" customHeight="1">
      <c r="A12" s="7" t="inlineStr">
        <is>
          <t>01.10</t>
        </is>
      </c>
      <c r="B12" s="14" t="inlineStr">
        <is>
          <t>Performance bond / guarantee</t>
        </is>
      </c>
      <c r="C12" s="7" t="inlineStr">
        <is>
          <t>FIDIC 4.2</t>
        </is>
      </c>
      <c r="D12" s="7" t="inlineStr">
        <is>
          <t>LS</t>
        </is>
      </c>
      <c r="E12" s="7" t="n">
        <v>1</v>
      </c>
      <c r="F12" s="15" t="inlineStr"/>
      <c r="G12" s="15" t="inlineStr"/>
      <c r="H12" s="15" t="inlineStr"/>
      <c r="I12" s="15">
        <f>F12+G12+H12</f>
        <v/>
      </c>
      <c r="J12" s="15">
        <f>E12*I12</f>
        <v/>
      </c>
      <c r="K12" s="14" t="inlineStr"/>
      <c r="L12" s="14" t="inlineStr"/>
    </row>
    <row r="13" ht="18" customHeight="1">
      <c r="A13" s="3" t="inlineStr">
        <is>
          <t>01.11</t>
        </is>
      </c>
      <c r="B13" s="11" t="inlineStr">
        <is>
          <t>Testing and commissioning allowance (provisional)</t>
        </is>
      </c>
      <c r="C13" s="3" t="inlineStr">
        <is>
          <t>NRM2 2.7</t>
        </is>
      </c>
      <c r="D13" s="3" t="inlineStr">
        <is>
          <t>LS</t>
        </is>
      </c>
      <c r="E13" s="3" t="n">
        <v>1</v>
      </c>
      <c r="F13" s="12" t="inlineStr"/>
      <c r="G13" s="12" t="inlineStr"/>
      <c r="H13" s="12" t="inlineStr"/>
      <c r="I13" s="12">
        <f>F13+G13+H13</f>
        <v/>
      </c>
      <c r="J13" s="12">
        <f>E13*I13</f>
        <v/>
      </c>
      <c r="K13" s="11" t="inlineStr"/>
      <c r="L13" s="11" t="inlineStr"/>
    </row>
    <row r="14" ht="18" customHeight="1">
      <c r="A14" s="7" t="inlineStr">
        <is>
          <t>01.12</t>
        </is>
      </c>
      <c r="B14" s="14" t="inlineStr">
        <is>
          <t>Defects notification period and maintenance</t>
        </is>
      </c>
      <c r="C14" s="7" t="inlineStr">
        <is>
          <t>FIDIC 11</t>
        </is>
      </c>
      <c r="D14" s="7" t="inlineStr">
        <is>
          <t>Mth</t>
        </is>
      </c>
      <c r="E14" s="7" t="inlineStr"/>
      <c r="F14" s="15" t="inlineStr"/>
      <c r="G14" s="15" t="inlineStr"/>
      <c r="H14" s="15" t="inlineStr"/>
      <c r="I14" s="15">
        <f>F14+G14+H14</f>
        <v/>
      </c>
      <c r="J14" s="15" t="inlineStr"/>
      <c r="K14" s="14" t="inlineStr"/>
      <c r="L14" s="14" t="inlineStr"/>
    </row>
    <row r="15" ht="18" customHeight="1">
      <c r="A15" s="3" t="inlineStr">
        <is>
          <t>01.13</t>
        </is>
      </c>
      <c r="B15" s="11" t="inlineStr">
        <is>
          <t>Demolition and clearing of existing structures / site clearance</t>
        </is>
      </c>
      <c r="C15" s="3" t="inlineStr">
        <is>
          <t>NRM2 2.1</t>
        </is>
      </c>
      <c r="D15" s="3" t="inlineStr">
        <is>
          <t>LS</t>
        </is>
      </c>
      <c r="E15" s="3" t="n">
        <v>1</v>
      </c>
      <c r="F15" s="12" t="inlineStr"/>
      <c r="G15" s="12" t="inlineStr"/>
      <c r="H15" s="12" t="inlineStr"/>
      <c r="I15" s="12">
        <f>F15+G15+H15</f>
        <v/>
      </c>
      <c r="J15" s="12">
        <f>E15*I15</f>
        <v/>
      </c>
      <c r="K15" s="11" t="inlineStr"/>
      <c r="L15" s="11" t="inlineStr"/>
    </row>
    <row r="16" ht="18" customHeight="1">
      <c r="A16" s="7" t="inlineStr">
        <is>
          <t>01.14</t>
        </is>
      </c>
      <c r="B16" s="14" t="inlineStr">
        <is>
          <t>Waste management and disposal</t>
        </is>
      </c>
      <c r="C16" s="7" t="inlineStr">
        <is>
          <t>ISO 14001</t>
        </is>
      </c>
      <c r="D16" s="7" t="inlineStr">
        <is>
          <t>LS</t>
        </is>
      </c>
      <c r="E16" s="7" t="n">
        <v>1</v>
      </c>
      <c r="F16" s="15" t="inlineStr"/>
      <c r="G16" s="15" t="inlineStr"/>
      <c r="H16" s="15" t="inlineStr"/>
      <c r="I16" s="15">
        <f>F16+G16+H16</f>
        <v/>
      </c>
      <c r="J16" s="15">
        <f>E16*I16</f>
        <v/>
      </c>
      <c r="K16" s="14" t="inlineStr"/>
      <c r="L16" s="14" t="inlineStr"/>
    </row>
    <row r="17" ht="18" customHeight="1">
      <c r="A17" s="3" t="inlineStr">
        <is>
          <t>01.15</t>
        </is>
      </c>
      <c r="B17" s="11" t="inlineStr">
        <is>
          <t>BIM / STING coordination meetings and submissions</t>
        </is>
      </c>
      <c r="C17" s="3" t="inlineStr">
        <is>
          <t>ISO 19650</t>
        </is>
      </c>
      <c r="D17" s="3" t="inlineStr">
        <is>
          <t>LS</t>
        </is>
      </c>
      <c r="E17" s="3" t="n">
        <v>1</v>
      </c>
      <c r="F17" s="12" t="inlineStr"/>
      <c r="G17" s="12" t="inlineStr"/>
      <c r="H17" s="12" t="inlineStr"/>
      <c r="I17" s="12">
        <f>F17+G17+H17</f>
        <v/>
      </c>
      <c r="J17" s="12">
        <f>E17*I17</f>
        <v/>
      </c>
      <c r="K17" s="11" t="inlineStr"/>
      <c r="L17" s="11" t="inlineStr"/>
    </row>
    <row r="18" ht="20" customHeight="1">
      <c r="A18" s="17" t="inlineStr">
        <is>
          <t>SUBTOTAL – PRELIMINARY &amp; GENERAL</t>
        </is>
      </c>
      <c r="B18" s="61" t="n"/>
      <c r="C18" s="61" t="n"/>
      <c r="D18" s="61" t="n"/>
      <c r="E18" s="61" t="n"/>
      <c r="F18" s="61" t="n"/>
      <c r="G18" s="61" t="n"/>
      <c r="H18" s="61" t="n"/>
      <c r="I18" s="62" t="n"/>
      <c r="J18" s="18">
        <f>SUM(J3:J18)</f>
        <v/>
      </c>
      <c r="K18" s="19" t="n"/>
      <c r="L18" s="19" t="n"/>
    </row>
  </sheetData>
  <mergeCells count="2">
    <mergeCell ref="A18:I18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4" customWidth="1" min="3" max="3"/>
    <col width="20" customWidth="1" min="4" max="4"/>
    <col width="20" customWidth="1" min="5" max="5"/>
  </cols>
  <sheetData>
    <row r="1" ht="18" customHeight="1">
      <c r="A1" s="22" t="n"/>
      <c r="B1" s="22" t="n"/>
      <c r="C1" s="22" t="n"/>
      <c r="D1" s="22" t="n"/>
      <c r="E1" s="22" t="n"/>
    </row>
    <row r="2" ht="18" customHeight="1">
      <c r="A2" s="22" t="n"/>
      <c r="B2" s="23" t="inlineStr">
        <is>
          <t>BILL OF QUANTITIES
STANDARD TEMPLATE</t>
        </is>
      </c>
    </row>
    <row r="3" ht="18" customHeight="1">
      <c r="A3" s="22" t="n"/>
    </row>
    <row r="4" ht="18" customHeight="1">
      <c r="A4" s="22" t="n"/>
    </row>
    <row r="5" ht="18" customHeight="1">
      <c r="A5" s="22" t="n"/>
    </row>
    <row r="6" ht="18" customHeight="1">
      <c r="A6" s="22" t="n"/>
      <c r="B6" s="24" t="inlineStr">
        <is>
          <t>Stingtools Export Template  |  Based on NRM2 / FIDIC / ISO 15686 Standards</t>
        </is>
      </c>
    </row>
    <row r="7"/>
    <row r="8">
      <c r="B8" s="25" t="inlineStr">
        <is>
          <t>PROJECT INFORMATION</t>
        </is>
      </c>
      <c r="D8" s="25" t="inlineStr">
        <is>
          <t>DETAILS</t>
        </is>
      </c>
    </row>
    <row r="9" ht="20" customHeight="1">
      <c r="B9" s="63" t="inlineStr">
        <is>
          <t>Project Name  [PRJ_NAME_TXT]</t>
        </is>
      </c>
      <c r="C9" s="62" t="n"/>
      <c r="D9" s="27" t="inlineStr"/>
      <c r="E9" s="62" t="n"/>
    </row>
    <row r="10" ht="20" customHeight="1">
      <c r="B10" s="64" t="inlineStr">
        <is>
          <t>Project Number  [PRJ_NR_TXT]</t>
        </is>
      </c>
      <c r="C10" s="62" t="n"/>
      <c r="D10" s="27" t="inlineStr"/>
      <c r="E10" s="62" t="n"/>
    </row>
    <row r="11" ht="20" customHeight="1">
      <c r="B11" s="63" t="inlineStr">
        <is>
          <t>Client / Employer  [PRJ_TB_CLIENT_NAME_TXT]</t>
        </is>
      </c>
      <c r="C11" s="62" t="n"/>
      <c r="D11" s="27" t="inlineStr"/>
      <c r="E11" s="62" t="n"/>
    </row>
    <row r="12" ht="20" customHeight="1">
      <c r="B12" s="64" t="inlineStr">
        <is>
          <t>Contractor  [PRJ_TB_CONTRACTOR_NAME_TXT]</t>
        </is>
      </c>
      <c r="C12" s="62" t="n"/>
      <c r="D12" s="27" t="inlineStr"/>
      <c r="E12" s="62" t="n"/>
    </row>
    <row r="13" ht="20" customHeight="1">
      <c r="B13" s="63" t="inlineStr">
        <is>
          <t>Location / Site  [PRJ_ADDRESS_TXT]</t>
        </is>
      </c>
      <c r="C13" s="62" t="n"/>
      <c r="D13" s="27" t="inlineStr"/>
      <c r="E13" s="62" t="n"/>
    </row>
    <row r="14" ht="20" customHeight="1">
      <c r="B14" s="28" t="inlineStr">
        <is>
          <t>Contract Type</t>
        </is>
      </c>
      <c r="C14" s="62" t="n"/>
      <c r="D14" s="27" t="inlineStr">
        <is>
          <t>FIDIC / NEC / Lump Sum / BOQ</t>
        </is>
      </c>
      <c r="E14" s="62" t="n"/>
    </row>
    <row r="15" ht="20" customHeight="1">
      <c r="B15" s="26" t="inlineStr">
        <is>
          <t>Currency</t>
        </is>
      </c>
      <c r="C15" s="62" t="n"/>
      <c r="D15" s="27" t="inlineStr">
        <is>
          <t>UGX / USD</t>
        </is>
      </c>
      <c r="E15" s="62" t="n"/>
    </row>
    <row r="16" ht="20" customHeight="1">
      <c r="B16" s="64" t="inlineStr">
        <is>
          <t>Prepared By  [PRJ_TB_DRAWN_BY_TXT]</t>
        </is>
      </c>
      <c r="C16" s="62" t="n"/>
      <c r="D16" s="27" t="inlineStr"/>
      <c r="E16" s="62" t="n"/>
    </row>
    <row r="17" ht="20" customHeight="1">
      <c r="B17" s="63" t="inlineStr">
        <is>
          <t>Checked By  [PRJ_TB_CHECKED_BY_TXT]</t>
        </is>
      </c>
      <c r="C17" s="62" t="n"/>
      <c r="D17" s="27" t="inlineStr"/>
      <c r="E17" s="62" t="n"/>
    </row>
    <row r="18" ht="20" customHeight="1">
      <c r="B18" s="64" t="inlineStr">
        <is>
          <t>Date Issued  [PRJ_TB_DATE_DRAWN_TXT]</t>
        </is>
      </c>
      <c r="C18" s="62" t="n"/>
      <c r="D18" s="27" t="inlineStr"/>
      <c r="E18" s="62" t="n"/>
    </row>
    <row r="19" ht="20" customHeight="1">
      <c r="B19" s="63" t="inlineStr">
        <is>
          <t>Revision  [PRJ_TB_REVISION_NR_TXT]</t>
        </is>
      </c>
      <c r="C19" s="62" t="n"/>
      <c r="D19" s="27" t="inlineStr">
        <is>
          <t>Rev 0</t>
        </is>
      </c>
      <c r="E19" s="62" t="n"/>
    </row>
    <row r="20" ht="20" customHeight="1">
      <c r="B20" s="64" t="inlineStr">
        <is>
          <t>Standard Applied  [PRJ_ISO_STD_TXT]</t>
        </is>
      </c>
      <c r="C20" s="62" t="n"/>
      <c r="D20" s="27" t="inlineStr">
        <is>
          <t>NRM2 / FIDIC  /  ISO 15686</t>
        </is>
      </c>
      <c r="E20" s="62" t="n"/>
    </row>
    <row r="21"/>
    <row r="22">
      <c r="B22" s="9" t="inlineStr">
        <is>
          <t>INSTRUCTIONS:
• Fill in Project Information above before distributing
• Use sheet tabs below for each trade / division
• Enter quantities; rates populate automatically from the Rate Library tab
• All amounts auto-sum in the SUMMARY sheet</t>
        </is>
      </c>
      <c r="C22" s="50" t="n"/>
      <c r="D22" s="50" t="n"/>
      <c r="E22" s="51" t="n"/>
    </row>
    <row r="23">
      <c r="B23" s="52" t="n"/>
      <c r="E23" s="53" t="n"/>
    </row>
    <row r="24">
      <c r="B24" s="54" t="n"/>
      <c r="C24" s="55" t="n"/>
      <c r="D24" s="55" t="n"/>
      <c r="E24" s="56" t="n"/>
    </row>
  </sheetData>
  <mergeCells count="29">
    <mergeCell ref="D20:E20"/>
    <mergeCell ref="B16:C16"/>
    <mergeCell ref="D10:E10"/>
    <mergeCell ref="D19:E19"/>
    <mergeCell ref="B6:E6"/>
    <mergeCell ref="B2:E5"/>
    <mergeCell ref="B18:C18"/>
    <mergeCell ref="B12:C12"/>
    <mergeCell ref="B11:C11"/>
    <mergeCell ref="D11:E11"/>
    <mergeCell ref="D13:E13"/>
    <mergeCell ref="B14:C14"/>
    <mergeCell ref="B17:C17"/>
    <mergeCell ref="B8:C8"/>
    <mergeCell ref="D17:E17"/>
    <mergeCell ref="B13:C13"/>
    <mergeCell ref="B22:E24"/>
    <mergeCell ref="D16:E16"/>
    <mergeCell ref="B19:C19"/>
    <mergeCell ref="B10:C10"/>
    <mergeCell ref="D18:E18"/>
    <mergeCell ref="B9:C9"/>
    <mergeCell ref="D9:E9"/>
    <mergeCell ref="D12:E12"/>
    <mergeCell ref="D8:E8"/>
    <mergeCell ref="B15:C15"/>
    <mergeCell ref="D15:E15"/>
    <mergeCell ref="B20:C20"/>
    <mergeCell ref="D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5" customWidth="1" min="4" max="4"/>
  </cols>
  <sheetData>
    <row r="1" ht="18" customHeight="1">
      <c r="A1" s="22" t="n"/>
      <c r="B1" s="22" t="n"/>
      <c r="C1" s="22" t="n"/>
      <c r="D1" s="22" t="n"/>
    </row>
    <row r="2" ht="18" customHeight="1">
      <c r="A2" s="29" t="inlineStr">
        <is>
          <t>BOQ  –  COST SUMMARY</t>
        </is>
      </c>
    </row>
    <row r="3" ht="18" customHeight="1"/>
    <row r="4" ht="18" customHeight="1">
      <c r="A4" s="22" t="n"/>
      <c r="B4" s="22" t="n"/>
      <c r="C4" s="22" t="n"/>
      <c r="D4" s="22" t="n"/>
    </row>
    <row r="5">
      <c r="A5" s="30" t="inlineStr">
        <is>
          <t>Division / Trade</t>
        </is>
      </c>
      <c r="B5" s="62" t="n"/>
      <c r="C5" s="30" t="inlineStr">
        <is>
          <t>Sub-Total Amount</t>
        </is>
      </c>
      <c r="D5" s="31" t="n"/>
    </row>
    <row r="6" ht="20" customHeight="1">
      <c r="A6" s="32" t="inlineStr">
        <is>
          <t>DIV 01</t>
        </is>
      </c>
      <c r="B6" s="33" t="inlineStr">
        <is>
          <t>Preliminary &amp; General Items</t>
        </is>
      </c>
      <c r="C6" s="34" t="inlineStr"/>
      <c r="D6" s="35" t="n"/>
    </row>
    <row r="7" ht="20" customHeight="1">
      <c r="A7" s="36" t="inlineStr">
        <is>
          <t>DIV 02</t>
        </is>
      </c>
      <c r="B7" s="27" t="inlineStr">
        <is>
          <t>Civil &amp; Structural Works</t>
        </is>
      </c>
      <c r="C7" s="37" t="inlineStr"/>
      <c r="D7" s="38" t="n"/>
    </row>
    <row r="8" ht="20" customHeight="1">
      <c r="A8" s="32" t="inlineStr">
        <is>
          <t>DIV 03</t>
        </is>
      </c>
      <c r="B8" s="33" t="inlineStr">
        <is>
          <t>Architectural &amp; Finishes</t>
        </is>
      </c>
      <c r="C8" s="34" t="inlineStr"/>
      <c r="D8" s="35" t="n"/>
    </row>
    <row r="9" ht="20" customHeight="1">
      <c r="A9" s="36" t="inlineStr">
        <is>
          <t>DIV 04</t>
        </is>
      </c>
      <c r="B9" s="27" t="inlineStr">
        <is>
          <t>Mechanical Works (HVAC / Plumbing / FF)</t>
        </is>
      </c>
      <c r="C9" s="37" t="inlineStr"/>
      <c r="D9" s="38" t="n"/>
    </row>
    <row r="10" ht="20" customHeight="1">
      <c r="A10" s="32" t="inlineStr">
        <is>
          <t>DIV 05</t>
        </is>
      </c>
      <c r="B10" s="33" t="inlineStr">
        <is>
          <t>Electrical Works (LV / ELV / Lighting)</t>
        </is>
      </c>
      <c r="C10" s="34" t="inlineStr"/>
      <c r="D10" s="35" t="n"/>
    </row>
    <row r="11" ht="20" customHeight="1">
      <c r="A11" s="36" t="inlineStr">
        <is>
          <t>DIV 06</t>
        </is>
      </c>
      <c r="B11" s="27" t="inlineStr">
        <is>
          <t>Provisional Sums &amp; Contingency</t>
        </is>
      </c>
      <c r="C11" s="37" t="inlineStr"/>
      <c r="D11" s="38" t="n"/>
    </row>
    <row r="13" ht="22" customHeight="1">
      <c r="A13" s="39" t="inlineStr">
        <is>
          <t>TOTAL CONSTRUCTION COST (excl. VAT)</t>
        </is>
      </c>
      <c r="B13" s="62" t="n"/>
      <c r="C13" s="40">
        <f>SUM(C6:C11)</f>
        <v/>
      </c>
      <c r="D13" s="31" t="n"/>
    </row>
    <row r="14" ht="20" customHeight="1">
      <c r="A14" s="41" t="inlineStr">
        <is>
          <t>VAT @ 18% (Uganda standard rate)</t>
        </is>
      </c>
      <c r="B14" s="62" t="n"/>
      <c r="C14" s="42">
        <f>C13*0.18</f>
        <v/>
      </c>
      <c r="D14" s="43" t="n"/>
    </row>
    <row r="16" ht="26" customHeight="1">
      <c r="A16" s="44" t="inlineStr">
        <is>
          <t>GRAND TOTAL (incl. VAT)</t>
        </is>
      </c>
      <c r="B16" s="62" t="n"/>
      <c r="C16" s="45">
        <f>C13+C14</f>
        <v/>
      </c>
      <c r="D16" s="46" t="n"/>
    </row>
  </sheetData>
  <mergeCells count="5">
    <mergeCell ref="A16:B16"/>
    <mergeCell ref="A5:B5"/>
    <mergeCell ref="A13:B13"/>
    <mergeCell ref="A14:B14"/>
    <mergeCell ref="A2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38" customWidth="1" min="4" max="4"/>
    <col width="12" customWidth="1" min="5" max="5"/>
    <col width="44" customWidth="1" min="6" max="6"/>
    <col width="20" customWidth="1" min="7" max="7"/>
  </cols>
  <sheetData>
    <row r="1" ht="28" customHeight="1">
      <c r="A1" s="65" t="inlineStr">
        <is>
          <t>STINGTOOLS PARAMETER REFERENCE  —  BOQ Column  ↔  Revit Shared Parameter (MR_PARAMETERS.txt)</t>
        </is>
      </c>
    </row>
    <row r="2" ht="26" customHeight="1">
      <c r="A2" s="2" t="inlineStr">
        <is>
          <t>#</t>
        </is>
      </c>
      <c r="B2" s="2" t="inlineStr">
        <is>
          <t>BOQ Sheet</t>
        </is>
      </c>
      <c r="C2" s="2" t="inlineStr">
        <is>
          <t>BOQ Field / Column</t>
        </is>
      </c>
      <c r="D2" s="2" t="inlineStr">
        <is>
          <t>STING Parameter</t>
        </is>
      </c>
      <c r="E2" s="2" t="inlineStr">
        <is>
          <t>Data Type</t>
        </is>
      </c>
      <c r="F2" s="2" t="inlineStr">
        <is>
          <t>Description / Usage</t>
        </is>
      </c>
      <c r="G2" s="2" t="inlineStr">
        <is>
          <t>Group</t>
        </is>
      </c>
    </row>
    <row r="3" ht="15" customHeight="1">
      <c r="A3" s="66" t="n">
        <v>1</v>
      </c>
      <c r="B3" s="67" t="inlineStr">
        <is>
          <t>PROJECT INFO</t>
        </is>
      </c>
      <c r="C3" s="67" t="inlineStr">
        <is>
          <t>Project Name</t>
        </is>
      </c>
      <c r="D3" s="68" t="inlineStr">
        <is>
          <t>PRJ_NAME_TXT</t>
        </is>
      </c>
      <c r="E3" s="66" t="inlineStr">
        <is>
          <t>TEXT</t>
        </is>
      </c>
      <c r="F3" s="67" t="inlineStr">
        <is>
          <t>Project title on cover sheet and title block</t>
        </is>
      </c>
      <c r="G3" s="67" t="inlineStr">
        <is>
          <t>PRJ_INFORMATION</t>
        </is>
      </c>
    </row>
    <row r="4" ht="15" customHeight="1">
      <c r="A4" s="66" t="n">
        <v>2</v>
      </c>
      <c r="B4" s="67" t="inlineStr">
        <is>
          <t>PROJECT INFO</t>
        </is>
      </c>
      <c r="C4" s="67" t="inlineStr">
        <is>
          <t>Project Number</t>
        </is>
      </c>
      <c r="D4" s="68" t="inlineStr">
        <is>
          <t>PRJ_NR_TXT</t>
        </is>
      </c>
      <c r="E4" s="66" t="inlineStr">
        <is>
          <t>TEXT</t>
        </is>
      </c>
      <c r="F4" s="67" t="inlineStr">
        <is>
          <t>Unique project reference / job number</t>
        </is>
      </c>
      <c r="G4" s="67" t="inlineStr">
        <is>
          <t>PRJ_INFORMATION</t>
        </is>
      </c>
    </row>
    <row r="5" ht="15" customHeight="1">
      <c r="A5" s="66" t="n">
        <v>3</v>
      </c>
      <c r="B5" s="67" t="inlineStr">
        <is>
          <t>PROJECT INFO</t>
        </is>
      </c>
      <c r="C5" s="67" t="inlineStr">
        <is>
          <t>Client / Employer</t>
        </is>
      </c>
      <c r="D5" s="68" t="inlineStr">
        <is>
          <t>PRJ_TB_CLIENT_NAME_TXT</t>
        </is>
      </c>
      <c r="E5" s="66" t="inlineStr">
        <is>
          <t>TEXT</t>
        </is>
      </c>
      <c r="F5" s="67" t="inlineStr">
        <is>
          <t>Client / Employer organisation name</t>
        </is>
      </c>
      <c r="G5" s="67" t="inlineStr">
        <is>
          <t>PRJ_INFORMATION</t>
        </is>
      </c>
    </row>
    <row r="6" ht="15" customHeight="1">
      <c r="A6" s="66" t="n">
        <v>4</v>
      </c>
      <c r="B6" s="67" t="inlineStr">
        <is>
          <t>PROJECT INFO</t>
        </is>
      </c>
      <c r="C6" s="67" t="inlineStr">
        <is>
          <t>Client Address</t>
        </is>
      </c>
      <c r="D6" s="68" t="inlineStr">
        <is>
          <t>PRJ_TB_CLIENT_ADDRESS_TXT</t>
        </is>
      </c>
      <c r="E6" s="66" t="inlineStr">
        <is>
          <t>TEXT</t>
        </is>
      </c>
      <c r="F6" s="67" t="inlineStr">
        <is>
          <t>Client postal / physical address</t>
        </is>
      </c>
      <c r="G6" s="67" t="inlineStr">
        <is>
          <t>PRJ_INFORMATION</t>
        </is>
      </c>
    </row>
    <row r="7" ht="15" customHeight="1">
      <c r="A7" s="66" t="n">
        <v>5</v>
      </c>
      <c r="B7" s="67" t="inlineStr">
        <is>
          <t>PROJECT INFO</t>
        </is>
      </c>
      <c r="C7" s="67" t="inlineStr">
        <is>
          <t>Contractor</t>
        </is>
      </c>
      <c r="D7" s="68" t="inlineStr">
        <is>
          <t>PRJ_TB_CONTRACTOR_NAME_TXT</t>
        </is>
      </c>
      <c r="E7" s="66" t="inlineStr">
        <is>
          <t>TEXT</t>
        </is>
      </c>
      <c r="F7" s="67" t="inlineStr">
        <is>
          <t>Main contractor name</t>
        </is>
      </c>
      <c r="G7" s="67" t="inlineStr">
        <is>
          <t>PRJ_INFORMATION</t>
        </is>
      </c>
    </row>
    <row r="8" ht="15" customHeight="1">
      <c r="A8" s="66" t="n">
        <v>6</v>
      </c>
      <c r="B8" s="67" t="inlineStr">
        <is>
          <t>PROJECT INFO</t>
        </is>
      </c>
      <c r="C8" s="67" t="inlineStr">
        <is>
          <t>Contractor Address</t>
        </is>
      </c>
      <c r="D8" s="68" t="inlineStr">
        <is>
          <t>PRJ_TB_CONTRACTOR_ADDRESS_TXT</t>
        </is>
      </c>
      <c r="E8" s="66" t="inlineStr">
        <is>
          <t>TEXT</t>
        </is>
      </c>
      <c r="F8" s="67" t="inlineStr">
        <is>
          <t>Contractor registered address</t>
        </is>
      </c>
      <c r="G8" s="67" t="inlineStr">
        <is>
          <t>PRJ_INFORMATION</t>
        </is>
      </c>
    </row>
    <row r="9" ht="15" customHeight="1">
      <c r="A9" s="66" t="n">
        <v>7</v>
      </c>
      <c r="B9" s="67" t="inlineStr">
        <is>
          <t>PROJECT INFO</t>
        </is>
      </c>
      <c r="C9" s="67" t="inlineStr">
        <is>
          <t>Consultant / Designer</t>
        </is>
      </c>
      <c r="D9" s="68" t="inlineStr">
        <is>
          <t>PRJ_TB_CONSULTANT_NAME_TXT</t>
        </is>
      </c>
      <c r="E9" s="66" t="inlineStr">
        <is>
          <t>TEXT</t>
        </is>
      </c>
      <c r="F9" s="67" t="inlineStr">
        <is>
          <t>Lead design consultant</t>
        </is>
      </c>
      <c r="G9" s="67" t="inlineStr">
        <is>
          <t>PRJ_INFORMATION</t>
        </is>
      </c>
    </row>
    <row r="10" ht="15" customHeight="1">
      <c r="A10" s="66" t="n">
        <v>8</v>
      </c>
      <c r="B10" s="67" t="inlineStr">
        <is>
          <t>PROJECT INFO</t>
        </is>
      </c>
      <c r="C10" s="67" t="inlineStr">
        <is>
          <t>Consultant Address</t>
        </is>
      </c>
      <c r="D10" s="68" t="inlineStr">
        <is>
          <t>PRJ_TB_CONSULTANT_ADDRESS_TXT</t>
        </is>
      </c>
      <c r="E10" s="66" t="inlineStr">
        <is>
          <t>TEXT</t>
        </is>
      </c>
      <c r="F10" s="67" t="inlineStr">
        <is>
          <t>Consultant office address</t>
        </is>
      </c>
      <c r="G10" s="67" t="inlineStr">
        <is>
          <t>PRJ_INFORMATION</t>
        </is>
      </c>
    </row>
    <row r="11" ht="15" customHeight="1">
      <c r="A11" s="66" t="n">
        <v>9</v>
      </c>
      <c r="B11" s="67" t="inlineStr">
        <is>
          <t>PROJECT INFO</t>
        </is>
      </c>
      <c r="C11" s="67" t="inlineStr">
        <is>
          <t>MEP Consultant</t>
        </is>
      </c>
      <c r="D11" s="68" t="inlineStr">
        <is>
          <t>PRJ_TB_MEP_CONSULTANTS_NAME_TXT</t>
        </is>
      </c>
      <c r="E11" s="66" t="inlineStr">
        <is>
          <t>TEXT</t>
        </is>
      </c>
      <c r="F11" s="67" t="inlineStr">
        <is>
          <t>MEP engineering consultant name</t>
        </is>
      </c>
      <c r="G11" s="67" t="inlineStr">
        <is>
          <t>PRJ_INFORMATION</t>
        </is>
      </c>
    </row>
    <row r="12" ht="15" customHeight="1">
      <c r="A12" s="66" t="n">
        <v>10</v>
      </c>
      <c r="B12" s="67" t="inlineStr">
        <is>
          <t>PROJECT INFO</t>
        </is>
      </c>
      <c r="C12" s="67" t="inlineStr">
        <is>
          <t>Structural Consultant</t>
        </is>
      </c>
      <c r="D12" s="68" t="inlineStr">
        <is>
          <t>PRJ_TB_STRUCTURAL_CONSULTANTS_NAME_TXT</t>
        </is>
      </c>
      <c r="E12" s="66" t="inlineStr">
        <is>
          <t>TEXT</t>
        </is>
      </c>
      <c r="F12" s="67" t="inlineStr">
        <is>
          <t>Structural engineering consultant</t>
        </is>
      </c>
      <c r="G12" s="67" t="inlineStr">
        <is>
          <t>PRJ_INFORMATION</t>
        </is>
      </c>
    </row>
    <row r="13" ht="15" customHeight="1">
      <c r="A13" s="66" t="n">
        <v>11</v>
      </c>
      <c r="B13" s="67" t="inlineStr">
        <is>
          <t>PROJECT INFO</t>
        </is>
      </c>
      <c r="C13" s="67" t="inlineStr">
        <is>
          <t>Location / Site</t>
        </is>
      </c>
      <c r="D13" s="68" t="inlineStr">
        <is>
          <t>PRJ_ADDRESS_TXT</t>
        </is>
      </c>
      <c r="E13" s="66" t="inlineStr">
        <is>
          <t>TEXT</t>
        </is>
      </c>
      <c r="F13" s="67" t="inlineStr">
        <is>
          <t>Project site physical address</t>
        </is>
      </c>
      <c r="G13" s="67" t="inlineStr">
        <is>
          <t>PRJ_INFORMATION</t>
        </is>
      </c>
    </row>
    <row r="14" ht="15" customHeight="1">
      <c r="A14" s="66" t="n">
        <v>12</v>
      </c>
      <c r="B14" s="67" t="inlineStr">
        <is>
          <t>PROJECT INFO</t>
        </is>
      </c>
      <c r="C14" s="67" t="inlineStr">
        <is>
          <t>Site Address (line 2)</t>
        </is>
      </c>
      <c r="D14" s="68" t="inlineStr">
        <is>
          <t>PRJ_ADDRESS_2_TXT</t>
        </is>
      </c>
      <c r="E14" s="66" t="inlineStr">
        <is>
          <t>TEXT</t>
        </is>
      </c>
      <c r="F14" s="67" t="inlineStr">
        <is>
          <t>Additional site address detail</t>
        </is>
      </c>
      <c r="G14" s="67" t="inlineStr">
        <is>
          <t>PRJ_INFORMATION</t>
        </is>
      </c>
    </row>
    <row r="15" ht="15" customHeight="1">
      <c r="A15" s="66" t="n">
        <v>13</v>
      </c>
      <c r="B15" s="67" t="inlineStr">
        <is>
          <t>PROJECT INFO</t>
        </is>
      </c>
      <c r="C15" s="67" t="inlineStr">
        <is>
          <t>Area / Zone</t>
        </is>
      </c>
      <c r="D15" s="68" t="inlineStr">
        <is>
          <t>PRJ_AREA_NAME_TXT</t>
        </is>
      </c>
      <c r="E15" s="66" t="inlineStr">
        <is>
          <t>TEXT</t>
        </is>
      </c>
      <c r="F15" s="67" t="inlineStr">
        <is>
          <t>Zone, block or area within the project</t>
        </is>
      </c>
      <c r="G15" s="67" t="inlineStr">
        <is>
          <t>PRJ_INFORMATION</t>
        </is>
      </c>
    </row>
    <row r="16" ht="15" customHeight="1">
      <c r="A16" s="66" t="n">
        <v>14</v>
      </c>
      <c r="B16" s="67" t="inlineStr">
        <is>
          <t>PROJECT INFO</t>
        </is>
      </c>
      <c r="C16" s="67" t="inlineStr">
        <is>
          <t>Grid Reference</t>
        </is>
      </c>
      <c r="D16" s="68" t="inlineStr">
        <is>
          <t>PRJ_GRID_REF_TXT</t>
        </is>
      </c>
      <c r="E16" s="66" t="inlineStr">
        <is>
          <t>TEXT</t>
        </is>
      </c>
      <c r="F16" s="67" t="inlineStr">
        <is>
          <t>National grid / plot reference</t>
        </is>
      </c>
      <c r="G16" s="67" t="inlineStr">
        <is>
          <t>PRJ_INFORMATION</t>
        </is>
      </c>
    </row>
    <row r="17" ht="15" customHeight="1">
      <c r="A17" s="66" t="n">
        <v>15</v>
      </c>
      <c r="B17" s="67" t="inlineStr">
        <is>
          <t>PROJECT INFO</t>
        </is>
      </c>
      <c r="C17" s="67" t="inlineStr">
        <is>
          <t>Design Stage</t>
        </is>
      </c>
      <c r="D17" s="68" t="inlineStr">
        <is>
          <t>PRJ_TB_DESIGN_STAGE_TXT</t>
        </is>
      </c>
      <c r="E17" s="66" t="inlineStr">
        <is>
          <t>TEXT</t>
        </is>
      </c>
      <c r="F17" s="67" t="inlineStr">
        <is>
          <t>RIBA / ISO 19650 design stage (e.g. Stage 4)</t>
        </is>
      </c>
      <c r="G17" s="67" t="inlineStr">
        <is>
          <t>PRJ_INFORMATION</t>
        </is>
      </c>
    </row>
    <row r="18" ht="15" customHeight="1">
      <c r="A18" s="66" t="n">
        <v>16</v>
      </c>
      <c r="B18" s="67" t="inlineStr">
        <is>
          <t>PROJECT INFO</t>
        </is>
      </c>
      <c r="C18" s="67" t="inlineStr">
        <is>
          <t>Phase</t>
        </is>
      </c>
      <c r="D18" s="68" t="inlineStr">
        <is>
          <t>PRJ_PHASE_TXT</t>
        </is>
      </c>
      <c r="E18" s="66" t="inlineStr">
        <is>
          <t>TEXT</t>
        </is>
      </c>
      <c r="F18" s="67" t="inlineStr">
        <is>
          <t>Project phase or package (e.g. Phase 1A)</t>
        </is>
      </c>
      <c r="G18" s="67" t="inlineStr">
        <is>
          <t>PRJ_INFORMATION</t>
        </is>
      </c>
    </row>
    <row r="19" ht="15" customHeight="1">
      <c r="A19" s="66" t="n">
        <v>17</v>
      </c>
      <c r="B19" s="67" t="inlineStr">
        <is>
          <t>PROJECT INFO</t>
        </is>
      </c>
      <c r="C19" s="67" t="inlineStr">
        <is>
          <t>Drawing Title</t>
        </is>
      </c>
      <c r="D19" s="68" t="inlineStr">
        <is>
          <t>PRJ_DRAWING_TITLE_TXT</t>
        </is>
      </c>
      <c r="E19" s="66" t="inlineStr">
        <is>
          <t>TEXT</t>
        </is>
      </c>
      <c r="F19" s="67" t="inlineStr">
        <is>
          <t>Drawing title as shown on title block</t>
        </is>
      </c>
      <c r="G19" s="67" t="inlineStr">
        <is>
          <t>PRJ_INFORMATION</t>
        </is>
      </c>
    </row>
    <row r="20" ht="15" customHeight="1">
      <c r="A20" s="66" t="n">
        <v>18</v>
      </c>
      <c r="B20" s="67" t="inlineStr">
        <is>
          <t>PROJECT INFO</t>
        </is>
      </c>
      <c r="C20" s="67" t="inlineStr">
        <is>
          <t>Drawing Number</t>
        </is>
      </c>
      <c r="D20" s="68" t="inlineStr">
        <is>
          <t>PRJ_DRAWING_NR_TXT</t>
        </is>
      </c>
      <c r="E20" s="66" t="inlineStr">
        <is>
          <t>TEXT</t>
        </is>
      </c>
      <c r="F20" s="67" t="inlineStr">
        <is>
          <t>Drawing number reference</t>
        </is>
      </c>
      <c r="G20" s="67" t="inlineStr">
        <is>
          <t>PRJ_INFORMATION</t>
        </is>
      </c>
    </row>
    <row r="21" ht="15" customHeight="1">
      <c r="A21" s="66" t="n">
        <v>19</v>
      </c>
      <c r="B21" s="67" t="inlineStr">
        <is>
          <t>PROJECT INFO</t>
        </is>
      </c>
      <c r="C21" s="67" t="inlineStr">
        <is>
          <t>Drawing Scale</t>
        </is>
      </c>
      <c r="D21" s="68" t="inlineStr">
        <is>
          <t>PRJ_DRAWING_SCALE_TXT</t>
        </is>
      </c>
      <c r="E21" s="66" t="inlineStr">
        <is>
          <t>TEXT</t>
        </is>
      </c>
      <c r="F21" s="67" t="inlineStr">
        <is>
          <t>Plot scale (e.g. 1:50, 1:100, NTS)</t>
        </is>
      </c>
      <c r="G21" s="67" t="inlineStr">
        <is>
          <t>PRJ_INFORMATION</t>
        </is>
      </c>
    </row>
    <row r="22" ht="15" customHeight="1">
      <c r="A22" s="66" t="n">
        <v>20</v>
      </c>
      <c r="B22" s="67" t="inlineStr">
        <is>
          <t>PROJECT INFO</t>
        </is>
      </c>
      <c r="C22" s="67" t="inlineStr">
        <is>
          <t>Sheet Number</t>
        </is>
      </c>
      <c r="D22" s="68" t="inlineStr">
        <is>
          <t>PRJ_TB_SHEET_NR_TXT</t>
        </is>
      </c>
      <c r="E22" s="66" t="inlineStr">
        <is>
          <t>TEXT</t>
        </is>
      </c>
      <c r="F22" s="67" t="inlineStr">
        <is>
          <t>Current sheet / page number</t>
        </is>
      </c>
      <c r="G22" s="67" t="inlineStr">
        <is>
          <t>PRJ_INFORMATION</t>
        </is>
      </c>
    </row>
    <row r="23" ht="15" customHeight="1">
      <c r="A23" s="66" t="n">
        <v>21</v>
      </c>
      <c r="B23" s="67" t="inlineStr">
        <is>
          <t>PROJECT INFO</t>
        </is>
      </c>
      <c r="C23" s="67" t="inlineStr">
        <is>
          <t>Total Sheets</t>
        </is>
      </c>
      <c r="D23" s="68" t="inlineStr">
        <is>
          <t>PRJ_TB_TOTAL_NO_SHEETS_TXT</t>
        </is>
      </c>
      <c r="E23" s="66" t="inlineStr">
        <is>
          <t>TEXT</t>
        </is>
      </c>
      <c r="F23" s="67" t="inlineStr">
        <is>
          <t>Total number of drawings in set</t>
        </is>
      </c>
      <c r="G23" s="67" t="inlineStr">
        <is>
          <t>PRJ_INFORMATION</t>
        </is>
      </c>
    </row>
    <row r="24" ht="15" customHeight="1">
      <c r="A24" s="66" t="n">
        <v>22</v>
      </c>
      <c r="B24" s="67" t="inlineStr">
        <is>
          <t>PROJECT INFO</t>
        </is>
      </c>
      <c r="C24" s="67" t="inlineStr">
        <is>
          <t>Discipline</t>
        </is>
      </c>
      <c r="D24" s="68" t="inlineStr">
        <is>
          <t>PRJ_TB_DISCIPLINE_TXT</t>
        </is>
      </c>
      <c r="E24" s="66" t="inlineStr">
        <is>
          <t>TEXT</t>
        </is>
      </c>
      <c r="F24" s="67" t="inlineStr">
        <is>
          <t>Drawing discipline code (ARCH / STRUCT / MEP)</t>
        </is>
      </c>
      <c r="G24" s="67" t="inlineStr">
        <is>
          <t>PRJ_INFORMATION</t>
        </is>
      </c>
    </row>
    <row r="25" ht="15" customHeight="1">
      <c r="A25" s="66" t="n">
        <v>23</v>
      </c>
      <c r="B25" s="67" t="inlineStr">
        <is>
          <t>PROJECT INFO</t>
        </is>
      </c>
      <c r="C25" s="67" t="inlineStr">
        <is>
          <t>Prepared By</t>
        </is>
      </c>
      <c r="D25" s="68" t="inlineStr">
        <is>
          <t>PRJ_TB_DRAWN_BY_TXT</t>
        </is>
      </c>
      <c r="E25" s="66" t="inlineStr">
        <is>
          <t>TEXT</t>
        </is>
      </c>
      <c r="F25" s="67" t="inlineStr">
        <is>
          <t>Drafter name / initials</t>
        </is>
      </c>
      <c r="G25" s="67" t="inlineStr">
        <is>
          <t>PRJ_INFORMATION</t>
        </is>
      </c>
    </row>
    <row r="26" ht="15" customHeight="1">
      <c r="A26" s="66" t="n">
        <v>24</v>
      </c>
      <c r="B26" s="67" t="inlineStr">
        <is>
          <t>PROJECT INFO</t>
        </is>
      </c>
      <c r="C26" s="67" t="inlineStr">
        <is>
          <t>Date Issued</t>
        </is>
      </c>
      <c r="D26" s="68" t="inlineStr">
        <is>
          <t>PRJ_TB_DATE_DRAWN_TXT</t>
        </is>
      </c>
      <c r="E26" s="66" t="inlineStr">
        <is>
          <t>TEXT</t>
        </is>
      </c>
      <c r="F26" s="67" t="inlineStr">
        <is>
          <t>Date drawing prepared</t>
        </is>
      </c>
      <c r="G26" s="67" t="inlineStr">
        <is>
          <t>PRJ_INFORMATION</t>
        </is>
      </c>
    </row>
    <row r="27" ht="15" customHeight="1">
      <c r="A27" s="66" t="n">
        <v>25</v>
      </c>
      <c r="B27" s="67" t="inlineStr">
        <is>
          <t>PROJECT INFO</t>
        </is>
      </c>
      <c r="C27" s="67" t="inlineStr">
        <is>
          <t>Checked By</t>
        </is>
      </c>
      <c r="D27" s="68" t="inlineStr">
        <is>
          <t>PRJ_TB_CHECKED_BY_TXT</t>
        </is>
      </c>
      <c r="E27" s="66" t="inlineStr">
        <is>
          <t>TEXT</t>
        </is>
      </c>
      <c r="F27" s="67" t="inlineStr">
        <is>
          <t>Checker name / initials</t>
        </is>
      </c>
      <c r="G27" s="67" t="inlineStr">
        <is>
          <t>PRJ_INFORMATION</t>
        </is>
      </c>
    </row>
    <row r="28" ht="15" customHeight="1">
      <c r="A28" s="66" t="n">
        <v>26</v>
      </c>
      <c r="B28" s="67" t="inlineStr">
        <is>
          <t>PROJECT INFO</t>
        </is>
      </c>
      <c r="C28" s="67" t="inlineStr">
        <is>
          <t>Date Checked</t>
        </is>
      </c>
      <c r="D28" s="68" t="inlineStr">
        <is>
          <t>PRJ_TB_DATE_CHECKED_TXT</t>
        </is>
      </c>
      <c r="E28" s="66" t="inlineStr">
        <is>
          <t>TEXT</t>
        </is>
      </c>
      <c r="F28" s="67" t="inlineStr">
        <is>
          <t>Date drawing checked</t>
        </is>
      </c>
      <c r="G28" s="67" t="inlineStr">
        <is>
          <t>PRJ_INFORMATION</t>
        </is>
      </c>
    </row>
    <row r="29" ht="15" customHeight="1">
      <c r="A29" s="66" t="n">
        <v>27</v>
      </c>
      <c r="B29" s="67" t="inlineStr">
        <is>
          <t>PROJECT INFO</t>
        </is>
      </c>
      <c r="C29" s="67" t="inlineStr">
        <is>
          <t>Approved By</t>
        </is>
      </c>
      <c r="D29" s="68" t="inlineStr">
        <is>
          <t>PRJ_TB_APVD_BY_TXT</t>
        </is>
      </c>
      <c r="E29" s="66" t="inlineStr">
        <is>
          <t>TEXT</t>
        </is>
      </c>
      <c r="F29" s="67" t="inlineStr">
        <is>
          <t>Approver name / initials</t>
        </is>
      </c>
      <c r="G29" s="67" t="inlineStr">
        <is>
          <t>PRJ_INFORMATION</t>
        </is>
      </c>
    </row>
    <row r="30" ht="15" customHeight="1">
      <c r="A30" s="66" t="n">
        <v>28</v>
      </c>
      <c r="B30" s="67" t="inlineStr">
        <is>
          <t>PROJECT INFO</t>
        </is>
      </c>
      <c r="C30" s="67" t="inlineStr">
        <is>
          <t>Date Approved</t>
        </is>
      </c>
      <c r="D30" s="68" t="inlineStr">
        <is>
          <t>PRJ_TB_DATE_APVD_TXT</t>
        </is>
      </c>
      <c r="E30" s="66" t="inlineStr">
        <is>
          <t>TEXT</t>
        </is>
      </c>
      <c r="F30" s="67" t="inlineStr">
        <is>
          <t>Date drawing approved</t>
        </is>
      </c>
      <c r="G30" s="67" t="inlineStr">
        <is>
          <t>PRJ_INFORMATION</t>
        </is>
      </c>
    </row>
    <row r="31" ht="15" customHeight="1">
      <c r="A31" s="66" t="n">
        <v>29</v>
      </c>
      <c r="B31" s="67" t="inlineStr">
        <is>
          <t>PROJECT INFO</t>
        </is>
      </c>
      <c r="C31" s="67" t="inlineStr">
        <is>
          <t>Revision</t>
        </is>
      </c>
      <c r="D31" s="68" t="inlineStr">
        <is>
          <t>PRJ_TB_REVISION_NR_TXT</t>
        </is>
      </c>
      <c r="E31" s="66" t="inlineStr">
        <is>
          <t>TEXT</t>
        </is>
      </c>
      <c r="F31" s="67" t="inlineStr">
        <is>
          <t>Revision identifier (e.g. Rev 0, Rev A)</t>
        </is>
      </c>
      <c r="G31" s="67" t="inlineStr">
        <is>
          <t>PRJ_INFORMATION</t>
        </is>
      </c>
    </row>
    <row r="32" ht="15" customHeight="1">
      <c r="A32" s="66" t="n">
        <v>30</v>
      </c>
      <c r="B32" s="67" t="inlineStr">
        <is>
          <t>PROJECT INFO</t>
        </is>
      </c>
      <c r="C32" s="67" t="inlineStr">
        <is>
          <t>Revision Date</t>
        </is>
      </c>
      <c r="D32" s="68" t="inlineStr">
        <is>
          <t>PRJ_TB_REVISION_DATE_TXT</t>
        </is>
      </c>
      <c r="E32" s="66" t="inlineStr">
        <is>
          <t>TEXT</t>
        </is>
      </c>
      <c r="F32" s="67" t="inlineStr">
        <is>
          <t>Date of latest revision</t>
        </is>
      </c>
      <c r="G32" s="67" t="inlineStr">
        <is>
          <t>PRJ_INFORMATION</t>
        </is>
      </c>
    </row>
    <row r="33" ht="15" customHeight="1">
      <c r="A33" s="66" t="n">
        <v>31</v>
      </c>
      <c r="B33" s="67" t="inlineStr">
        <is>
          <t>PROJECT INFO</t>
        </is>
      </c>
      <c r="C33" s="67" t="inlineStr">
        <is>
          <t>Revision Description</t>
        </is>
      </c>
      <c r="D33" s="68" t="inlineStr">
        <is>
          <t>PRJ_TB_REVISION_DESCRIPTION_TXT</t>
        </is>
      </c>
      <c r="E33" s="66" t="inlineStr">
        <is>
          <t>TEXT</t>
        </is>
      </c>
      <c r="F33" s="67" t="inlineStr">
        <is>
          <t>Summary of revision changes</t>
        </is>
      </c>
      <c r="G33" s="67" t="inlineStr">
        <is>
          <t>PRJ_INFORMATION</t>
        </is>
      </c>
    </row>
    <row r="34" ht="15" customHeight="1">
      <c r="A34" s="66" t="n">
        <v>32</v>
      </c>
      <c r="B34" s="67" t="inlineStr">
        <is>
          <t>PROJECT INFO</t>
        </is>
      </c>
      <c r="C34" s="67" t="inlineStr">
        <is>
          <t>Issue Purpose</t>
        </is>
      </c>
      <c r="D34" s="68" t="inlineStr">
        <is>
          <t>PRJ_DWG_ISSUE_PURPOSE_TXT</t>
        </is>
      </c>
      <c r="E34" s="66" t="inlineStr">
        <is>
          <t>TEXT</t>
        </is>
      </c>
      <c r="F34" s="67" t="inlineStr">
        <is>
          <t>Issue purpose (For Construction / For Tender)</t>
        </is>
      </c>
      <c r="G34" s="67" t="inlineStr">
        <is>
          <t>PRJ_INFORMATION</t>
        </is>
      </c>
    </row>
    <row r="35" ht="15" customHeight="1">
      <c r="A35" s="66" t="n">
        <v>33</v>
      </c>
      <c r="B35" s="67" t="inlineStr">
        <is>
          <t>PROJECT INFO</t>
        </is>
      </c>
      <c r="C35" s="67" t="inlineStr">
        <is>
          <t>Suitability Code</t>
        </is>
      </c>
      <c r="D35" s="68" t="inlineStr">
        <is>
          <t>PRJ_DWG_SUITABILITY_COD_TXT</t>
        </is>
      </c>
      <c r="E35" s="66" t="inlineStr">
        <is>
          <t>TEXT</t>
        </is>
      </c>
      <c r="F35" s="67" t="inlineStr">
        <is>
          <t>ISO 19650 suitability code (S0–S7)</t>
        </is>
      </c>
      <c r="G35" s="67" t="inlineStr">
        <is>
          <t>PRJ_INFORMATION</t>
        </is>
      </c>
    </row>
    <row r="36" ht="15" customHeight="1">
      <c r="A36" s="66" t="n">
        <v>34</v>
      </c>
      <c r="B36" s="67" t="inlineStr">
        <is>
          <t>PROJECT INFO</t>
        </is>
      </c>
      <c r="C36" s="67" t="inlineStr">
        <is>
          <t>Supersedes</t>
        </is>
      </c>
      <c r="D36" s="68" t="inlineStr">
        <is>
          <t>PRJ_DWG_SUPERSEDES_TXT</t>
        </is>
      </c>
      <c r="E36" s="66" t="inlineStr">
        <is>
          <t>TEXT</t>
        </is>
      </c>
      <c r="F36" s="67" t="inlineStr">
        <is>
          <t>Drawing number this revision supersedes</t>
        </is>
      </c>
      <c r="G36" s="67" t="inlineStr">
        <is>
          <t>PRJ_INFORMATION</t>
        </is>
      </c>
    </row>
    <row r="37" ht="15" customHeight="1">
      <c r="A37" s="66" t="n">
        <v>35</v>
      </c>
      <c r="B37" s="67" t="inlineStr">
        <is>
          <t>PROJECT INFO</t>
        </is>
      </c>
      <c r="C37" s="67" t="inlineStr">
        <is>
          <t>Standard Applied</t>
        </is>
      </c>
      <c r="D37" s="68" t="inlineStr">
        <is>
          <t>PRJ_ISO_STD_TXT</t>
        </is>
      </c>
      <c r="E37" s="66" t="inlineStr">
        <is>
          <t>TEXT</t>
        </is>
      </c>
      <c r="F37" s="67" t="inlineStr">
        <is>
          <t>Applicable ISO / RICS / FIDIC standards</t>
        </is>
      </c>
      <c r="G37" s="67" t="inlineStr">
        <is>
          <t>PRJ_INFORMATION</t>
        </is>
      </c>
    </row>
    <row r="38" ht="15" customHeight="1">
      <c r="A38" s="66" t="n">
        <v>36</v>
      </c>
      <c r="B38" s="67" t="inlineStr">
        <is>
          <t>PROJECT INFO</t>
        </is>
      </c>
      <c r="C38" s="67" t="inlineStr">
        <is>
          <t>Comments</t>
        </is>
      </c>
      <c r="D38" s="68" t="inlineStr">
        <is>
          <t>PRJ_COMMENTS_TXT</t>
        </is>
      </c>
      <c r="E38" s="66" t="inlineStr">
        <is>
          <t>TEXT</t>
        </is>
      </c>
      <c r="F38" s="67" t="inlineStr">
        <is>
          <t>General project notes</t>
        </is>
      </c>
      <c r="G38" s="67" t="inlineStr">
        <is>
          <t>PRJ_INFORMATION</t>
        </is>
      </c>
    </row>
    <row r="39" ht="15" customHeight="1">
      <c r="A39" s="66" t="n">
        <v>37</v>
      </c>
      <c r="B39" s="67" t="inlineStr">
        <is>
          <t>PROJECT INFO</t>
        </is>
      </c>
      <c r="C39" s="67" t="inlineStr">
        <is>
          <t>Paper Size</t>
        </is>
      </c>
      <c r="D39" s="68" t="inlineStr">
        <is>
          <t>PRJ_TB_PAPER_SZ_TXT</t>
        </is>
      </c>
      <c r="E39" s="66" t="inlineStr">
        <is>
          <t>TEXT</t>
        </is>
      </c>
      <c r="F39" s="67" t="inlineStr">
        <is>
          <t>Drawing paper size (A0 / A1 / A3)</t>
        </is>
      </c>
      <c r="G39" s="67" t="inlineStr">
        <is>
          <t>PRJ_INFORMATION</t>
        </is>
      </c>
    </row>
    <row r="40" ht="15" customHeight="1">
      <c r="A40" s="69" t="n">
        <v>38</v>
      </c>
      <c r="B40" s="70" t="inlineStr">
        <is>
          <t>ALL DIVISIONS</t>
        </is>
      </c>
      <c r="C40" s="70" t="inlineStr">
        <is>
          <t>Col E – Quantity</t>
        </is>
      </c>
      <c r="D40" s="71" t="inlineStr">
        <is>
          <t>ASS_CST_QUANTITY_NR</t>
        </is>
      </c>
      <c r="E40" s="69" t="inlineStr">
        <is>
          <t>NUMBER</t>
        </is>
      </c>
      <c r="F40" s="70" t="inlineStr">
        <is>
          <t>BIM model quantity exported per element</t>
        </is>
      </c>
      <c r="G40" s="70" t="inlineStr">
        <is>
          <t>ASS_MNG</t>
        </is>
      </c>
    </row>
    <row r="41" ht="15" customHeight="1">
      <c r="A41" s="69" t="n">
        <v>39</v>
      </c>
      <c r="B41" s="70" t="inlineStr">
        <is>
          <t>ALL DIVISIONS</t>
        </is>
      </c>
      <c r="C41" s="70" t="inlineStr">
        <is>
          <t>Col F – Unit Rate (Material)</t>
        </is>
      </c>
      <c r="D41" s="71" t="inlineStr">
        <is>
          <t>ASS_CST_UNIT_PRICE_UGX_NR</t>
        </is>
      </c>
      <c r="E41" s="69" t="inlineStr">
        <is>
          <t>CURRENCY</t>
        </is>
      </c>
      <c r="F41" s="70" t="inlineStr">
        <is>
          <t>Unit material cost in UGX from model or procurement</t>
        </is>
      </c>
      <c r="G41" s="70" t="inlineStr">
        <is>
          <t>ASS_MNG</t>
        </is>
      </c>
    </row>
    <row r="42" ht="15" customHeight="1">
      <c r="A42" s="69" t="n">
        <v>40</v>
      </c>
      <c r="B42" s="70" t="inlineStr">
        <is>
          <t>ALL DIVISIONS</t>
        </is>
      </c>
      <c r="C42" s="70" t="inlineStr">
        <is>
          <t>Col J – Amount</t>
        </is>
      </c>
      <c r="D42" s="71" t="inlineStr">
        <is>
          <t>ASS_CST_TOTAL_UGX_NR</t>
        </is>
      </c>
      <c r="E42" s="69" t="inlineStr">
        <is>
          <t>CURRENCY</t>
        </is>
      </c>
      <c r="F42" s="70" t="inlineStr">
        <is>
          <t>Total line amount = Qty × Rate (model-calculated)</t>
        </is>
      </c>
      <c r="G42" s="70" t="inlineStr">
        <is>
          <t>ASS_MNG</t>
        </is>
      </c>
    </row>
    <row r="43" ht="15" customHeight="1">
      <c r="A43" s="69" t="n">
        <v>41</v>
      </c>
      <c r="B43" s="70" t="inlineStr">
        <is>
          <t>ALL DIVISIONS</t>
        </is>
      </c>
      <c r="C43" s="70" t="inlineStr">
        <is>
          <t>Col J – Amount</t>
        </is>
      </c>
      <c r="D43" s="71" t="inlineStr">
        <is>
          <t>ASS_PMT_CST_TOTAL_CST_UGX_NR</t>
        </is>
      </c>
      <c r="E43" s="69" t="inlineStr">
        <is>
          <t>CURRENCY</t>
        </is>
      </c>
      <c r="F43" s="70" t="inlineStr">
        <is>
          <t>Procurement total (material + labour + install)</t>
        </is>
      </c>
      <c r="G43" s="70" t="inlineStr">
        <is>
          <t>ASS_MNG</t>
        </is>
      </c>
    </row>
    <row r="44" ht="15" customHeight="1">
      <c r="A44" s="69" t="n">
        <v>42</v>
      </c>
      <c r="B44" s="70" t="inlineStr">
        <is>
          <t>ALL DIVISIONS</t>
        </is>
      </c>
      <c r="C44" s="70" t="inlineStr">
        <is>
          <t>Col K – Notes / Spec</t>
        </is>
      </c>
      <c r="D44" s="71" t="inlineStr">
        <is>
          <t>ASS_DESCRIPTION_TXT</t>
        </is>
      </c>
      <c r="E44" s="69" t="inlineStr">
        <is>
          <t>TEXT</t>
        </is>
      </c>
      <c r="F44" s="70" t="inlineStr">
        <is>
          <t>Full item description from BIM element</t>
        </is>
      </c>
      <c r="G44" s="70" t="inlineStr">
        <is>
          <t>ASS_MNG</t>
        </is>
      </c>
    </row>
    <row r="45" ht="15" customHeight="1">
      <c r="A45" s="69" t="n">
        <v>43</v>
      </c>
      <c r="B45" s="70" t="inlineStr">
        <is>
          <t>ALL DIVISIONS</t>
        </is>
      </c>
      <c r="C45" s="70" t="inlineStr">
        <is>
          <t>Col K – Notes / Spec</t>
        </is>
      </c>
      <c r="D45" s="71" t="inlineStr">
        <is>
          <t>ASS_SYSTEM_TYPE_TXT</t>
        </is>
      </c>
      <c r="E45" s="69" t="inlineStr">
        <is>
          <t>TEXT</t>
        </is>
      </c>
      <c r="F45" s="70" t="inlineStr">
        <is>
          <t>System classification (HVAC / PLM / ELC / ARCH)</t>
        </is>
      </c>
      <c r="G45" s="70" t="inlineStr">
        <is>
          <t>ASS_MNG</t>
        </is>
      </c>
    </row>
    <row r="46" ht="15" customHeight="1">
      <c r="A46" s="69" t="n">
        <v>44</v>
      </c>
      <c r="B46" s="70" t="inlineStr">
        <is>
          <t>ALL DIVISIONS</t>
        </is>
      </c>
      <c r="C46" s="70" t="inlineStr">
        <is>
          <t>Col K – Notes / Spec</t>
        </is>
      </c>
      <c r="D46" s="71" t="inlineStr">
        <is>
          <t>ASS_MANUFACTURER_TXT</t>
        </is>
      </c>
      <c r="E46" s="69" t="inlineStr">
        <is>
          <t>TEXT</t>
        </is>
      </c>
      <c r="F46" s="70" t="inlineStr">
        <is>
          <t>Manufacturer name</t>
        </is>
      </c>
      <c r="G46" s="70" t="inlineStr">
        <is>
          <t>ASS_MNG</t>
        </is>
      </c>
    </row>
    <row r="47" ht="15" customHeight="1">
      <c r="A47" s="69" t="n">
        <v>45</v>
      </c>
      <c r="B47" s="70" t="inlineStr">
        <is>
          <t>ALL DIVISIONS</t>
        </is>
      </c>
      <c r="C47" s="70" t="inlineStr">
        <is>
          <t>Col K – Notes / Spec</t>
        </is>
      </c>
      <c r="D47" s="71" t="inlineStr">
        <is>
          <t>ASS_MODEL_NR_TXT</t>
        </is>
      </c>
      <c r="E47" s="69" t="inlineStr">
        <is>
          <t>TEXT</t>
        </is>
      </c>
      <c r="F47" s="70" t="inlineStr">
        <is>
          <t>Manufacturer model/catalogue number</t>
        </is>
      </c>
      <c r="G47" s="70" t="inlineStr">
        <is>
          <t>ASS_MNG</t>
        </is>
      </c>
    </row>
    <row r="48" ht="15" customHeight="1">
      <c r="A48" s="69" t="n">
        <v>46</v>
      </c>
      <c r="B48" s="70" t="inlineStr">
        <is>
          <t>ALL DIVISIONS</t>
        </is>
      </c>
      <c r="C48" s="70" t="inlineStr">
        <is>
          <t>Col K – Notes / Spec</t>
        </is>
      </c>
      <c r="D48" s="71" t="inlineStr">
        <is>
          <t>ASS_STATUS_TXT</t>
        </is>
      </c>
      <c r="E48" s="69" t="inlineStr">
        <is>
          <t>TEXT</t>
        </is>
      </c>
      <c r="F48" s="70" t="inlineStr">
        <is>
          <t>Item status (PROCURE / INSTALLED / COMMISSIONED)</t>
        </is>
      </c>
      <c r="G48" s="70" t="inlineStr">
        <is>
          <t>ASS_MNG</t>
        </is>
      </c>
    </row>
    <row r="49" ht="15" customHeight="1">
      <c r="A49" s="69" t="n">
        <v>47</v>
      </c>
      <c r="B49" s="70" t="inlineStr">
        <is>
          <t>ALL DIVISIONS</t>
        </is>
      </c>
      <c r="C49" s="70" t="inlineStr">
        <is>
          <t>Col K – Notes / Spec</t>
        </is>
      </c>
      <c r="D49" s="71" t="inlineStr">
        <is>
          <t>ASS_ZONE_TXT</t>
        </is>
      </c>
      <c r="E49" s="69" t="inlineStr">
        <is>
          <t>TEXT</t>
        </is>
      </c>
      <c r="F49" s="70" t="inlineStr">
        <is>
          <t>Zone / floor / area assignment</t>
        </is>
      </c>
      <c r="G49" s="70" t="inlineStr">
        <is>
          <t>ASS_MNG</t>
        </is>
      </c>
    </row>
    <row r="50" ht="15" customHeight="1">
      <c r="A50" s="69" t="n">
        <v>48</v>
      </c>
      <c r="B50" s="70" t="inlineStr">
        <is>
          <t>ALL DIVISIONS</t>
        </is>
      </c>
      <c r="C50" s="70" t="inlineStr">
        <is>
          <t>Col K – Notes / Spec</t>
        </is>
      </c>
      <c r="D50" s="71" t="inlineStr">
        <is>
          <t>ASS_LOC_TXT</t>
        </is>
      </c>
      <c r="E50" s="69" t="inlineStr">
        <is>
          <t>TEXT</t>
        </is>
      </c>
      <c r="F50" s="70" t="inlineStr">
        <is>
          <t>Detailed location description</t>
        </is>
      </c>
      <c r="G50" s="70" t="inlineStr">
        <is>
          <t>ASS_MNG</t>
        </is>
      </c>
    </row>
    <row r="51" ht="15" customHeight="1">
      <c r="A51" s="69" t="n">
        <v>49</v>
      </c>
      <c r="B51" s="70" t="inlineStr">
        <is>
          <t>ALL DIVISIONS</t>
        </is>
      </c>
      <c r="C51" s="70" t="inlineStr">
        <is>
          <t>Col L – BIM Tag / STING ID</t>
        </is>
      </c>
      <c r="D51" s="71" t="inlineStr">
        <is>
          <t>ASS_ID_TXT</t>
        </is>
      </c>
      <c r="E51" s="69" t="inlineStr">
        <is>
          <t>TEXT</t>
        </is>
      </c>
      <c r="F51" s="70" t="inlineStr">
        <is>
          <t>PRIMARY asset identifier – links BIM element to BOQ row</t>
        </is>
      </c>
      <c r="G51" s="70" t="inlineStr">
        <is>
          <t>ASS_MNG</t>
        </is>
      </c>
    </row>
    <row r="52" ht="15" customHeight="1">
      <c r="A52" s="69" t="n">
        <v>50</v>
      </c>
      <c r="B52" s="70" t="inlineStr">
        <is>
          <t>ALL DIVISIONS</t>
        </is>
      </c>
      <c r="C52" s="70" t="inlineStr">
        <is>
          <t>Col L – BIM Tag / STING ID</t>
        </is>
      </c>
      <c r="D52" s="71" t="inlineStr">
        <is>
          <t>ASS_TAG_1_TXT</t>
        </is>
      </c>
      <c r="E52" s="69" t="inlineStr">
        <is>
          <t>TEXT</t>
        </is>
      </c>
      <c r="F52" s="70" t="inlineStr">
        <is>
          <t>Primary STING tag (system + number, e.g. AHU-01)</t>
        </is>
      </c>
      <c r="G52" s="70" t="inlineStr">
        <is>
          <t>ASS_MNG</t>
        </is>
      </c>
    </row>
    <row r="53" ht="15" customHeight="1">
      <c r="A53" s="69" t="n">
        <v>51</v>
      </c>
      <c r="B53" s="70" t="inlineStr">
        <is>
          <t>ALL DIVISIONS</t>
        </is>
      </c>
      <c r="C53" s="70" t="inlineStr">
        <is>
          <t>Col L – BIM Tag / STING ID</t>
        </is>
      </c>
      <c r="D53" s="71" t="inlineStr">
        <is>
          <t>ASS_TAG_2_TXT</t>
        </is>
      </c>
      <c r="E53" s="69" t="inlineStr">
        <is>
          <t>TEXT</t>
        </is>
      </c>
      <c r="F53" s="70" t="inlineStr">
        <is>
          <t>Secondary STING tag (location / zone code)</t>
        </is>
      </c>
      <c r="G53" s="70" t="inlineStr">
        <is>
          <t>ASS_MNG</t>
        </is>
      </c>
    </row>
    <row r="54" ht="15" customHeight="1">
      <c r="A54" s="69" t="n">
        <v>52</v>
      </c>
      <c r="B54" s="70" t="inlineStr">
        <is>
          <t>ALL DIVISIONS</t>
        </is>
      </c>
      <c r="C54" s="70" t="inlineStr">
        <is>
          <t>Col L – BIM Tag / STING ID</t>
        </is>
      </c>
      <c r="D54" s="71" t="inlineStr">
        <is>
          <t>ASS_TAG_3_TXT</t>
        </is>
      </c>
      <c r="E54" s="69" t="inlineStr">
        <is>
          <t>TEXT</t>
        </is>
      </c>
      <c r="F54" s="70" t="inlineStr">
        <is>
          <t>Tertiary STING tag (discipline code)</t>
        </is>
      </c>
      <c r="G54" s="70" t="inlineStr">
        <is>
          <t>ASS_MNG</t>
        </is>
      </c>
    </row>
    <row r="55" ht="15" customHeight="1">
      <c r="A55" s="69" t="n">
        <v>53</v>
      </c>
      <c r="B55" s="70" t="inlineStr">
        <is>
          <t>ALL DIVISIONS</t>
        </is>
      </c>
      <c r="C55" s="70" t="inlineStr">
        <is>
          <t>Col C – Spec Ref</t>
        </is>
      </c>
      <c r="D55" s="71" t="inlineStr">
        <is>
          <t>BLE_MAT_STANDARD_TXT</t>
        </is>
      </c>
      <c r="E55" s="69" t="inlineStr">
        <is>
          <t>TEXT</t>
        </is>
      </c>
      <c r="F55" s="70" t="inlineStr">
        <is>
          <t>Material specification standard reference</t>
        </is>
      </c>
      <c r="G55" s="70" t="inlineStr">
        <is>
          <t>CST_PROC</t>
        </is>
      </c>
    </row>
    <row r="56" ht="15" customHeight="1">
      <c r="A56" s="69" t="n">
        <v>54</v>
      </c>
      <c r="B56" s="70" t="inlineStr">
        <is>
          <t>ALL DIVISIONS</t>
        </is>
      </c>
      <c r="C56" s="70" t="inlineStr">
        <is>
          <t>Col C – Spec Ref</t>
        </is>
      </c>
      <c r="D56" s="71" t="inlineStr">
        <is>
          <t>RGL_UNBS_STD_TXT</t>
        </is>
      </c>
      <c r="E56" s="69" t="inlineStr">
        <is>
          <t>TEXT</t>
        </is>
      </c>
      <c r="F56" s="70" t="inlineStr">
        <is>
          <t>Uganda National Bureau of Standards reference</t>
        </is>
      </c>
      <c r="G56" s="70" t="inlineStr">
        <is>
          <t>RGL_CMPL</t>
        </is>
      </c>
    </row>
    <row r="57" ht="15" customHeight="1">
      <c r="A57" s="69" t="n">
        <v>55</v>
      </c>
      <c r="B57" s="70" t="inlineStr">
        <is>
          <t>ALL DIVISIONS</t>
        </is>
      </c>
      <c r="C57" s="70" t="inlineStr">
        <is>
          <t>Col C – Spec Ref</t>
        </is>
      </c>
      <c r="D57" s="71" t="inlineStr">
        <is>
          <t>RGL_STD_TXT</t>
        </is>
      </c>
      <c r="E57" s="69" t="inlineStr">
        <is>
          <t>TEXT</t>
        </is>
      </c>
      <c r="F57" s="70" t="inlineStr">
        <is>
          <t>General regulatory standard reference</t>
        </is>
      </c>
      <c r="G57" s="70" t="inlineStr">
        <is>
          <t>RGL_CMPL</t>
        </is>
      </c>
    </row>
    <row r="58" ht="15" customHeight="1">
      <c r="A58" s="72" t="n">
        <v>56</v>
      </c>
      <c r="B58" s="73" t="inlineStr">
        <is>
          <t>DIV 02 – CIVIL</t>
        </is>
      </c>
      <c r="C58" s="73" t="inlineStr">
        <is>
          <t>Col E – Excavation (m³)</t>
        </is>
      </c>
      <c r="D58" s="74" t="inlineStr">
        <is>
          <t>CST_S_EAR_EXCAVATION_VOLUME_CU_M</t>
        </is>
      </c>
      <c r="E58" s="72" t="inlineStr">
        <is>
          <t>VOLUME</t>
        </is>
      </c>
      <c r="F58" s="73" t="inlineStr">
        <is>
          <t>Model excavation volume in m³</t>
        </is>
      </c>
      <c r="G58" s="73" t="inlineStr">
        <is>
          <t>COM_DAT</t>
        </is>
      </c>
    </row>
    <row r="59" ht="15" customHeight="1">
      <c r="A59" s="72" t="n">
        <v>57</v>
      </c>
      <c r="B59" s="73" t="inlineStr">
        <is>
          <t>DIV 02 – CIVIL</t>
        </is>
      </c>
      <c r="C59" s="73" t="inlineStr">
        <is>
          <t>Col E – Backfill (m³)</t>
        </is>
      </c>
      <c r="D59" s="74" t="inlineStr">
        <is>
          <t>CST_S_EAR_BACKFILL_VOLUME_CU_M</t>
        </is>
      </c>
      <c r="E59" s="72" t="inlineStr">
        <is>
          <t>VOLUME</t>
        </is>
      </c>
      <c r="F59" s="73" t="inlineStr">
        <is>
          <t>Backfill volume in m³</t>
        </is>
      </c>
      <c r="G59" s="73" t="inlineStr">
        <is>
          <t>COM_DAT</t>
        </is>
      </c>
    </row>
    <row r="60" ht="15" customHeight="1">
      <c r="A60" s="72" t="n">
        <v>58</v>
      </c>
      <c r="B60" s="73" t="inlineStr">
        <is>
          <t>DIV 02 – CIVIL</t>
        </is>
      </c>
      <c r="C60" s="73" t="inlineStr">
        <is>
          <t>Col E – Hardcore (m³)</t>
        </is>
      </c>
      <c r="D60" s="74" t="inlineStr">
        <is>
          <t>CST_S_EAR_HARDCORE_VOLUME_CU_M</t>
        </is>
      </c>
      <c r="E60" s="72" t="inlineStr">
        <is>
          <t>VOLUME</t>
        </is>
      </c>
      <c r="F60" s="73" t="inlineStr">
        <is>
          <t>Hardcore filling volume in m³</t>
        </is>
      </c>
      <c r="G60" s="73" t="inlineStr">
        <is>
          <t>COM_DAT</t>
        </is>
      </c>
    </row>
    <row r="61" ht="15" customHeight="1">
      <c r="A61" s="72" t="n">
        <v>59</v>
      </c>
      <c r="B61" s="73" t="inlineStr">
        <is>
          <t>DIV 02 – CIVIL</t>
        </is>
      </c>
      <c r="C61" s="73" t="inlineStr">
        <is>
          <t>Col E – Blinding (m³)</t>
        </is>
      </c>
      <c r="D61" s="74" t="inlineStr">
        <is>
          <t>CST_S_EAR_BLINDING_VOLUME_CU_M</t>
        </is>
      </c>
      <c r="E61" s="72" t="inlineStr">
        <is>
          <t>VOLUME</t>
        </is>
      </c>
      <c r="F61" s="73" t="inlineStr">
        <is>
          <t>Blinding concrete volume in m³</t>
        </is>
      </c>
      <c r="G61" s="73" t="inlineStr">
        <is>
          <t>COM_DAT</t>
        </is>
      </c>
    </row>
    <row r="62" ht="15" customHeight="1">
      <c r="A62" s="72" t="n">
        <v>60</v>
      </c>
      <c r="B62" s="73" t="inlineStr">
        <is>
          <t>DIV 02 – CIVIL</t>
        </is>
      </c>
      <c r="C62" s="73" t="inlineStr">
        <is>
          <t>Col E – Concrete (m³)</t>
        </is>
      </c>
      <c r="D62" s="74" t="inlineStr">
        <is>
          <t>CST_S_CON_VOLUME_CU_M</t>
        </is>
      </c>
      <c r="E62" s="72" t="inlineStr">
        <is>
          <t>VOLUME</t>
        </is>
      </c>
      <c r="F62" s="73" t="inlineStr">
        <is>
          <t>Structural concrete volume from BIM element</t>
        </is>
      </c>
      <c r="G62" s="73" t="inlineStr">
        <is>
          <t>COM_DAT</t>
        </is>
      </c>
    </row>
    <row r="63" ht="15" customHeight="1">
      <c r="A63" s="72" t="n">
        <v>61</v>
      </c>
      <c r="B63" s="73" t="inlineStr">
        <is>
          <t>DIV 02 – CIVIL</t>
        </is>
      </c>
      <c r="C63" s="73" t="inlineStr">
        <is>
          <t>Col E – Concrete (m³)</t>
        </is>
      </c>
      <c r="D63" s="74" t="inlineStr">
        <is>
          <t>CST_CALC_CONCRETE_M3</t>
        </is>
      </c>
      <c r="E63" s="72" t="inlineStr">
        <is>
          <t>VOLUME</t>
        </is>
      </c>
      <c r="F63" s="73" t="inlineStr">
        <is>
          <t>Calculated concrete volume incl. wastage</t>
        </is>
      </c>
      <c r="G63" s="73" t="inlineStr">
        <is>
          <t>COM_DAT</t>
        </is>
      </c>
    </row>
    <row r="64" ht="15" customHeight="1">
      <c r="A64" s="72" t="n">
        <v>62</v>
      </c>
      <c r="B64" s="73" t="inlineStr">
        <is>
          <t>DIV 02 – CIVIL</t>
        </is>
      </c>
      <c r="C64" s="73" t="inlineStr">
        <is>
          <t>Col K – Concrete grade</t>
        </is>
      </c>
      <c r="D64" s="74" t="inlineStr">
        <is>
          <t>CST_S_CON_GRADE_TXT</t>
        </is>
      </c>
      <c r="E64" s="72" t="inlineStr">
        <is>
          <t>TEXT</t>
        </is>
      </c>
      <c r="F64" s="73" t="inlineStr">
        <is>
          <t>Concrete grade (C15 / C25 / C30)</t>
        </is>
      </c>
      <c r="G64" s="73" t="inlineStr">
        <is>
          <t>COM_DAT</t>
        </is>
      </c>
    </row>
    <row r="65" ht="15" customHeight="1">
      <c r="A65" s="72" t="n">
        <v>63</v>
      </c>
      <c r="B65" s="73" t="inlineStr">
        <is>
          <t>DIV 02 – CIVIL</t>
        </is>
      </c>
      <c r="C65" s="73" t="inlineStr">
        <is>
          <t>Col K – Concrete grade</t>
        </is>
      </c>
      <c r="D65" s="74" t="inlineStr">
        <is>
          <t>BLE_STRUCT_CONCRETE_GRADE_TXT</t>
        </is>
      </c>
      <c r="E65" s="72" t="inlineStr">
        <is>
          <t>TEXT</t>
        </is>
      </c>
      <c r="F65" s="73" t="inlineStr">
        <is>
          <t>Structural concrete grade from BIM</t>
        </is>
      </c>
      <c r="G65" s="73" t="inlineStr">
        <is>
          <t>CST_PROC</t>
        </is>
      </c>
    </row>
    <row r="66" ht="15" customHeight="1">
      <c r="A66" s="72" t="n">
        <v>64</v>
      </c>
      <c r="B66" s="73" t="inlineStr">
        <is>
          <t>DIV 02 – CIVIL</t>
        </is>
      </c>
      <c r="C66" s="73" t="inlineStr">
        <is>
          <t>Col K – Concrete mix</t>
        </is>
      </c>
      <c r="D66" s="74" t="inlineStr">
        <is>
          <t>CST_S_CON_MIX_RATIO_TXT</t>
        </is>
      </c>
      <c r="E66" s="72" t="inlineStr">
        <is>
          <t>TEXT</t>
        </is>
      </c>
      <c r="F66" s="73" t="inlineStr">
        <is>
          <t>Mix ratio (e.g. 1:2:4)</t>
        </is>
      </c>
      <c r="G66" s="73" t="inlineStr">
        <is>
          <t>COM_DAT</t>
        </is>
      </c>
    </row>
    <row r="67" ht="15" customHeight="1">
      <c r="A67" s="72" t="n">
        <v>65</v>
      </c>
      <c r="B67" s="73" t="inlineStr">
        <is>
          <t>DIV 02 – CIVIL</t>
        </is>
      </c>
      <c r="C67" s="73" t="inlineStr">
        <is>
          <t>Col K – Concrete strength</t>
        </is>
      </c>
      <c r="D67" s="74" t="inlineStr">
        <is>
          <t>CST_S_CON_STRENGTH_MPA</t>
        </is>
      </c>
      <c r="E67" s="72" t="inlineStr">
        <is>
          <t>NUMBER</t>
        </is>
      </c>
      <c r="F67" s="73" t="inlineStr">
        <is>
          <t>Characteristic compressive strength fck (MPa)</t>
        </is>
      </c>
      <c r="G67" s="73" t="inlineStr">
        <is>
          <t>COM_DAT</t>
        </is>
      </c>
    </row>
    <row r="68" ht="15" customHeight="1">
      <c r="A68" s="72" t="n">
        <v>66</v>
      </c>
      <c r="B68" s="73" t="inlineStr">
        <is>
          <t>DIV 02 – CIVIL</t>
        </is>
      </c>
      <c r="C68" s="73" t="inlineStr">
        <is>
          <t>Col K – Concrete admix</t>
        </is>
      </c>
      <c r="D68" s="74" t="inlineStr">
        <is>
          <t>CST_S_CON_ADMIXTURE_TXT</t>
        </is>
      </c>
      <c r="E68" s="72" t="inlineStr">
        <is>
          <t>TEXT</t>
        </is>
      </c>
      <c r="F68" s="73" t="inlineStr">
        <is>
          <t>Admixture / plasticiser specification</t>
        </is>
      </c>
      <c r="G68" s="73" t="inlineStr">
        <is>
          <t>COM_DAT</t>
        </is>
      </c>
    </row>
    <row r="69" ht="15" customHeight="1">
      <c r="A69" s="72" t="n">
        <v>67</v>
      </c>
      <c r="B69" s="73" t="inlineStr">
        <is>
          <t>DIV 02 – CIVIL</t>
        </is>
      </c>
      <c r="C69" s="73" t="inlineStr">
        <is>
          <t>Col E – Rebar (ton/kg)</t>
        </is>
      </c>
      <c r="D69" s="74" t="inlineStr">
        <is>
          <t>CST_S_REI_WEIGHT_KG</t>
        </is>
      </c>
      <c r="E69" s="72" t="inlineStr">
        <is>
          <t>NUMBER</t>
        </is>
      </c>
      <c r="F69" s="73" t="inlineStr">
        <is>
          <t>Reinforcement weight in kg from BIM</t>
        </is>
      </c>
      <c r="G69" s="73" t="inlineStr">
        <is>
          <t>COM_DAT</t>
        </is>
      </c>
    </row>
    <row r="70" ht="15" customHeight="1">
      <c r="A70" s="72" t="n">
        <v>68</v>
      </c>
      <c r="B70" s="73" t="inlineStr">
        <is>
          <t>DIV 02 – CIVIL</t>
        </is>
      </c>
      <c r="C70" s="73" t="inlineStr">
        <is>
          <t>Col K – Rebar grade</t>
        </is>
      </c>
      <c r="D70" s="74" t="inlineStr">
        <is>
          <t>CST_S_REI_GRADE_TXT</t>
        </is>
      </c>
      <c r="E70" s="72" t="inlineStr">
        <is>
          <t>TEXT</t>
        </is>
      </c>
      <c r="F70" s="73" t="inlineStr">
        <is>
          <t>Steel reinforcement grade (e.g. B500B, Fy500)</t>
        </is>
      </c>
      <c r="G70" s="73" t="inlineStr">
        <is>
          <t>COM_DAT</t>
        </is>
      </c>
    </row>
    <row r="71" ht="15" customHeight="1">
      <c r="A71" s="72" t="n">
        <v>69</v>
      </c>
      <c r="B71" s="73" t="inlineStr">
        <is>
          <t>DIV 02 – CIVIL</t>
        </is>
      </c>
      <c r="C71" s="73" t="inlineStr">
        <is>
          <t>Col K – Rebar type</t>
        </is>
      </c>
      <c r="D71" s="74" t="inlineStr">
        <is>
          <t>CST_S_REI_TYPE_TXT</t>
        </is>
      </c>
      <c r="E71" s="72" t="inlineStr">
        <is>
          <t>TEXT</t>
        </is>
      </c>
      <c r="F71" s="73" t="inlineStr">
        <is>
          <t>Reinforcement type (deformed bar / mesh)</t>
        </is>
      </c>
      <c r="G71" s="73" t="inlineStr">
        <is>
          <t>COM_DAT</t>
        </is>
      </c>
    </row>
    <row r="72" ht="15" customHeight="1">
      <c r="A72" s="72" t="n">
        <v>70</v>
      </c>
      <c r="B72" s="73" t="inlineStr">
        <is>
          <t>DIV 02 – CIVIL</t>
        </is>
      </c>
      <c r="C72" s="73" t="inlineStr">
        <is>
          <t>Col K – Rebar diameter</t>
        </is>
      </c>
      <c r="D72" s="74" t="inlineStr">
        <is>
          <t>CST_S_REI_DIAMETER_MM</t>
        </is>
      </c>
      <c r="E72" s="72" t="inlineStr">
        <is>
          <t>LENGTH</t>
        </is>
      </c>
      <c r="F72" s="73" t="inlineStr">
        <is>
          <t>Bar diameter in mm</t>
        </is>
      </c>
      <c r="G72" s="73" t="inlineStr">
        <is>
          <t>COM_DAT</t>
        </is>
      </c>
    </row>
    <row r="73" ht="15" customHeight="1">
      <c r="A73" s="72" t="n">
        <v>71</v>
      </c>
      <c r="B73" s="73" t="inlineStr">
        <is>
          <t>DIV 02 – CIVIL</t>
        </is>
      </c>
      <c r="C73" s="73" t="inlineStr">
        <is>
          <t>Col E – Masonry (m²)</t>
        </is>
      </c>
      <c r="D73" s="74" t="inlineStr">
        <is>
          <t>CST_S_MAS_NET_AREA_SQ_M</t>
        </is>
      </c>
      <c r="E73" s="72" t="inlineStr">
        <is>
          <t>AREA</t>
        </is>
      </c>
      <c r="F73" s="73" t="inlineStr">
        <is>
          <t>Net masonry wall area (openings deducted)</t>
        </is>
      </c>
      <c r="G73" s="73" t="inlineStr">
        <is>
          <t>COM_DAT</t>
        </is>
      </c>
    </row>
    <row r="74" ht="15" customHeight="1">
      <c r="A74" s="72" t="n">
        <v>72</v>
      </c>
      <c r="B74" s="73" t="inlineStr">
        <is>
          <t>DIV 02 – CIVIL</t>
        </is>
      </c>
      <c r="C74" s="73" t="inlineStr">
        <is>
          <t>Col E – Blocks (No)</t>
        </is>
      </c>
      <c r="D74" s="74" t="inlineStr">
        <is>
          <t>CST_S_MAS_BRICK_QUANTITY_NR</t>
        </is>
      </c>
      <c r="E74" s="72" t="inlineStr">
        <is>
          <t>NUMBER</t>
        </is>
      </c>
      <c r="F74" s="73" t="inlineStr">
        <is>
          <t>Calculated block count</t>
        </is>
      </c>
      <c r="G74" s="73" t="inlineStr">
        <is>
          <t>COM_DAT</t>
        </is>
      </c>
    </row>
    <row r="75" ht="15" customHeight="1">
      <c r="A75" s="72" t="n">
        <v>73</v>
      </c>
      <c r="B75" s="73" t="inlineStr">
        <is>
          <t>DIV 02 – CIVIL</t>
        </is>
      </c>
      <c r="C75" s="73" t="inlineStr">
        <is>
          <t>Col K – Wall material</t>
        </is>
      </c>
      <c r="D75" s="74" t="inlineStr">
        <is>
          <t>BLE_WALL_PRIMARY_WALL_MAT_TXT</t>
        </is>
      </c>
      <c r="E75" s="72" t="inlineStr">
        <is>
          <t>TEXT</t>
        </is>
      </c>
      <c r="F75" s="73" t="inlineStr">
        <is>
          <t>Primary wall material specification</t>
        </is>
      </c>
      <c r="G75" s="73" t="inlineStr">
        <is>
          <t>CST_PROC</t>
        </is>
      </c>
    </row>
    <row r="76" ht="15" customHeight="1">
      <c r="A76" s="72" t="n">
        <v>74</v>
      </c>
      <c r="B76" s="73" t="inlineStr">
        <is>
          <t>DIV 02 – CIVIL</t>
        </is>
      </c>
      <c r="C76" s="73" t="inlineStr">
        <is>
          <t>Col K – Wall thickness</t>
        </is>
      </c>
      <c r="D76" s="74" t="inlineStr">
        <is>
          <t>BLE_WALL_THICKNESS_MM</t>
        </is>
      </c>
      <c r="E76" s="72" t="inlineStr">
        <is>
          <t>LENGTH</t>
        </is>
      </c>
      <c r="F76" s="73" t="inlineStr">
        <is>
          <t>Wall thickness in mm</t>
        </is>
      </c>
      <c r="G76" s="73" t="inlineStr">
        <is>
          <t>CST_PROC</t>
        </is>
      </c>
    </row>
    <row r="77" ht="15" customHeight="1">
      <c r="A77" s="72" t="n">
        <v>75</v>
      </c>
      <c r="B77" s="73" t="inlineStr">
        <is>
          <t>DIV 02 – CIVIL</t>
        </is>
      </c>
      <c r="C77" s="73" t="inlineStr">
        <is>
          <t>Col K – Wall function</t>
        </is>
      </c>
      <c r="D77" s="74" t="inlineStr">
        <is>
          <t>BLE_WALL_FUNCTION_TXT</t>
        </is>
      </c>
      <c r="E77" s="72" t="inlineStr">
        <is>
          <t>TEXT</t>
        </is>
      </c>
      <c r="F77" s="73" t="inlineStr">
        <is>
          <t>Wall function (external / internal / partition)</t>
        </is>
      </c>
      <c r="G77" s="73" t="inlineStr">
        <is>
          <t>CST_PROC</t>
        </is>
      </c>
    </row>
    <row r="78" ht="15" customHeight="1">
      <c r="A78" s="72" t="n">
        <v>76</v>
      </c>
      <c r="B78" s="73" t="inlineStr">
        <is>
          <t>DIV 02 – CIVIL</t>
        </is>
      </c>
      <c r="C78" s="73" t="inlineStr">
        <is>
          <t>Col K – Foundation type</t>
        </is>
      </c>
      <c r="D78" s="74" t="inlineStr">
        <is>
          <t>BLE_STRUCT_FOUNDATION_TYPE_TXT</t>
        </is>
      </c>
      <c r="E78" s="72" t="inlineStr">
        <is>
          <t>TEXT</t>
        </is>
      </c>
      <c r="F78" s="73" t="inlineStr">
        <is>
          <t>Foundation type (strip / pad / raft / pile)</t>
        </is>
      </c>
      <c r="G78" s="73" t="inlineStr">
        <is>
          <t>CST_PROC</t>
        </is>
      </c>
    </row>
    <row r="79" ht="15" customHeight="1">
      <c r="A79" s="72" t="n">
        <v>77</v>
      </c>
      <c r="B79" s="73" t="inlineStr">
        <is>
          <t>DIV 02 – CIVIL</t>
        </is>
      </c>
      <c r="C79" s="73" t="inlineStr">
        <is>
          <t>Col K – Struct element</t>
        </is>
      </c>
      <c r="D79" s="74" t="inlineStr">
        <is>
          <t>BLE_STRUCT_ELE_TYPE_TXT</t>
        </is>
      </c>
      <c r="E79" s="72" t="inlineStr">
        <is>
          <t>TEXT</t>
        </is>
      </c>
      <c r="F79" s="73" t="inlineStr">
        <is>
          <t>Structural element type (column / beam / slab)</t>
        </is>
      </c>
      <c r="G79" s="73" t="inlineStr">
        <is>
          <t>CST_PROC</t>
        </is>
      </c>
    </row>
    <row r="80" ht="15" customHeight="1">
      <c r="A80" s="72" t="n">
        <v>78</v>
      </c>
      <c r="B80" s="73" t="inlineStr">
        <is>
          <t>DIV 02 – CIVIL</t>
        </is>
      </c>
      <c r="C80" s="73" t="inlineStr">
        <is>
          <t>Col K – Waterproofing</t>
        </is>
      </c>
      <c r="D80" s="74" t="inlineStr">
        <is>
          <t>BLE_ROOF_WATERPROOFING_SYSTEM_TXT</t>
        </is>
      </c>
      <c r="E80" s="72" t="inlineStr">
        <is>
          <t>TEXT</t>
        </is>
      </c>
      <c r="F80" s="73" t="inlineStr">
        <is>
          <t>Waterproofing system specification</t>
        </is>
      </c>
      <c r="G80" s="73" t="inlineStr">
        <is>
          <t>CST_PROC</t>
        </is>
      </c>
    </row>
    <row r="81" ht="15" customHeight="1">
      <c r="A81" s="72" t="n">
        <v>79</v>
      </c>
      <c r="B81" s="73" t="inlineStr">
        <is>
          <t>DIV 02 – CIVIL</t>
        </is>
      </c>
      <c r="C81" s="73" t="inlineStr">
        <is>
          <t>Col J – Earthworks cost</t>
        </is>
      </c>
      <c r="D81" s="74" t="inlineStr">
        <is>
          <t>CST_S_EAR_CST_TOTAL_UGX_NR</t>
        </is>
      </c>
      <c r="E81" s="72" t="inlineStr">
        <is>
          <t>CURRENCY</t>
        </is>
      </c>
      <c r="F81" s="73" t="inlineStr">
        <is>
          <t>Earthworks total cost UGX</t>
        </is>
      </c>
      <c r="G81" s="73" t="inlineStr">
        <is>
          <t>CST_PROC</t>
        </is>
      </c>
    </row>
    <row r="82" ht="15" customHeight="1">
      <c r="A82" s="72" t="n">
        <v>80</v>
      </c>
      <c r="B82" s="73" t="inlineStr">
        <is>
          <t>DIV 02 – CIVIL</t>
        </is>
      </c>
      <c r="C82" s="73" t="inlineStr">
        <is>
          <t>Col J – Concrete cost</t>
        </is>
      </c>
      <c r="D82" s="74" t="inlineStr">
        <is>
          <t>CST_S_CON_CST_TOTAL_UGX_NR</t>
        </is>
      </c>
      <c r="E82" s="72" t="inlineStr">
        <is>
          <t>CURRENCY</t>
        </is>
      </c>
      <c r="F82" s="73" t="inlineStr">
        <is>
          <t>Concrete works total cost UGX</t>
        </is>
      </c>
      <c r="G82" s="73" t="inlineStr">
        <is>
          <t>COM_DAT</t>
        </is>
      </c>
    </row>
    <row r="83" ht="15" customHeight="1">
      <c r="A83" s="72" t="n">
        <v>81</v>
      </c>
      <c r="B83" s="73" t="inlineStr">
        <is>
          <t>DIV 02 – CIVIL</t>
        </is>
      </c>
      <c r="C83" s="73" t="inlineStr">
        <is>
          <t>Col J – Rebar cost</t>
        </is>
      </c>
      <c r="D83" s="74" t="inlineStr">
        <is>
          <t>CST_S_REI_CST_TOTAL_UGX_NR</t>
        </is>
      </c>
      <c r="E83" s="72" t="inlineStr">
        <is>
          <t>CURRENCY</t>
        </is>
      </c>
      <c r="F83" s="73" t="inlineStr">
        <is>
          <t>Reinforcement total cost UGX</t>
        </is>
      </c>
      <c r="G83" s="73" t="inlineStr">
        <is>
          <t>COM_DAT</t>
        </is>
      </c>
    </row>
    <row r="84" ht="15" customHeight="1">
      <c r="A84" s="72" t="n">
        <v>82</v>
      </c>
      <c r="B84" s="73" t="inlineStr">
        <is>
          <t>DIV 02 – CIVIL</t>
        </is>
      </c>
      <c r="C84" s="73" t="inlineStr">
        <is>
          <t>Col J – Masonry cost</t>
        </is>
      </c>
      <c r="D84" s="74" t="inlineStr">
        <is>
          <t>CST_S_MAS_CST_TOTAL_UGX_NR</t>
        </is>
      </c>
      <c r="E84" s="72" t="inlineStr">
        <is>
          <t>CURRENCY</t>
        </is>
      </c>
      <c r="F84" s="73" t="inlineStr">
        <is>
          <t>Masonry total cost UGX</t>
        </is>
      </c>
      <c r="G84" s="73" t="inlineStr">
        <is>
          <t>COM_DAT</t>
        </is>
      </c>
    </row>
    <row r="85" ht="15" customHeight="1">
      <c r="A85" s="75" t="n">
        <v>83</v>
      </c>
      <c r="B85" s="76" t="inlineStr">
        <is>
          <t>DIV 03 – ARCH</t>
        </is>
      </c>
      <c r="C85" s="76" t="inlineStr">
        <is>
          <t>Col E – Plaster (m²)</t>
        </is>
      </c>
      <c r="D85" s="77" t="inlineStr">
        <is>
          <t>BLE_FINISH_PLASTER_AREA_SQ_M</t>
        </is>
      </c>
      <c r="E85" s="75" t="inlineStr">
        <is>
          <t>AREA</t>
        </is>
      </c>
      <c r="F85" s="76" t="inlineStr">
        <is>
          <t>Plaster area from BIM</t>
        </is>
      </c>
      <c r="G85" s="76" t="inlineStr">
        <is>
          <t>CST_PROC</t>
        </is>
      </c>
    </row>
    <row r="86" ht="15" customHeight="1">
      <c r="A86" s="75" t="n">
        <v>84</v>
      </c>
      <c r="B86" s="76" t="inlineStr">
        <is>
          <t>DIV 03 – ARCH</t>
        </is>
      </c>
      <c r="C86" s="76" t="inlineStr">
        <is>
          <t>Col K – Plaster thickness</t>
        </is>
      </c>
      <c r="D86" s="77" t="inlineStr">
        <is>
          <t>BLE_FINISH_PLASTER_THICKNESS_MM</t>
        </is>
      </c>
      <c r="E86" s="75" t="inlineStr">
        <is>
          <t>LENGTH</t>
        </is>
      </c>
      <c r="F86" s="76" t="inlineStr">
        <is>
          <t>Plaster coat thickness in mm</t>
        </is>
      </c>
      <c r="G86" s="76" t="inlineStr">
        <is>
          <t>CST_PROC</t>
        </is>
      </c>
    </row>
    <row r="87" ht="15" customHeight="1">
      <c r="A87" s="75" t="n">
        <v>85</v>
      </c>
      <c r="B87" s="76" t="inlineStr">
        <is>
          <t>DIV 03 – ARCH</t>
        </is>
      </c>
      <c r="C87" s="76" t="inlineStr">
        <is>
          <t>Col K – Plaster ratio</t>
        </is>
      </c>
      <c r="D87" s="77" t="inlineStr">
        <is>
          <t>BLE_FINISH_PLASTER_RATIO_NR</t>
        </is>
      </c>
      <c r="E87" s="75" t="inlineStr">
        <is>
          <t>NUMBER</t>
        </is>
      </c>
      <c r="F87" s="76" t="inlineStr">
        <is>
          <t>Cement:sand mix ratio for plaster</t>
        </is>
      </c>
      <c r="G87" s="76" t="inlineStr">
        <is>
          <t>CST_PROC</t>
        </is>
      </c>
    </row>
    <row r="88" ht="15" customHeight="1">
      <c r="A88" s="75" t="n">
        <v>86</v>
      </c>
      <c r="B88" s="76" t="inlineStr">
        <is>
          <t>DIV 03 – ARCH</t>
        </is>
      </c>
      <c r="C88" s="76" t="inlineStr">
        <is>
          <t>Col K – Wall finish int</t>
        </is>
      </c>
      <c r="D88" s="77" t="inlineStr">
        <is>
          <t>BLE_WALL_INTERIOR_FINISH_TXT</t>
        </is>
      </c>
      <c r="E88" s="75" t="inlineStr">
        <is>
          <t>TEXT</t>
        </is>
      </c>
      <c r="F88" s="76" t="inlineStr">
        <is>
          <t>Interior wall finish specification</t>
        </is>
      </c>
      <c r="G88" s="76" t="inlineStr">
        <is>
          <t>CST_PROC</t>
        </is>
      </c>
    </row>
    <row r="89" ht="15" customHeight="1">
      <c r="A89" s="75" t="n">
        <v>87</v>
      </c>
      <c r="B89" s="76" t="inlineStr">
        <is>
          <t>DIV 03 – ARCH</t>
        </is>
      </c>
      <c r="C89" s="76" t="inlineStr">
        <is>
          <t>Col K – Wall finish ext</t>
        </is>
      </c>
      <c r="D89" s="77" t="inlineStr">
        <is>
          <t>BLE_WALL_EXTERIOR_FINISH_TXT</t>
        </is>
      </c>
      <c r="E89" s="75" t="inlineStr">
        <is>
          <t>TEXT</t>
        </is>
      </c>
      <c r="F89" s="76" t="inlineStr">
        <is>
          <t>Exterior wall finish specification</t>
        </is>
      </c>
      <c r="G89" s="76" t="inlineStr">
        <is>
          <t>CST_PROC</t>
        </is>
      </c>
    </row>
    <row r="90" ht="15" customHeight="1">
      <c r="A90" s="75" t="n">
        <v>88</v>
      </c>
      <c r="B90" s="76" t="inlineStr">
        <is>
          <t>DIV 03 – ARCH</t>
        </is>
      </c>
      <c r="C90" s="76" t="inlineStr">
        <is>
          <t>Col K – Wall finish tag</t>
        </is>
      </c>
      <c r="D90" s="77" t="inlineStr">
        <is>
          <t>FIN_WALL_TAG_TXT</t>
        </is>
      </c>
      <c r="E90" s="75" t="inlineStr">
        <is>
          <t>TEXT</t>
        </is>
      </c>
      <c r="F90" s="76" t="inlineStr">
        <is>
          <t>Wall finish schedule tag (interior/exterior/paint/coats)</t>
        </is>
      </c>
      <c r="G90" s="76" t="inlineStr">
        <is>
          <t>BLE_ELES</t>
        </is>
      </c>
    </row>
    <row r="91" ht="15" customHeight="1">
      <c r="A91" s="75" t="n">
        <v>89</v>
      </c>
      <c r="B91" s="76" t="inlineStr">
        <is>
          <t>DIV 03 – ARCH</t>
        </is>
      </c>
      <c r="C91" s="76" t="inlineStr">
        <is>
          <t>Col E – Tiles (m²)</t>
        </is>
      </c>
      <c r="D91" s="77" t="inlineStr">
        <is>
          <t>BLE_FINISH_TILE_AREA_SQ_M</t>
        </is>
      </c>
      <c r="E91" s="75" t="inlineStr">
        <is>
          <t>AREA</t>
        </is>
      </c>
      <c r="F91" s="76" t="inlineStr">
        <is>
          <t>Tile area from BIM element</t>
        </is>
      </c>
      <c r="G91" s="76" t="inlineStr">
        <is>
          <t>CST_PROC</t>
        </is>
      </c>
    </row>
    <row r="92" ht="15" customHeight="1">
      <c r="A92" s="75" t="n">
        <v>90</v>
      </c>
      <c r="B92" s="76" t="inlineStr">
        <is>
          <t>DIV 03 – ARCH</t>
        </is>
      </c>
      <c r="C92" s="76" t="inlineStr">
        <is>
          <t>Col E – Tiles incl waste</t>
        </is>
      </c>
      <c r="D92" s="77" t="inlineStr">
        <is>
          <t>CST_CALC_TILE_M2</t>
        </is>
      </c>
      <c r="E92" s="75" t="inlineStr">
        <is>
          <t>AREA</t>
        </is>
      </c>
      <c r="F92" s="76" t="inlineStr">
        <is>
          <t>Calculated tile area including wastage</t>
        </is>
      </c>
      <c r="G92" s="76" t="inlineStr">
        <is>
          <t>COM_DAT</t>
        </is>
      </c>
    </row>
    <row r="93" ht="15" customHeight="1">
      <c r="A93" s="75" t="n">
        <v>91</v>
      </c>
      <c r="B93" s="76" t="inlineStr">
        <is>
          <t>DIV 03 – ARCH</t>
        </is>
      </c>
      <c r="C93" s="76" t="inlineStr">
        <is>
          <t>Col E – Tile count</t>
        </is>
      </c>
      <c r="D93" s="77" t="inlineStr">
        <is>
          <t>BLE_FINISH_TILE_QUANTITY_NR</t>
        </is>
      </c>
      <c r="E93" s="75" t="inlineStr">
        <is>
          <t>NUMBER</t>
        </is>
      </c>
      <c r="F93" s="76" t="inlineStr">
        <is>
          <t>Number of tiles from BIM</t>
        </is>
      </c>
      <c r="G93" s="76" t="inlineStr">
        <is>
          <t>CST_PROC</t>
        </is>
      </c>
    </row>
    <row r="94" ht="15" customHeight="1">
      <c r="A94" s="75" t="n">
        <v>92</v>
      </c>
      <c r="B94" s="76" t="inlineStr">
        <is>
          <t>DIV 03 – ARCH</t>
        </is>
      </c>
      <c r="C94" s="76" t="inlineStr">
        <is>
          <t>Col K – Floor finish</t>
        </is>
      </c>
      <c r="D94" s="77" t="inlineStr">
        <is>
          <t>BLE_FLR_FINISH_TXT</t>
        </is>
      </c>
      <c r="E94" s="75" t="inlineStr">
        <is>
          <t>TEXT</t>
        </is>
      </c>
      <c r="F94" s="76" t="inlineStr">
        <is>
          <t>Floor finish type description</t>
        </is>
      </c>
      <c r="G94" s="76" t="inlineStr">
        <is>
          <t>CST_PROC</t>
        </is>
      </c>
    </row>
    <row r="95" ht="15" customHeight="1">
      <c r="A95" s="75" t="n">
        <v>93</v>
      </c>
      <c r="B95" s="76" t="inlineStr">
        <is>
          <t>DIV 03 – ARCH</t>
        </is>
      </c>
      <c r="C95" s="76" t="inlineStr">
        <is>
          <t>Col K – Floor material</t>
        </is>
      </c>
      <c r="D95" s="77" t="inlineStr">
        <is>
          <t>BLE_FLR_FINISH_MAT_TXT</t>
        </is>
      </c>
      <c r="E95" s="75" t="inlineStr">
        <is>
          <t>TEXT</t>
        </is>
      </c>
      <c r="F95" s="76" t="inlineStr">
        <is>
          <t>Floor finish material specification</t>
        </is>
      </c>
      <c r="G95" s="76" t="inlineStr">
        <is>
          <t>CST_PROC</t>
        </is>
      </c>
    </row>
    <row r="96" ht="15" customHeight="1">
      <c r="A96" s="75" t="n">
        <v>94</v>
      </c>
      <c r="B96" s="76" t="inlineStr">
        <is>
          <t>DIV 03 – ARCH</t>
        </is>
      </c>
      <c r="C96" s="76" t="inlineStr">
        <is>
          <t>Col K – Tile size</t>
        </is>
      </c>
      <c r="D96" s="77" t="inlineStr">
        <is>
          <t>BLE_FINISH_TILE_SZ_TXT</t>
        </is>
      </c>
      <c r="E96" s="75" t="inlineStr">
        <is>
          <t>TEXT</t>
        </is>
      </c>
      <c r="F96" s="76" t="inlineStr">
        <is>
          <t>Tile size (e.g. 600×600mm, 300×600mm)</t>
        </is>
      </c>
      <c r="G96" s="76" t="inlineStr">
        <is>
          <t>CST_PROC</t>
        </is>
      </c>
    </row>
    <row r="97" ht="15" customHeight="1">
      <c r="A97" s="75" t="n">
        <v>95</v>
      </c>
      <c r="B97" s="76" t="inlineStr">
        <is>
          <t>DIV 03 – ARCH</t>
        </is>
      </c>
      <c r="C97" s="76" t="inlineStr">
        <is>
          <t>Col K – Floor finish tag</t>
        </is>
      </c>
      <c r="D97" s="77" t="inlineStr">
        <is>
          <t>FIN_FLR_TAG_TXT</t>
        </is>
      </c>
      <c r="E97" s="75" t="inlineStr">
        <is>
          <t>TEXT</t>
        </is>
      </c>
      <c r="F97" s="76" t="inlineStr">
        <is>
          <t>Floor finish schedule tag (finish/slip/mat/thickness)</t>
        </is>
      </c>
      <c r="G97" s="76" t="inlineStr">
        <is>
          <t>BLE_ELES</t>
        </is>
      </c>
    </row>
    <row r="98" ht="15" customHeight="1">
      <c r="A98" s="75" t="n">
        <v>96</v>
      </c>
      <c r="B98" s="76" t="inlineStr">
        <is>
          <t>DIV 03 – ARCH</t>
        </is>
      </c>
      <c r="C98" s="76" t="inlineStr">
        <is>
          <t>Col E – Paint (m²)</t>
        </is>
      </c>
      <c r="D98" s="77" t="inlineStr">
        <is>
          <t>BLE_FINISH_PAINT_AREA_SQ_M</t>
        </is>
      </c>
      <c r="E98" s="75" t="inlineStr">
        <is>
          <t>AREA</t>
        </is>
      </c>
      <c r="F98" s="76" t="inlineStr">
        <is>
          <t>Paint area m² from BIM</t>
        </is>
      </c>
      <c r="G98" s="76" t="inlineStr">
        <is>
          <t>CST_PROC</t>
        </is>
      </c>
    </row>
    <row r="99" ht="15" customHeight="1">
      <c r="A99" s="75" t="n">
        <v>97</v>
      </c>
      <c r="B99" s="76" t="inlineStr">
        <is>
          <t>DIV 03 – ARCH</t>
        </is>
      </c>
      <c r="C99" s="76" t="inlineStr">
        <is>
          <t>Col K – Paint volume</t>
        </is>
      </c>
      <c r="D99" s="77" t="inlineStr">
        <is>
          <t>BLE_FINISH_PAINT_VOLUME_L</t>
        </is>
      </c>
      <c r="E99" s="75" t="inlineStr">
        <is>
          <t>VOLUME</t>
        </is>
      </c>
      <c r="F99" s="76" t="inlineStr">
        <is>
          <t>Calculated paint volume in litres</t>
        </is>
      </c>
      <c r="G99" s="76" t="inlineStr">
        <is>
          <t>CST_PROC</t>
        </is>
      </c>
    </row>
    <row r="100" ht="15" customHeight="1">
      <c r="A100" s="75" t="n">
        <v>98</v>
      </c>
      <c r="B100" s="76" t="inlineStr">
        <is>
          <t>DIV 03 – ARCH</t>
        </is>
      </c>
      <c r="C100" s="76" t="inlineStr">
        <is>
          <t>Col K – Paint coats</t>
        </is>
      </c>
      <c r="D100" s="77" t="inlineStr">
        <is>
          <t>BLE_FINISH_PAINT_COATS_NR</t>
        </is>
      </c>
      <c r="E100" s="75" t="inlineStr">
        <is>
          <t>NUMBER</t>
        </is>
      </c>
      <c r="F100" s="76" t="inlineStr">
        <is>
          <t>Number of paint coats specified</t>
        </is>
      </c>
      <c r="G100" s="76" t="inlineStr">
        <is>
          <t>CST_PROC</t>
        </is>
      </c>
    </row>
    <row r="101" ht="15" customHeight="1">
      <c r="A101" s="75" t="n">
        <v>99</v>
      </c>
      <c r="B101" s="76" t="inlineStr">
        <is>
          <t>DIV 03 – ARCH</t>
        </is>
      </c>
      <c r="C101" s="76" t="inlineStr">
        <is>
          <t>Col K – Finish type</t>
        </is>
      </c>
      <c r="D101" s="77" t="inlineStr">
        <is>
          <t>BLE_FINISH_TYPE_TXT</t>
        </is>
      </c>
      <c r="E101" s="75" t="inlineStr">
        <is>
          <t>TEXT</t>
        </is>
      </c>
      <c r="F101" s="76" t="inlineStr">
        <is>
          <t>Finish type (emulsion / gloss / masonry / epoxy)</t>
        </is>
      </c>
      <c r="G101" s="76" t="inlineStr">
        <is>
          <t>CST_PROC</t>
        </is>
      </c>
    </row>
    <row r="102" ht="15" customHeight="1">
      <c r="A102" s="75" t="n">
        <v>100</v>
      </c>
      <c r="B102" s="76" t="inlineStr">
        <is>
          <t>DIV 03 – ARCH</t>
        </is>
      </c>
      <c r="C102" s="76" t="inlineStr">
        <is>
          <t>Col K – Ceiling system</t>
        </is>
      </c>
      <c r="D102" s="77" t="inlineStr">
        <is>
          <t>BLE_CEILING_SYSTEM_TXT</t>
        </is>
      </c>
      <c r="E102" s="75" t="inlineStr">
        <is>
          <t>TEXT</t>
        </is>
      </c>
      <c r="F102" s="76" t="inlineStr">
        <is>
          <t>Ceiling system (suspended / plasterboard / exposed)</t>
        </is>
      </c>
      <c r="G102" s="76" t="inlineStr">
        <is>
          <t>CST_PROC</t>
        </is>
      </c>
    </row>
    <row r="103" ht="15" customHeight="1">
      <c r="A103" s="75" t="n">
        <v>101</v>
      </c>
      <c r="B103" s="76" t="inlineStr">
        <is>
          <t>DIV 03 – ARCH</t>
        </is>
      </c>
      <c r="C103" s="76" t="inlineStr">
        <is>
          <t>Col K – Ceiling height</t>
        </is>
      </c>
      <c r="D103" s="77" t="inlineStr">
        <is>
          <t>BLE_CEILING_HEIGHT_MM</t>
        </is>
      </c>
      <c r="E103" s="75" t="inlineStr">
        <is>
          <t>LENGTH</t>
        </is>
      </c>
      <c r="F103" s="76" t="inlineStr">
        <is>
          <t>Ceiling height from FFL in mm</t>
        </is>
      </c>
      <c r="G103" s="76" t="inlineStr">
        <is>
          <t>CST_PROC</t>
        </is>
      </c>
    </row>
    <row r="104" ht="15" customHeight="1">
      <c r="A104" s="75" t="n">
        <v>102</v>
      </c>
      <c r="B104" s="76" t="inlineStr">
        <is>
          <t>DIV 03 – ARCH</t>
        </is>
      </c>
      <c r="C104" s="76" t="inlineStr">
        <is>
          <t>Col K – Ceiling grid</t>
        </is>
      </c>
      <c r="D104" s="77" t="inlineStr">
        <is>
          <t>BLE_CEILING_GRID_SZ_MM</t>
        </is>
      </c>
      <c r="E104" s="75" t="inlineStr">
        <is>
          <t>LENGTH</t>
        </is>
      </c>
      <c r="F104" s="76" t="inlineStr">
        <is>
          <t>Suspended ceiling grid size in mm</t>
        </is>
      </c>
      <c r="G104" s="76" t="inlineStr">
        <is>
          <t>CST_PROC</t>
        </is>
      </c>
    </row>
    <row r="105" ht="15" customHeight="1">
      <c r="A105" s="75" t="n">
        <v>103</v>
      </c>
      <c r="B105" s="76" t="inlineStr">
        <is>
          <t>DIV 03 – ARCH</t>
        </is>
      </c>
      <c r="C105" s="76" t="inlineStr">
        <is>
          <t>Col K – Ceiling tag</t>
        </is>
      </c>
      <c r="D105" s="77" t="inlineStr">
        <is>
          <t>FIN_CEIL_TAG_TXT</t>
        </is>
      </c>
      <c r="E105" s="75" t="inlineStr">
        <is>
          <t>TEXT</t>
        </is>
      </c>
      <c r="F105" s="76" t="inlineStr">
        <is>
          <t>Ceiling schedule tag (finish/system/NRC/grid)</t>
        </is>
      </c>
      <c r="G105" s="76" t="inlineStr">
        <is>
          <t>BLE_ELES</t>
        </is>
      </c>
    </row>
    <row r="106" ht="15" customHeight="1">
      <c r="A106" s="75" t="n">
        <v>104</v>
      </c>
      <c r="B106" s="76" t="inlineStr">
        <is>
          <t>DIV 03 – ARCH</t>
        </is>
      </c>
      <c r="C106" s="76" t="inlineStr">
        <is>
          <t>Col E – Door (m²/No)</t>
        </is>
      </c>
      <c r="D106" s="77" t="inlineStr">
        <is>
          <t>BLE_DOOR_AREA_SQ_M</t>
        </is>
      </c>
      <c r="E106" s="75" t="inlineStr">
        <is>
          <t>AREA</t>
        </is>
      </c>
      <c r="F106" s="76" t="inlineStr">
        <is>
          <t>Door leaf area m² from BIM</t>
        </is>
      </c>
      <c r="G106" s="76" t="inlineStr">
        <is>
          <t>BLE_ELES</t>
        </is>
      </c>
    </row>
    <row r="107" ht="15" customHeight="1">
      <c r="A107" s="75" t="n">
        <v>105</v>
      </c>
      <c r="B107" s="76" t="inlineStr">
        <is>
          <t>DIV 03 – ARCH</t>
        </is>
      </c>
      <c r="C107" s="76" t="inlineStr">
        <is>
          <t>Col K – Door material</t>
        </is>
      </c>
      <c r="D107" s="77" t="inlineStr">
        <is>
          <t>BLE_DOOR_MAT_TXT</t>
        </is>
      </c>
      <c r="E107" s="75" t="inlineStr">
        <is>
          <t>TEXT</t>
        </is>
      </c>
      <c r="F107" s="76" t="inlineStr">
        <is>
          <t>Door leaf material</t>
        </is>
      </c>
      <c r="G107" s="76" t="inlineStr">
        <is>
          <t>CST_PROC</t>
        </is>
      </c>
    </row>
    <row r="108" ht="15" customHeight="1">
      <c r="A108" s="75" t="n">
        <v>106</v>
      </c>
      <c r="B108" s="76" t="inlineStr">
        <is>
          <t>DIV 03 – ARCH</t>
        </is>
      </c>
      <c r="C108" s="76" t="inlineStr">
        <is>
          <t>Col K – Door width</t>
        </is>
      </c>
      <c r="D108" s="77" t="inlineStr">
        <is>
          <t>BLE_DOOR_WIDTH_MM</t>
        </is>
      </c>
      <c r="E108" s="75" t="inlineStr">
        <is>
          <t>LENGTH</t>
        </is>
      </c>
      <c r="F108" s="76" t="inlineStr">
        <is>
          <t>Door clear opening width in mm</t>
        </is>
      </c>
      <c r="G108" s="76" t="inlineStr">
        <is>
          <t>CST_PROC</t>
        </is>
      </c>
    </row>
    <row r="109" ht="15" customHeight="1">
      <c r="A109" s="75" t="n">
        <v>107</v>
      </c>
      <c r="B109" s="76" t="inlineStr">
        <is>
          <t>DIV 03 – ARCH</t>
        </is>
      </c>
      <c r="C109" s="76" t="inlineStr">
        <is>
          <t>Col K – Door height</t>
        </is>
      </c>
      <c r="D109" s="77" t="inlineStr">
        <is>
          <t>BLE_DOOR_HEIGHT_MM</t>
        </is>
      </c>
      <c r="E109" s="75" t="inlineStr">
        <is>
          <t>LENGTH</t>
        </is>
      </c>
      <c r="F109" s="76" t="inlineStr">
        <is>
          <t>Door height in mm</t>
        </is>
      </c>
      <c r="G109" s="76" t="inlineStr">
        <is>
          <t>CST_PROC</t>
        </is>
      </c>
    </row>
    <row r="110" ht="15" customHeight="1">
      <c r="A110" s="75" t="n">
        <v>108</v>
      </c>
      <c r="B110" s="76" t="inlineStr">
        <is>
          <t>DIV 03 – ARCH</t>
        </is>
      </c>
      <c r="C110" s="76" t="inlineStr">
        <is>
          <t>Col K – Door operation</t>
        </is>
      </c>
      <c r="D110" s="77" t="inlineStr">
        <is>
          <t>BLE_DOOR_OPERATION_TYPE_SWING_SLIDE_FOLD_ROLL_TXT</t>
        </is>
      </c>
      <c r="E110" s="75" t="inlineStr">
        <is>
          <t>TEXT</t>
        </is>
      </c>
      <c r="F110" s="76" t="inlineStr">
        <is>
          <t>Door operation type (swing/slide/fold/roll)</t>
        </is>
      </c>
      <c r="G110" s="76" t="inlineStr">
        <is>
          <t>CST_PROC</t>
        </is>
      </c>
    </row>
    <row r="111" ht="15" customHeight="1">
      <c r="A111" s="75" t="n">
        <v>109</v>
      </c>
      <c r="B111" s="76" t="inlineStr">
        <is>
          <t>DIV 03 – ARCH</t>
        </is>
      </c>
      <c r="C111" s="76" t="inlineStr">
        <is>
          <t>Col K – Door hardware</t>
        </is>
      </c>
      <c r="D111" s="77" t="inlineStr">
        <is>
          <t>BLE_DOOR_HARDWARE_SPECIFICATION_TXT</t>
        </is>
      </c>
      <c r="E111" s="75" t="inlineStr">
        <is>
          <t>TEXT</t>
        </is>
      </c>
      <c r="F111" s="76" t="inlineStr">
        <is>
          <t>Hardware spec (hinges / lock / closer / panic)</t>
        </is>
      </c>
      <c r="G111" s="76" t="inlineStr">
        <is>
          <t>CST_PROC</t>
        </is>
      </c>
    </row>
    <row r="112" ht="15" customHeight="1">
      <c r="A112" s="75" t="n">
        <v>110</v>
      </c>
      <c r="B112" s="76" t="inlineStr">
        <is>
          <t>DIV 03 – ARCH</t>
        </is>
      </c>
      <c r="C112" s="76" t="inlineStr">
        <is>
          <t>Col K – Door acoustic</t>
        </is>
      </c>
      <c r="D112" s="77" t="inlineStr">
        <is>
          <t>BLE_DOOR_ACOUSTIC_RATING_DB</t>
        </is>
      </c>
      <c r="E112" s="75" t="inlineStr">
        <is>
          <t>NUMBER</t>
        </is>
      </c>
      <c r="F112" s="76" t="inlineStr">
        <is>
          <t>Door acoustic rating in dB</t>
        </is>
      </c>
      <c r="G112" s="76" t="inlineStr">
        <is>
          <t>CST_PROC</t>
        </is>
      </c>
    </row>
    <row r="113" ht="15" customHeight="1">
      <c r="A113" s="75" t="n">
        <v>111</v>
      </c>
      <c r="B113" s="76" t="inlineStr">
        <is>
          <t>DIV 03 – ARCH</t>
        </is>
      </c>
      <c r="C113" s="76" t="inlineStr">
        <is>
          <t>Col K – Door security</t>
        </is>
      </c>
      <c r="D113" s="77" t="inlineStr">
        <is>
          <t>BLE_DOOR_SECURITY_RATING_GRADE_TXT</t>
        </is>
      </c>
      <c r="E113" s="75" t="inlineStr">
        <is>
          <t>TEXT</t>
        </is>
      </c>
      <c r="F113" s="76" t="inlineStr">
        <is>
          <t>Security / fire rating grade</t>
        </is>
      </c>
      <c r="G113" s="76" t="inlineStr">
        <is>
          <t>CST_PROC</t>
        </is>
      </c>
    </row>
    <row r="114" ht="15" customHeight="1">
      <c r="A114" s="75" t="n">
        <v>112</v>
      </c>
      <c r="B114" s="76" t="inlineStr">
        <is>
          <t>DIV 03 – ARCH</t>
        </is>
      </c>
      <c r="C114" s="76" t="inlineStr">
        <is>
          <t>Col E – Window (m²)</t>
        </is>
      </c>
      <c r="D114" s="77" t="inlineStr">
        <is>
          <t>BLE_WINDOW_AREA_SQ_M</t>
        </is>
      </c>
      <c r="E114" s="75" t="inlineStr">
        <is>
          <t>AREA</t>
        </is>
      </c>
      <c r="F114" s="76" t="inlineStr">
        <is>
          <t>Window area m² from BIM</t>
        </is>
      </c>
      <c r="G114" s="76" t="inlineStr">
        <is>
          <t>BLE_ELES</t>
        </is>
      </c>
    </row>
    <row r="115" ht="15" customHeight="1">
      <c r="A115" s="75" t="n">
        <v>113</v>
      </c>
      <c r="B115" s="76" t="inlineStr">
        <is>
          <t>DIV 03 – ARCH</t>
        </is>
      </c>
      <c r="C115" s="76" t="inlineStr">
        <is>
          <t>Col K – Window frame</t>
        </is>
      </c>
      <c r="D115" s="77" t="inlineStr">
        <is>
          <t>BLE_WINDOW_FRAME_MAT_TXT</t>
        </is>
      </c>
      <c r="E115" s="75" t="inlineStr">
        <is>
          <t>TEXT</t>
        </is>
      </c>
      <c r="F115" s="76" t="inlineStr">
        <is>
          <t>Window frame material (aluminium / timber / UPVC)</t>
        </is>
      </c>
      <c r="G115" s="76" t="inlineStr">
        <is>
          <t>CST_PROC</t>
        </is>
      </c>
    </row>
    <row r="116" ht="15" customHeight="1">
      <c r="A116" s="75" t="n">
        <v>114</v>
      </c>
      <c r="B116" s="76" t="inlineStr">
        <is>
          <t>DIV 03 – ARCH</t>
        </is>
      </c>
      <c r="C116" s="76" t="inlineStr">
        <is>
          <t>Col K – Window glazing</t>
        </is>
      </c>
      <c r="D116" s="77" t="inlineStr">
        <is>
          <t>BLE_WINDOW_GLAZING_TYPE_SINGLE_DOUBLE_TRIPLE_TXT</t>
        </is>
      </c>
      <c r="E116" s="75" t="inlineStr">
        <is>
          <t>TEXT</t>
        </is>
      </c>
      <c r="F116" s="76" t="inlineStr">
        <is>
          <t>Glazing type (single/double/triple)</t>
        </is>
      </c>
      <c r="G116" s="76" t="inlineStr">
        <is>
          <t>CST_PROC</t>
        </is>
      </c>
    </row>
    <row r="117" ht="15" customHeight="1">
      <c r="A117" s="75" t="n">
        <v>115</v>
      </c>
      <c r="B117" s="76" t="inlineStr">
        <is>
          <t>DIV 03 – ARCH</t>
        </is>
      </c>
      <c r="C117" s="76" t="inlineStr">
        <is>
          <t>Col K – Window U-value</t>
        </is>
      </c>
      <c r="D117" s="77" t="inlineStr">
        <is>
          <t>BLE_WINDOW_U_VALUE_W_M_2K_NR</t>
        </is>
      </c>
      <c r="E117" s="75" t="inlineStr">
        <is>
          <t>NUMBER</t>
        </is>
      </c>
      <c r="F117" s="76" t="inlineStr">
        <is>
          <t>Window U-value W/m²K</t>
        </is>
      </c>
      <c r="G117" s="76" t="inlineStr">
        <is>
          <t>CST_PROC</t>
        </is>
      </c>
    </row>
    <row r="118" ht="15" customHeight="1">
      <c r="A118" s="75" t="n">
        <v>116</v>
      </c>
      <c r="B118" s="76" t="inlineStr">
        <is>
          <t>DIV 03 – ARCH</t>
        </is>
      </c>
      <c r="C118" s="76" t="inlineStr">
        <is>
          <t>Col K – Window SHGC</t>
        </is>
      </c>
      <c r="D118" s="77" t="inlineStr">
        <is>
          <t>BLE_WINDOW_SOLAR_HEAT_GAIN_COEFFICIENT_NR</t>
        </is>
      </c>
      <c r="E118" s="75" t="inlineStr">
        <is>
          <t>NUMBER</t>
        </is>
      </c>
      <c r="F118" s="76" t="inlineStr">
        <is>
          <t>Solar heat gain coefficient SHGC</t>
        </is>
      </c>
      <c r="G118" s="76" t="inlineStr">
        <is>
          <t>CST_PROC</t>
        </is>
      </c>
    </row>
    <row r="119" ht="15" customHeight="1">
      <c r="A119" s="75" t="n">
        <v>117</v>
      </c>
      <c r="B119" s="76" t="inlineStr">
        <is>
          <t>DIV 03 – ARCH</t>
        </is>
      </c>
      <c r="C119" s="76" t="inlineStr">
        <is>
          <t>Col K – Window operation</t>
        </is>
      </c>
      <c r="D119" s="77" t="inlineStr">
        <is>
          <t>BLE_WINDOW_OPERATION_TYPE_TXT</t>
        </is>
      </c>
      <c r="E119" s="75" t="inlineStr">
        <is>
          <t>TEXT</t>
        </is>
      </c>
      <c r="F119" s="76" t="inlineStr">
        <is>
          <t>Window operation type (fixed / casement / sliding)</t>
        </is>
      </c>
      <c r="G119" s="76" t="inlineStr">
        <is>
          <t>CST_PROC</t>
        </is>
      </c>
    </row>
    <row r="120" ht="15" customHeight="1">
      <c r="A120" s="75" t="n">
        <v>118</v>
      </c>
      <c r="B120" s="76" t="inlineStr">
        <is>
          <t>DIV 03 – ARCH</t>
        </is>
      </c>
      <c r="C120" s="76" t="inlineStr">
        <is>
          <t>Col K – Window tag</t>
        </is>
      </c>
      <c r="D120" s="77" t="inlineStr">
        <is>
          <t>ENV_WIN_TAG_TXT</t>
        </is>
      </c>
      <c r="E120" s="75" t="inlineStr">
        <is>
          <t>TEXT</t>
        </is>
      </c>
      <c r="F120" s="76" t="inlineStr">
        <is>
          <t>Window schedule tag (frame/glazing/U-value/SHGC/VLT)</t>
        </is>
      </c>
      <c r="G120" s="76" t="inlineStr">
        <is>
          <t>BLE_ELES</t>
        </is>
      </c>
    </row>
    <row r="121" ht="15" customHeight="1">
      <c r="A121" s="75" t="n">
        <v>119</v>
      </c>
      <c r="B121" s="76" t="inlineStr">
        <is>
          <t>DIV 03 – ARCH</t>
        </is>
      </c>
      <c r="C121" s="76" t="inlineStr">
        <is>
          <t>Col K – Facade material</t>
        </is>
      </c>
      <c r="D121" s="77" t="inlineStr">
        <is>
          <t>BLE_FACADE_MAT_TXT</t>
        </is>
      </c>
      <c r="E121" s="75" t="inlineStr">
        <is>
          <t>TEXT</t>
        </is>
      </c>
      <c r="F121" s="76" t="inlineStr">
        <is>
          <t>Facade cladding material</t>
        </is>
      </c>
      <c r="G121" s="76" t="inlineStr">
        <is>
          <t>CST_PROC</t>
        </is>
      </c>
    </row>
    <row r="122" ht="15" customHeight="1">
      <c r="A122" s="75" t="n">
        <v>120</v>
      </c>
      <c r="B122" s="76" t="inlineStr">
        <is>
          <t>DIV 03 – ARCH</t>
        </is>
      </c>
      <c r="C122" s="76" t="inlineStr">
        <is>
          <t>Col K – Facade tag</t>
        </is>
      </c>
      <c r="D122" s="77" t="inlineStr">
        <is>
          <t>ENV_FAC_TAG_TXT</t>
        </is>
      </c>
      <c r="E122" s="75" t="inlineStr">
        <is>
          <t>TEXT</t>
        </is>
      </c>
      <c r="F122" s="76" t="inlineStr">
        <is>
          <t>Facade cladding tag (material/finish/panel/fixing)</t>
        </is>
      </c>
      <c r="G122" s="76" t="inlineStr">
        <is>
          <t>BLE_ELES</t>
        </is>
      </c>
    </row>
    <row r="123" ht="15" customHeight="1">
      <c r="A123" s="75" t="n">
        <v>121</v>
      </c>
      <c r="B123" s="76" t="inlineStr">
        <is>
          <t>DIV 03 – ARCH</t>
        </is>
      </c>
      <c r="C123" s="76" t="inlineStr">
        <is>
          <t>Col K – Roof type</t>
        </is>
      </c>
      <c r="D123" s="77" t="inlineStr">
        <is>
          <t>BLE_ROOF_TYPE_TXT</t>
        </is>
      </c>
      <c r="E123" s="75" t="inlineStr">
        <is>
          <t>TEXT</t>
        </is>
      </c>
      <c r="F123" s="76" t="inlineStr">
        <is>
          <t>Roof type (flat / pitched / mono-pitch)</t>
        </is>
      </c>
      <c r="G123" s="76" t="inlineStr">
        <is>
          <t>CST_PROC</t>
        </is>
      </c>
    </row>
    <row r="124" ht="15" customHeight="1">
      <c r="A124" s="75" t="n">
        <v>122</v>
      </c>
      <c r="B124" s="76" t="inlineStr">
        <is>
          <t>DIV 03 – ARCH</t>
        </is>
      </c>
      <c r="C124" s="76" t="inlineStr">
        <is>
          <t>Col K – Roof covering</t>
        </is>
      </c>
      <c r="D124" s="77" t="inlineStr">
        <is>
          <t>BLE_ROOF_COVERING_MAT_TXT</t>
        </is>
      </c>
      <c r="E124" s="75" t="inlineStr">
        <is>
          <t>TEXT</t>
        </is>
      </c>
      <c r="F124" s="76" t="inlineStr">
        <is>
          <t>Roof covering material</t>
        </is>
      </c>
      <c r="G124" s="76" t="inlineStr">
        <is>
          <t>CST_PROC</t>
        </is>
      </c>
    </row>
    <row r="125" ht="15" customHeight="1">
      <c r="A125" s="75" t="n">
        <v>123</v>
      </c>
      <c r="B125" s="76" t="inlineStr">
        <is>
          <t>DIV 03 – ARCH</t>
        </is>
      </c>
      <c r="C125" s="76" t="inlineStr">
        <is>
          <t>Col K – Roof tag</t>
        </is>
      </c>
      <c r="D125" s="77" t="inlineStr">
        <is>
          <t>ENV_ROOF_TAG_TXT</t>
        </is>
      </c>
      <c r="E125" s="75" t="inlineStr">
        <is>
          <t>TEXT</t>
        </is>
      </c>
      <c r="F125" s="76" t="inlineStr">
        <is>
          <t>Roof tag (covering/waterproofing/R-value/slope)</t>
        </is>
      </c>
      <c r="G125" s="76" t="inlineStr">
        <is>
          <t>BLE_ELES</t>
        </is>
      </c>
    </row>
    <row r="126" ht="15" customHeight="1">
      <c r="A126" s="75" t="n">
        <v>124</v>
      </c>
      <c r="B126" s="76" t="inlineStr">
        <is>
          <t>DIV 03 – ARCH</t>
        </is>
      </c>
      <c r="C126" s="76" t="inlineStr">
        <is>
          <t>Col J – Tile cost</t>
        </is>
      </c>
      <c r="D126" s="77" t="inlineStr">
        <is>
          <t>CST_TOTAL_TILE_COST</t>
        </is>
      </c>
      <c r="E126" s="75" t="inlineStr">
        <is>
          <t>CURRENCY</t>
        </is>
      </c>
      <c r="F126" s="76" t="inlineStr">
        <is>
          <t>Total tiles cost UGX</t>
        </is>
      </c>
      <c r="G126" s="76" t="inlineStr">
        <is>
          <t>COM_DAT</t>
        </is>
      </c>
    </row>
    <row r="127" ht="15" customHeight="1">
      <c r="A127" s="75" t="n">
        <v>125</v>
      </c>
      <c r="B127" s="76" t="inlineStr">
        <is>
          <t>DIV 03 – ARCH</t>
        </is>
      </c>
      <c r="C127" s="76" t="inlineStr">
        <is>
          <t>Col J – Paint cost</t>
        </is>
      </c>
      <c r="D127" s="77" t="inlineStr">
        <is>
          <t>CST_TOTAL_PAINT_COST</t>
        </is>
      </c>
      <c r="E127" s="75" t="inlineStr">
        <is>
          <t>CURRENCY</t>
        </is>
      </c>
      <c r="F127" s="76" t="inlineStr">
        <is>
          <t>Total paint cost UGX</t>
        </is>
      </c>
      <c r="G127" s="76" t="inlineStr">
        <is>
          <t>COM_DAT</t>
        </is>
      </c>
    </row>
    <row r="128" ht="15" customHeight="1">
      <c r="A128" s="75" t="n">
        <v>126</v>
      </c>
      <c r="B128" s="76" t="inlineStr">
        <is>
          <t>DIV 03 – ARCH</t>
        </is>
      </c>
      <c r="C128" s="76" t="inlineStr">
        <is>
          <t>Col J – Plaster cost</t>
        </is>
      </c>
      <c r="D128" s="77" t="inlineStr">
        <is>
          <t>CST_TOTAL_PLASTER_COST</t>
        </is>
      </c>
      <c r="E128" s="75" t="inlineStr">
        <is>
          <t>CURRENCY</t>
        </is>
      </c>
      <c r="F128" s="76" t="inlineStr">
        <is>
          <t>Total plaster cost UGX</t>
        </is>
      </c>
      <c r="G128" s="76" t="inlineStr">
        <is>
          <t>COM_DAT</t>
        </is>
      </c>
    </row>
    <row r="129" ht="15" customHeight="1">
      <c r="A129" s="78" t="n">
        <v>127</v>
      </c>
      <c r="B129" s="79" t="inlineStr">
        <is>
          <t>DIV 04 – MECH</t>
        </is>
      </c>
      <c r="C129" s="79" t="inlineStr">
        <is>
          <t>Col L – HVAC equipment tag</t>
        </is>
      </c>
      <c r="D129" s="80" t="inlineStr">
        <is>
          <t>HVC_EQP_TAG_01_TXT</t>
        </is>
      </c>
      <c r="E129" s="78" t="inlineStr">
        <is>
          <t>TEXT</t>
        </is>
      </c>
      <c r="F129" s="79" t="inlineStr">
        <is>
          <t>HVAC equipment primary STING tag</t>
        </is>
      </c>
      <c r="G129" s="79" t="inlineStr">
        <is>
          <t>HVC_SYSTEMS</t>
        </is>
      </c>
    </row>
    <row r="130" ht="15" customHeight="1">
      <c r="A130" s="78" t="n">
        <v>128</v>
      </c>
      <c r="B130" s="79" t="inlineStr">
        <is>
          <t>DIV 04 – MECH</t>
        </is>
      </c>
      <c r="C130" s="79" t="inlineStr">
        <is>
          <t>Col L – HVAC equipment tag</t>
        </is>
      </c>
      <c r="D130" s="80" t="inlineStr">
        <is>
          <t>HVC_EQP_TAG_02_TXT</t>
        </is>
      </c>
      <c r="E130" s="78" t="inlineStr">
        <is>
          <t>TEXT</t>
        </is>
      </c>
      <c r="F130" s="79" t="inlineStr">
        <is>
          <t>HVAC equipment secondary tag</t>
        </is>
      </c>
      <c r="G130" s="79" t="inlineStr">
        <is>
          <t>HVC_SYSTEMS</t>
        </is>
      </c>
    </row>
    <row r="131" ht="15" customHeight="1">
      <c r="A131" s="78" t="n">
        <v>129</v>
      </c>
      <c r="B131" s="79" t="inlineStr">
        <is>
          <t>DIV 04 – MECH</t>
        </is>
      </c>
      <c r="C131" s="79" t="inlineStr">
        <is>
          <t>Col K – HVAC capacity</t>
        </is>
      </c>
      <c r="D131" s="80" t="inlineStr">
        <is>
          <t>HVC_CAP_KW</t>
        </is>
      </c>
      <c r="E131" s="78" t="inlineStr">
        <is>
          <t>NUMBER</t>
        </is>
      </c>
      <c r="F131" s="79" t="inlineStr">
        <is>
          <t>HVAC equipment capacity in kW</t>
        </is>
      </c>
      <c r="G131" s="79" t="inlineStr">
        <is>
          <t>HVC_SYSTEMS</t>
        </is>
      </c>
    </row>
    <row r="132" ht="15" customHeight="1">
      <c r="A132" s="78" t="n">
        <v>130</v>
      </c>
      <c r="B132" s="79" t="inlineStr">
        <is>
          <t>DIV 04 – MECH</t>
        </is>
      </c>
      <c r="C132" s="79" t="inlineStr">
        <is>
          <t>Col K – HVAC TR</t>
        </is>
      </c>
      <c r="D132" s="80" t="inlineStr">
        <is>
          <t>HVC_CAP_TR</t>
        </is>
      </c>
      <c r="E132" s="78" t="inlineStr">
        <is>
          <t>TEXT</t>
        </is>
      </c>
      <c r="F132" s="79" t="inlineStr">
        <is>
          <t>Capacity in Tons of Refrigeration</t>
        </is>
      </c>
      <c r="G132" s="79" t="inlineStr">
        <is>
          <t>HVC_SYSTEMS</t>
        </is>
      </c>
    </row>
    <row r="133" ht="15" customHeight="1">
      <c r="A133" s="78" t="n">
        <v>131</v>
      </c>
      <c r="B133" s="79" t="inlineStr">
        <is>
          <t>DIV 04 – MECH</t>
        </is>
      </c>
      <c r="C133" s="79" t="inlineStr">
        <is>
          <t>Col K – HVAC power</t>
        </is>
      </c>
      <c r="D133" s="80" t="inlineStr">
        <is>
          <t>HVC_PWR_KW</t>
        </is>
      </c>
      <c r="E133" s="78" t="inlineStr">
        <is>
          <t>NUMBER</t>
        </is>
      </c>
      <c r="F133" s="79" t="inlineStr">
        <is>
          <t>HVAC electrical power input in kW</t>
        </is>
      </c>
      <c r="G133" s="79" t="inlineStr">
        <is>
          <t>HVC_SYSTEMS</t>
        </is>
      </c>
    </row>
    <row r="134" ht="15" customHeight="1">
      <c r="A134" s="78" t="n">
        <v>132</v>
      </c>
      <c r="B134" s="79" t="inlineStr">
        <is>
          <t>DIV 04 – MECH</t>
        </is>
      </c>
      <c r="C134" s="79" t="inlineStr">
        <is>
          <t>Col K – Refrigerant</t>
        </is>
      </c>
      <c r="D134" s="80" t="inlineStr">
        <is>
          <t>HVC_REFRIGERANT_TXT</t>
        </is>
      </c>
      <c r="E134" s="78" t="inlineStr">
        <is>
          <t>TEXT</t>
        </is>
      </c>
      <c r="F134" s="79" t="inlineStr">
        <is>
          <t>Refrigerant type (R410A / R32 / R134a)</t>
        </is>
      </c>
      <c r="G134" s="79" t="inlineStr">
        <is>
          <t>HVC_SYSTEMS</t>
        </is>
      </c>
    </row>
    <row r="135" ht="15" customHeight="1">
      <c r="A135" s="78" t="n">
        <v>133</v>
      </c>
      <c r="B135" s="79" t="inlineStr">
        <is>
          <t>DIV 04 – MECH</t>
        </is>
      </c>
      <c r="C135" s="79" t="inlineStr">
        <is>
          <t>Col K – HVAC efficiency</t>
        </is>
      </c>
      <c r="D135" s="80" t="inlineStr">
        <is>
          <t>HVC_EFF_RATIO_NR</t>
        </is>
      </c>
      <c r="E135" s="78" t="inlineStr">
        <is>
          <t>NUMBER</t>
        </is>
      </c>
      <c r="F135" s="79" t="inlineStr">
        <is>
          <t>COP / EER efficiency ratio</t>
        </is>
      </c>
      <c r="G135" s="79" t="inlineStr">
        <is>
          <t>HVC_SYSTEMS</t>
        </is>
      </c>
    </row>
    <row r="136" ht="15" customHeight="1">
      <c r="A136" s="78" t="n">
        <v>134</v>
      </c>
      <c r="B136" s="79" t="inlineStr">
        <is>
          <t>DIV 04 – MECH</t>
        </is>
      </c>
      <c r="C136" s="79" t="inlineStr">
        <is>
          <t>Col K – HVAC control</t>
        </is>
      </c>
      <c r="D136" s="80" t="inlineStr">
        <is>
          <t>HVC_CONTROL_TYPE_TXT</t>
        </is>
      </c>
      <c r="E136" s="78" t="inlineStr">
        <is>
          <t>TEXT</t>
        </is>
      </c>
      <c r="F136" s="79" t="inlineStr">
        <is>
          <t>Control type (BMS / DDC / standalone)</t>
        </is>
      </c>
      <c r="G136" s="79" t="inlineStr">
        <is>
          <t>HVC_SYSTEMS</t>
        </is>
      </c>
    </row>
    <row r="137" ht="15" customHeight="1">
      <c r="A137" s="78" t="n">
        <v>135</v>
      </c>
      <c r="B137" s="79" t="inlineStr">
        <is>
          <t>DIV 04 – MECH</t>
        </is>
      </c>
      <c r="C137" s="79" t="inlineStr">
        <is>
          <t>Col K – HVAC voltage</t>
        </is>
      </c>
      <c r="D137" s="80" t="inlineStr">
        <is>
          <t>HVC_VLT_V</t>
        </is>
      </c>
      <c r="E137" s="78" t="inlineStr">
        <is>
          <t>NUMBER</t>
        </is>
      </c>
      <c r="F137" s="79" t="inlineStr">
        <is>
          <t>HVAC equipment supply voltage V</t>
        </is>
      </c>
      <c r="G137" s="79" t="inlineStr">
        <is>
          <t>HVC_SYSTEMS</t>
        </is>
      </c>
    </row>
    <row r="138" ht="15" customHeight="1">
      <c r="A138" s="78" t="n">
        <v>136</v>
      </c>
      <c r="B138" s="79" t="inlineStr">
        <is>
          <t>DIV 04 – MECH</t>
        </is>
      </c>
      <c r="C138" s="79" t="inlineStr">
        <is>
          <t>Col L – Ductwork tag</t>
        </is>
      </c>
      <c r="D138" s="80" t="inlineStr">
        <is>
          <t>HVC_DCT_TAG_01_TXT</t>
        </is>
      </c>
      <c r="E138" s="78" t="inlineStr">
        <is>
          <t>TEXT</t>
        </is>
      </c>
      <c r="F138" s="79" t="inlineStr">
        <is>
          <t>Ductwork primary STING tag</t>
        </is>
      </c>
      <c r="G138" s="79" t="inlineStr">
        <is>
          <t>HVC_SYSTEMS</t>
        </is>
      </c>
    </row>
    <row r="139" ht="15" customHeight="1">
      <c r="A139" s="78" t="n">
        <v>137</v>
      </c>
      <c r="B139" s="79" t="inlineStr">
        <is>
          <t>DIV 04 – MECH</t>
        </is>
      </c>
      <c r="C139" s="79" t="inlineStr">
        <is>
          <t>Col K – Duct material</t>
        </is>
      </c>
      <c r="D139" s="80" t="inlineStr">
        <is>
          <t>HVC_DCT_MAT_TXT</t>
        </is>
      </c>
      <c r="E139" s="78" t="inlineStr">
        <is>
          <t>TEXT</t>
        </is>
      </c>
      <c r="F139" s="79" t="inlineStr">
        <is>
          <t>Duct material (GI / stainless / flexible)</t>
        </is>
      </c>
      <c r="G139" s="79" t="inlineStr">
        <is>
          <t>HVC_SYSTEMS</t>
        </is>
      </c>
    </row>
    <row r="140" ht="15" customHeight="1">
      <c r="A140" s="78" t="n">
        <v>138</v>
      </c>
      <c r="B140" s="79" t="inlineStr">
        <is>
          <t>DIV 04 – MECH</t>
        </is>
      </c>
      <c r="C140" s="79" t="inlineStr">
        <is>
          <t>Col K – Duct pressure class</t>
        </is>
      </c>
      <c r="D140" s="80" t="inlineStr">
        <is>
          <t>HVC_DUCT_CLASS_TXT</t>
        </is>
      </c>
      <c r="E140" s="78" t="inlineStr">
        <is>
          <t>TEXT</t>
        </is>
      </c>
      <c r="F140" s="79" t="inlineStr">
        <is>
          <t>Duct pressure class (SMACNA class 1/2/3)</t>
        </is>
      </c>
      <c r="G140" s="79" t="inlineStr">
        <is>
          <t>HVC_SYSTEMS</t>
        </is>
      </c>
    </row>
    <row r="141" ht="15" customHeight="1">
      <c r="A141" s="78" t="n">
        <v>139</v>
      </c>
      <c r="B141" s="79" t="inlineStr">
        <is>
          <t>DIV 04 – MECH</t>
        </is>
      </c>
      <c r="C141" s="79" t="inlineStr">
        <is>
          <t>Col K – Duct lining</t>
        </is>
      </c>
      <c r="D141" s="80" t="inlineStr">
        <is>
          <t>HVC_DUCT_LINING_TXT</t>
        </is>
      </c>
      <c r="E141" s="78" t="inlineStr">
        <is>
          <t>TEXT</t>
        </is>
      </c>
      <c r="F141" s="79" t="inlineStr">
        <is>
          <t>Duct internal lining / insulation</t>
        </is>
      </c>
      <c r="G141" s="79" t="inlineStr">
        <is>
          <t>HVC_SYSTEMS</t>
        </is>
      </c>
    </row>
    <row r="142" ht="15" customHeight="1">
      <c r="A142" s="78" t="n">
        <v>140</v>
      </c>
      <c r="B142" s="79" t="inlineStr">
        <is>
          <t>DIV 04 – MECH</t>
        </is>
      </c>
      <c r="C142" s="79" t="inlineStr">
        <is>
          <t>Col E – Duct area (m²)</t>
        </is>
      </c>
      <c r="D142" s="80" t="inlineStr">
        <is>
          <t>HVC_DUCT_AREA_SQ_M</t>
        </is>
      </c>
      <c r="E142" s="78" t="inlineStr">
        <is>
          <t>AREA</t>
        </is>
      </c>
      <c r="F142" s="79" t="inlineStr">
        <is>
          <t>Duct surface area m² from BIM</t>
        </is>
      </c>
      <c r="G142" s="79" t="inlineStr">
        <is>
          <t>HVC_SYSTEMS</t>
        </is>
      </c>
    </row>
    <row r="143" ht="15" customHeight="1">
      <c r="A143" s="78" t="n">
        <v>141</v>
      </c>
      <c r="B143" s="79" t="inlineStr">
        <is>
          <t>DIV 04 – MECH</t>
        </is>
      </c>
      <c r="C143" s="79" t="inlineStr">
        <is>
          <t>Col K – Terminal type</t>
        </is>
      </c>
      <c r="D143" s="80" t="inlineStr">
        <is>
          <t>HVC_DCT_TERMINAL_TYPE_SD_RG_EG_VAV_TXT</t>
        </is>
      </c>
      <c r="E143" s="78" t="inlineStr">
        <is>
          <t>TEXT</t>
        </is>
      </c>
      <c r="F143" s="79" t="inlineStr">
        <is>
          <t>Terminal type (supply diffuser/return/exhaust/VAV)</t>
        </is>
      </c>
      <c r="G143" s="79" t="inlineStr">
        <is>
          <t>HVC_SYSTEMS</t>
        </is>
      </c>
    </row>
    <row r="144" ht="15" customHeight="1">
      <c r="A144" s="78" t="n">
        <v>142</v>
      </c>
      <c r="B144" s="79" t="inlineStr">
        <is>
          <t>DIV 04 – MECH</t>
        </is>
      </c>
      <c r="C144" s="79" t="inlineStr">
        <is>
          <t>Col K – Terminal size</t>
        </is>
      </c>
      <c r="D144" s="80" t="inlineStr">
        <is>
          <t>HVC_DCT_TERMINAL_SZ_TXT</t>
        </is>
      </c>
      <c r="E144" s="78" t="inlineStr">
        <is>
          <t>TEXT</t>
        </is>
      </c>
      <c r="F144" s="79" t="inlineStr">
        <is>
          <t>Terminal face size (e.g. 300×300mm)</t>
        </is>
      </c>
      <c r="G144" s="79" t="inlineStr">
        <is>
          <t>HVC_SYSTEMS</t>
        </is>
      </c>
    </row>
    <row r="145" ht="15" customHeight="1">
      <c r="A145" s="78" t="n">
        <v>143</v>
      </c>
      <c r="B145" s="79" t="inlineStr">
        <is>
          <t>DIV 04 – MECH</t>
        </is>
      </c>
      <c r="C145" s="79" t="inlineStr">
        <is>
          <t>Col K – Flex duct tag</t>
        </is>
      </c>
      <c r="D145" s="80" t="inlineStr">
        <is>
          <t>HVC_FLX_TAG_01_TXT</t>
        </is>
      </c>
      <c r="E145" s="78" t="inlineStr">
        <is>
          <t>TEXT</t>
        </is>
      </c>
      <c r="F145" s="79" t="inlineStr">
        <is>
          <t>Flexible duct spec tag (material/lining/length)</t>
        </is>
      </c>
      <c r="G145" s="79" t="inlineStr">
        <is>
          <t>HVC_SYSTEMS</t>
        </is>
      </c>
    </row>
    <row r="146" ht="15" customHeight="1">
      <c r="A146" s="78" t="n">
        <v>144</v>
      </c>
      <c r="B146" s="79" t="inlineStr">
        <is>
          <t>DIV 04 – MECH</t>
        </is>
      </c>
      <c r="C146" s="79" t="inlineStr">
        <is>
          <t>Col L – Plumbing equip tag</t>
        </is>
      </c>
      <c r="D146" s="80" t="inlineStr">
        <is>
          <t>PLM_EQP_TAG_01_TXT</t>
        </is>
      </c>
      <c r="E146" s="78" t="inlineStr">
        <is>
          <t>TEXT</t>
        </is>
      </c>
      <c r="F146" s="79" t="inlineStr">
        <is>
          <t>Plumbing equipment STING tag</t>
        </is>
      </c>
      <c r="G146" s="79" t="inlineStr">
        <is>
          <t>PLM_DRN</t>
        </is>
      </c>
    </row>
    <row r="147" ht="15" customHeight="1">
      <c r="A147" s="78" t="n">
        <v>145</v>
      </c>
      <c r="B147" s="79" t="inlineStr">
        <is>
          <t>DIV 04 – MECH</t>
        </is>
      </c>
      <c r="C147" s="79" t="inlineStr">
        <is>
          <t>Col K – Pipe material</t>
        </is>
      </c>
      <c r="D147" s="80" t="inlineStr">
        <is>
          <t>PLM_PPE_MAT_TXT</t>
        </is>
      </c>
      <c r="E147" s="78" t="inlineStr">
        <is>
          <t>TEXT</t>
        </is>
      </c>
      <c r="F147" s="79" t="inlineStr">
        <is>
          <t>Pipe material (CPVC / uPVC / GI / copper)</t>
        </is>
      </c>
      <c r="G147" s="79" t="inlineStr">
        <is>
          <t>PLM_DRN</t>
        </is>
      </c>
    </row>
    <row r="148" ht="15" customHeight="1">
      <c r="A148" s="78" t="n">
        <v>146</v>
      </c>
      <c r="B148" s="79" t="inlineStr">
        <is>
          <t>DIV 04 – MECH</t>
        </is>
      </c>
      <c r="C148" s="79" t="inlineStr">
        <is>
          <t>Col K – Pipe diameter</t>
        </is>
      </c>
      <c r="D148" s="80" t="inlineStr">
        <is>
          <t>PLM_PPE_SZ_MM</t>
        </is>
      </c>
      <c r="E148" s="78" t="inlineStr">
        <is>
          <t>LENGTH</t>
        </is>
      </c>
      <c r="F148" s="79" t="inlineStr">
        <is>
          <t>Pipe nominal diameter in mm</t>
        </is>
      </c>
      <c r="G148" s="79" t="inlineStr">
        <is>
          <t>PLM_DRN</t>
        </is>
      </c>
    </row>
    <row r="149" ht="15" customHeight="1">
      <c r="A149" s="78" t="n">
        <v>147</v>
      </c>
      <c r="B149" s="79" t="inlineStr">
        <is>
          <t>DIV 04 – MECH</t>
        </is>
      </c>
      <c r="C149" s="79" t="inlineStr">
        <is>
          <t>Col E – Pipe length (m)</t>
        </is>
      </c>
      <c r="D149" s="80" t="inlineStr">
        <is>
          <t>PLM_PPE_LENGTH_M</t>
        </is>
      </c>
      <c r="E149" s="78" t="inlineStr">
        <is>
          <t>LENGTH</t>
        </is>
      </c>
      <c r="F149" s="79" t="inlineStr">
        <is>
          <t>Pipe run length in m from BIM</t>
        </is>
      </c>
      <c r="G149" s="79" t="inlineStr">
        <is>
          <t>PLM_DRN</t>
        </is>
      </c>
    </row>
    <row r="150" ht="15" customHeight="1">
      <c r="A150" s="78" t="n">
        <v>148</v>
      </c>
      <c r="B150" s="79" t="inlineStr">
        <is>
          <t>DIV 04 – MECH</t>
        </is>
      </c>
      <c r="C150" s="79" t="inlineStr">
        <is>
          <t>Col K – Pipe pressure</t>
        </is>
      </c>
      <c r="D150" s="80" t="inlineStr">
        <is>
          <t>PLM_PPE_PSR_RATING_BAR</t>
        </is>
      </c>
      <c r="E150" s="78" t="inlineStr">
        <is>
          <t>NUMBER</t>
        </is>
      </c>
      <c r="F150" s="79" t="inlineStr">
        <is>
          <t>Pipe pressure rating in bar</t>
        </is>
      </c>
      <c r="G150" s="79" t="inlineStr">
        <is>
          <t>PLM_DRN</t>
        </is>
      </c>
    </row>
    <row r="151" ht="15" customHeight="1">
      <c r="A151" s="78" t="n">
        <v>149</v>
      </c>
      <c r="B151" s="79" t="inlineStr">
        <is>
          <t>DIV 04 – MECH</t>
        </is>
      </c>
      <c r="C151" s="79" t="inlineStr">
        <is>
          <t>Col K – Pipe joint</t>
        </is>
      </c>
      <c r="D151" s="80" t="inlineStr">
        <is>
          <t>PLM_PPE_JOINT_TYPE_TXT</t>
        </is>
      </c>
      <c r="E151" s="78" t="inlineStr">
        <is>
          <t>TEXT</t>
        </is>
      </c>
      <c r="F151" s="79" t="inlineStr">
        <is>
          <t>Joint type (solvent / compression / threaded / flanged)</t>
        </is>
      </c>
      <c r="G151" s="79" t="inlineStr">
        <is>
          <t>PLM_DRN</t>
        </is>
      </c>
    </row>
    <row r="152" ht="15" customHeight="1">
      <c r="A152" s="78" t="n">
        <v>150</v>
      </c>
      <c r="B152" s="79" t="inlineStr">
        <is>
          <t>DIV 04 – MECH</t>
        </is>
      </c>
      <c r="C152" s="79" t="inlineStr">
        <is>
          <t>Col K – Pipe insulation</t>
        </is>
      </c>
      <c r="D152" s="80" t="inlineStr">
        <is>
          <t>PLM_PPE_INS_TYPE_TXT</t>
        </is>
      </c>
      <c r="E152" s="78" t="inlineStr">
        <is>
          <t>TEXT</t>
        </is>
      </c>
      <c r="F152" s="79" t="inlineStr">
        <is>
          <t>Pipe insulation type (armaflex / rockwool)</t>
        </is>
      </c>
      <c r="G152" s="79" t="inlineStr">
        <is>
          <t>PLM_DRN</t>
        </is>
      </c>
    </row>
    <row r="153" ht="15" customHeight="1">
      <c r="A153" s="78" t="n">
        <v>151</v>
      </c>
      <c r="B153" s="79" t="inlineStr">
        <is>
          <t>DIV 04 – MECH</t>
        </is>
      </c>
      <c r="C153" s="79" t="inlineStr">
        <is>
          <t>Col K – Insul thickness</t>
        </is>
      </c>
      <c r="D153" s="80" t="inlineStr">
        <is>
          <t>PLM_PPE_INS_THK_MM</t>
        </is>
      </c>
      <c r="E153" s="78" t="inlineStr">
        <is>
          <t>LENGTH</t>
        </is>
      </c>
      <c r="F153" s="79" t="inlineStr">
        <is>
          <t>Pipe insulation thickness in mm</t>
        </is>
      </c>
      <c r="G153" s="79" t="inlineStr">
        <is>
          <t>PLM_DRN</t>
        </is>
      </c>
    </row>
    <row r="154" ht="15" customHeight="1">
      <c r="A154" s="78" t="n">
        <v>152</v>
      </c>
      <c r="B154" s="79" t="inlineStr">
        <is>
          <t>DIV 04 – MECH</t>
        </is>
      </c>
      <c r="C154" s="79" t="inlineStr">
        <is>
          <t>Col K – Pump head</t>
        </is>
      </c>
      <c r="D154" s="80" t="inlineStr">
        <is>
          <t>PLM_HED_M</t>
        </is>
      </c>
      <c r="E154" s="78" t="inlineStr">
        <is>
          <t>LENGTH</t>
        </is>
      </c>
      <c r="F154" s="79" t="inlineStr">
        <is>
          <t>Pump total head in m</t>
        </is>
      </c>
      <c r="G154" s="79" t="inlineStr">
        <is>
          <t>PLM_DRN</t>
        </is>
      </c>
    </row>
    <row r="155" ht="15" customHeight="1">
      <c r="A155" s="78" t="n">
        <v>153</v>
      </c>
      <c r="B155" s="79" t="inlineStr">
        <is>
          <t>DIV 04 – MECH</t>
        </is>
      </c>
      <c r="C155" s="79" t="inlineStr">
        <is>
          <t>Col K – Pump pressure</t>
        </is>
      </c>
      <c r="D155" s="80" t="inlineStr">
        <is>
          <t>PLM_PSR_KPA</t>
        </is>
      </c>
      <c r="E155" s="78" t="inlineStr">
        <is>
          <t>NUMBER</t>
        </is>
      </c>
      <c r="F155" s="79" t="inlineStr">
        <is>
          <t>System pressure in kPa</t>
        </is>
      </c>
      <c r="G155" s="79" t="inlineStr">
        <is>
          <t>PLM_DRN</t>
        </is>
      </c>
    </row>
    <row r="156" ht="15" customHeight="1">
      <c r="A156" s="78" t="n">
        <v>154</v>
      </c>
      <c r="B156" s="79" t="inlineStr">
        <is>
          <t>DIV 04 – MECH</t>
        </is>
      </c>
      <c r="C156" s="79" t="inlineStr">
        <is>
          <t>Col K – Pump power</t>
        </is>
      </c>
      <c r="D156" s="80" t="inlineStr">
        <is>
          <t>PLM_PWR_KW</t>
        </is>
      </c>
      <c r="E156" s="78" t="inlineStr">
        <is>
          <t>NUMBER</t>
        </is>
      </c>
      <c r="F156" s="79" t="inlineStr">
        <is>
          <t>Pump / equipment power in kW</t>
        </is>
      </c>
      <c r="G156" s="79" t="inlineStr">
        <is>
          <t>PLM_DRN</t>
        </is>
      </c>
    </row>
    <row r="157" ht="15" customHeight="1">
      <c r="A157" s="78" t="n">
        <v>155</v>
      </c>
      <c r="B157" s="79" t="inlineStr">
        <is>
          <t>DIV 04 – MECH</t>
        </is>
      </c>
      <c r="C157" s="79" t="inlineStr">
        <is>
          <t>Col K – HWS temperature</t>
        </is>
      </c>
      <c r="D157" s="80" t="inlineStr">
        <is>
          <t>PLM_HOTWTR_TEMP_C</t>
        </is>
      </c>
      <c r="E157" s="78" t="inlineStr">
        <is>
          <t>TEXT</t>
        </is>
      </c>
      <c r="F157" s="79" t="inlineStr">
        <is>
          <t>Hot water storage temperature °C</t>
        </is>
      </c>
      <c r="G157" s="79" t="inlineStr">
        <is>
          <t>PLM_DRN</t>
        </is>
      </c>
    </row>
    <row r="158" ht="15" customHeight="1">
      <c r="A158" s="78" t="n">
        <v>156</v>
      </c>
      <c r="B158" s="79" t="inlineStr">
        <is>
          <t>DIV 04 – MECH</t>
        </is>
      </c>
      <c r="C158" s="79" t="inlineStr">
        <is>
          <t>Col K – HWS power</t>
        </is>
      </c>
      <c r="D158" s="80" t="inlineStr">
        <is>
          <t>PLM_HOTWTR_INPUT_PWR_KW</t>
        </is>
      </c>
      <c r="E158" s="78" t="inlineStr">
        <is>
          <t>NUMBER</t>
        </is>
      </c>
      <c r="F158" s="79" t="inlineStr">
        <is>
          <t>Water heater input power kW</t>
        </is>
      </c>
      <c r="G158" s="79" t="inlineStr">
        <is>
          <t>PLM_DRN</t>
        </is>
      </c>
    </row>
    <row r="159" ht="15" customHeight="1">
      <c r="A159" s="78" t="n">
        <v>157</v>
      </c>
      <c r="B159" s="79" t="inlineStr">
        <is>
          <t>DIV 04 – MECH</t>
        </is>
      </c>
      <c r="C159" s="79" t="inlineStr">
        <is>
          <t>Col K – HWS fuel</t>
        </is>
      </c>
      <c r="D159" s="80" t="inlineStr">
        <is>
          <t>PLM_HOTWTR_FUEL_TYPE_TXT</t>
        </is>
      </c>
      <c r="E159" s="78" t="inlineStr">
        <is>
          <t>TEXT</t>
        </is>
      </c>
      <c r="F159" s="79" t="inlineStr">
        <is>
          <t>Water heater fuel type (electric / solar / gas)</t>
        </is>
      </c>
      <c r="G159" s="79" t="inlineStr">
        <is>
          <t>PLM_DRN</t>
        </is>
      </c>
    </row>
    <row r="160" ht="15" customHeight="1">
      <c r="A160" s="78" t="n">
        <v>158</v>
      </c>
      <c r="B160" s="79" t="inlineStr">
        <is>
          <t>DIV 04 – MECH</t>
        </is>
      </c>
      <c r="C160" s="79" t="inlineStr">
        <is>
          <t>Col E – Drain pipe (m)</t>
        </is>
      </c>
      <c r="D160" s="80" t="inlineStr">
        <is>
          <t>PLM_DRN_PPE_LENGTH_M</t>
        </is>
      </c>
      <c r="E160" s="78" t="inlineStr">
        <is>
          <t>LENGTH</t>
        </is>
      </c>
      <c r="F160" s="79" t="inlineStr">
        <is>
          <t>Drainage pipe length in m</t>
        </is>
      </c>
      <c r="G160" s="79" t="inlineStr">
        <is>
          <t>PLM_DRN</t>
        </is>
      </c>
    </row>
    <row r="161" ht="15" customHeight="1">
      <c r="A161" s="78" t="n">
        <v>159</v>
      </c>
      <c r="B161" s="79" t="inlineStr">
        <is>
          <t>DIV 04 – MECH</t>
        </is>
      </c>
      <c r="C161" s="79" t="inlineStr">
        <is>
          <t>Col K – Drain slope</t>
        </is>
      </c>
      <c r="D161" s="80" t="inlineStr">
        <is>
          <t>PLM_DRN_PPE_SLOPE_PCT</t>
        </is>
      </c>
      <c r="E161" s="78" t="inlineStr">
        <is>
          <t>NUMBER</t>
        </is>
      </c>
      <c r="F161" s="79" t="inlineStr">
        <is>
          <t>Drainage pipe gradient %</t>
        </is>
      </c>
      <c r="G161" s="79" t="inlineStr">
        <is>
          <t>PLM_DRN</t>
        </is>
      </c>
    </row>
    <row r="162" ht="15" customHeight="1">
      <c r="A162" s="78" t="n">
        <v>160</v>
      </c>
      <c r="B162" s="79" t="inlineStr">
        <is>
          <t>DIV 04 – MECH</t>
        </is>
      </c>
      <c r="C162" s="79" t="inlineStr">
        <is>
          <t>Col K – Valve material</t>
        </is>
      </c>
      <c r="D162" s="80" t="inlineStr">
        <is>
          <t>PLM_VLV_BODY_MAT_TXT</t>
        </is>
      </c>
      <c r="E162" s="78" t="inlineStr">
        <is>
          <t>TEXT</t>
        </is>
      </c>
      <c r="F162" s="79" t="inlineStr">
        <is>
          <t>Valve body material (brass / bronze / SS)</t>
        </is>
      </c>
      <c r="G162" s="79" t="inlineStr">
        <is>
          <t>PLM_DRN</t>
        </is>
      </c>
    </row>
    <row r="163" ht="15" customHeight="1">
      <c r="A163" s="78" t="n">
        <v>161</v>
      </c>
      <c r="B163" s="79" t="inlineStr">
        <is>
          <t>DIV 04 – MECH</t>
        </is>
      </c>
      <c r="C163" s="79" t="inlineStr">
        <is>
          <t>Col K – Valve actuation</t>
        </is>
      </c>
      <c r="D163" s="80" t="inlineStr">
        <is>
          <t>PLM_VLV_ACTUATION_TYPE_TXT</t>
        </is>
      </c>
      <c r="E163" s="78" t="inlineStr">
        <is>
          <t>TEXT</t>
        </is>
      </c>
      <c r="F163" s="79" t="inlineStr">
        <is>
          <t>Valve actuation (manual / motorised / pneumatic)</t>
        </is>
      </c>
      <c r="G163" s="79" t="inlineStr">
        <is>
          <t>PLM_DRN</t>
        </is>
      </c>
    </row>
    <row r="164" ht="15" customHeight="1">
      <c r="A164" s="78" t="n">
        <v>162</v>
      </c>
      <c r="B164" s="79" t="inlineStr">
        <is>
          <t>DIV 04 – MECH</t>
        </is>
      </c>
      <c r="C164" s="79" t="inlineStr">
        <is>
          <t>Col K – Valve pressure class</t>
        </is>
      </c>
      <c r="D164" s="80" t="inlineStr">
        <is>
          <t>PLM_VLV_PSR_CLASS_TXT</t>
        </is>
      </c>
      <c r="E164" s="78" t="inlineStr">
        <is>
          <t>TEXT</t>
        </is>
      </c>
      <c r="F164" s="79" t="inlineStr">
        <is>
          <t>Valve pressure class (PN10 / PN16 / PN25)</t>
        </is>
      </c>
      <c r="G164" s="79" t="inlineStr">
        <is>
          <t>PLM_DRN</t>
        </is>
      </c>
    </row>
    <row r="165" ht="15" customHeight="1">
      <c r="A165" s="78" t="n">
        <v>163</v>
      </c>
      <c r="B165" s="79" t="inlineStr">
        <is>
          <t>DIV 04 – MECH</t>
        </is>
      </c>
      <c r="C165" s="79" t="inlineStr">
        <is>
          <t>Col L – Fire device tag</t>
        </is>
      </c>
      <c r="D165" s="80" t="inlineStr">
        <is>
          <t>FLS_DEV_TAG_01_TXT</t>
        </is>
      </c>
      <c r="E165" s="78" t="inlineStr">
        <is>
          <t>TEXT</t>
        </is>
      </c>
      <c r="F165" s="79" t="inlineStr">
        <is>
          <t>Fire / life-safety device primary STING tag</t>
        </is>
      </c>
      <c r="G165" s="79" t="inlineStr">
        <is>
          <t>FLS_LIFE_SFTY</t>
        </is>
      </c>
    </row>
    <row r="166" ht="15" customHeight="1">
      <c r="A166" s="78" t="n">
        <v>164</v>
      </c>
      <c r="B166" s="79" t="inlineStr">
        <is>
          <t>DIV 04 – MECH</t>
        </is>
      </c>
      <c r="C166" s="79" t="inlineStr">
        <is>
          <t>Col K – Sprinkler head type</t>
        </is>
      </c>
      <c r="D166" s="80" t="inlineStr">
        <is>
          <t>FLS_PROT_SPRINKLER_HED_TYPE_TXT</t>
        </is>
      </c>
      <c r="E166" s="78" t="inlineStr">
        <is>
          <t>TEXT</t>
        </is>
      </c>
      <c r="F166" s="79" t="inlineStr">
        <is>
          <t>Sprinkler head type (pendant / upright / sidewall)</t>
        </is>
      </c>
      <c r="G166" s="79" t="inlineStr">
        <is>
          <t>FLS_LIFE_SFTY</t>
        </is>
      </c>
    </row>
    <row r="167" ht="15" customHeight="1">
      <c r="A167" s="78" t="n">
        <v>165</v>
      </c>
      <c r="B167" s="79" t="inlineStr">
        <is>
          <t>DIV 04 – MECH</t>
        </is>
      </c>
      <c r="C167" s="79" t="inlineStr">
        <is>
          <t>Col K – Sprinkler K-factor</t>
        </is>
      </c>
      <c r="D167" s="80" t="inlineStr">
        <is>
          <t>FLS_SFTY_K_FACTOR_NR</t>
        </is>
      </c>
      <c r="E167" s="78" t="inlineStr">
        <is>
          <t>NUMBER</t>
        </is>
      </c>
      <c r="F167" s="79" t="inlineStr">
        <is>
          <t>Sprinkler K-factor discharge coefficient</t>
        </is>
      </c>
      <c r="G167" s="79" t="inlineStr">
        <is>
          <t>FLS_LIFE_SFTY</t>
        </is>
      </c>
    </row>
    <row r="168" ht="15" customHeight="1">
      <c r="A168" s="78" t="n">
        <v>166</v>
      </c>
      <c r="B168" s="79" t="inlineStr">
        <is>
          <t>DIV 04 – MECH</t>
        </is>
      </c>
      <c r="C168" s="79" t="inlineStr">
        <is>
          <t>Col K – Sprinkler temp</t>
        </is>
      </c>
      <c r="D168" s="80" t="inlineStr">
        <is>
          <t>FLS_SFTY_TEMP_RATING_C</t>
        </is>
      </c>
      <c r="E168" s="78" t="inlineStr">
        <is>
          <t>TEXT</t>
        </is>
      </c>
      <c r="F168" s="79" t="inlineStr">
        <is>
          <t>Sprinkler temperature rating °C</t>
        </is>
      </c>
      <c r="G168" s="79" t="inlineStr">
        <is>
          <t>FLS_LIFE_SFTY</t>
        </is>
      </c>
    </row>
    <row r="169" ht="15" customHeight="1">
      <c r="A169" s="78" t="n">
        <v>167</v>
      </c>
      <c r="B169" s="79" t="inlineStr">
        <is>
          <t>DIV 04 – MECH</t>
        </is>
      </c>
      <c r="C169" s="79" t="inlineStr">
        <is>
          <t>Col K – Sprinkler flow</t>
        </is>
      </c>
      <c r="D169" s="80" t="inlineStr">
        <is>
          <t>FLS_SFTY_FLW_RATE_LPM_NR</t>
        </is>
      </c>
      <c r="E169" s="78" t="inlineStr">
        <is>
          <t>NUMBER</t>
        </is>
      </c>
      <c r="F169" s="79" t="inlineStr">
        <is>
          <t>Design flow rate L/min</t>
        </is>
      </c>
      <c r="G169" s="79" t="inlineStr">
        <is>
          <t>FLS_LIFE_SFTY</t>
        </is>
      </c>
    </row>
    <row r="170" ht="15" customHeight="1">
      <c r="A170" s="78" t="n">
        <v>168</v>
      </c>
      <c r="B170" s="79" t="inlineStr">
        <is>
          <t>DIV 04 – MECH</t>
        </is>
      </c>
      <c r="C170" s="79" t="inlineStr">
        <is>
          <t>Col K – Sprinkler tag</t>
        </is>
      </c>
      <c r="D170" s="80" t="inlineStr">
        <is>
          <t>FLS_DEV_TAG_02_TXT</t>
        </is>
      </c>
      <c r="E170" s="78" t="inlineStr">
        <is>
          <t>TEXT</t>
        </is>
      </c>
      <c r="F170" s="79" t="inlineStr">
        <is>
          <t>Sprinkler hydraulic tag (temp/flow/head type)</t>
        </is>
      </c>
      <c r="G170" s="79" t="inlineStr">
        <is>
          <t>FLS_LIFE_SFTY</t>
        </is>
      </c>
    </row>
    <row r="171" ht="15" customHeight="1">
      <c r="A171" s="78" t="n">
        <v>169</v>
      </c>
      <c r="B171" s="79" t="inlineStr">
        <is>
          <t>DIV 04 – MECH</t>
        </is>
      </c>
      <c r="C171" s="79" t="inlineStr">
        <is>
          <t>Col K – FF pipe length</t>
        </is>
      </c>
      <c r="D171" s="80" t="inlineStr">
        <is>
          <t>FLS_SUPPRESSION_PIPE_LENGTH_M</t>
        </is>
      </c>
      <c r="E171" s="78" t="inlineStr">
        <is>
          <t>LENGTH</t>
        </is>
      </c>
      <c r="F171" s="79" t="inlineStr">
        <is>
          <t>Suppression system pipe total length m</t>
        </is>
      </c>
      <c r="G171" s="79" t="inlineStr">
        <is>
          <t>FLS_LIFE_SFTY</t>
        </is>
      </c>
    </row>
    <row r="172" ht="15" customHeight="1">
      <c r="A172" s="78" t="n">
        <v>170</v>
      </c>
      <c r="B172" s="79" t="inlineStr">
        <is>
          <t>DIV 04 – MECH</t>
        </is>
      </c>
      <c r="C172" s="79" t="inlineStr">
        <is>
          <t>Col K – FF coverage</t>
        </is>
      </c>
      <c r="D172" s="80" t="inlineStr">
        <is>
          <t>FLS_SFTY_COVERAGE_AREA_SQ_M</t>
        </is>
      </c>
      <c r="E172" s="78" t="inlineStr">
        <is>
          <t>AREA</t>
        </is>
      </c>
      <c r="F172" s="79" t="inlineStr">
        <is>
          <t>Sprinkler / detector coverage area m²</t>
        </is>
      </c>
      <c r="G172" s="79" t="inlineStr">
        <is>
          <t>FLS_LIFE_SFTY</t>
        </is>
      </c>
    </row>
    <row r="173" ht="15" customHeight="1">
      <c r="A173" s="78" t="n">
        <v>171</v>
      </c>
      <c r="B173" s="79" t="inlineStr">
        <is>
          <t>DIV 04 – MECH</t>
        </is>
      </c>
      <c r="C173" s="79" t="inlineStr">
        <is>
          <t>Col K – Fire resistance</t>
        </is>
      </c>
      <c r="D173" s="80" t="inlineStr">
        <is>
          <t>FLS_PROT_FLS_RESISTANCE_RATING_MINUTES_MIN</t>
        </is>
      </c>
      <c r="E173" s="78" t="inlineStr">
        <is>
          <t>TEXT</t>
        </is>
      </c>
      <c r="F173" s="79" t="inlineStr">
        <is>
          <t>Fire resistance rating in minutes</t>
        </is>
      </c>
      <c r="G173" s="79" t="inlineStr">
        <is>
          <t>FLS_LIFE_SFTY</t>
        </is>
      </c>
    </row>
    <row r="174" ht="15" customHeight="1">
      <c r="A174" s="78" t="n">
        <v>172</v>
      </c>
      <c r="B174" s="79" t="inlineStr">
        <is>
          <t>DIV 04 – MECH</t>
        </is>
      </c>
      <c r="C174" s="79" t="inlineStr">
        <is>
          <t>Col J – FF suppression cost</t>
        </is>
      </c>
      <c r="D174" s="80" t="inlineStr">
        <is>
          <t>FLS_SUPPRESSION_COST_UGX</t>
        </is>
      </c>
      <c r="E174" s="78" t="inlineStr">
        <is>
          <t>CURRENCY</t>
        </is>
      </c>
      <c r="F174" s="79" t="inlineStr">
        <is>
          <t>Suppression system cost UGX</t>
        </is>
      </c>
      <c r="G174" s="79" t="inlineStr">
        <is>
          <t>FLS_LIFE_SFTY</t>
        </is>
      </c>
    </row>
    <row r="175" ht="15" customHeight="1">
      <c r="A175" s="78" t="n">
        <v>173</v>
      </c>
      <c r="B175" s="79" t="inlineStr">
        <is>
          <t>DIV 04 – MECH</t>
        </is>
      </c>
      <c r="C175" s="79" t="inlineStr">
        <is>
          <t>Col J – FF detection cost</t>
        </is>
      </c>
      <c r="D175" s="80" t="inlineStr">
        <is>
          <t>FLS_DETECTION_COST_UGX</t>
        </is>
      </c>
      <c r="E175" s="78" t="inlineStr">
        <is>
          <t>CURRENCY</t>
        </is>
      </c>
      <c r="F175" s="79" t="inlineStr">
        <is>
          <t>Detection system cost UGX</t>
        </is>
      </c>
      <c r="G175" s="79" t="inlineStr">
        <is>
          <t>FLS_LIFE_SFTY</t>
        </is>
      </c>
    </row>
    <row r="176" ht="15" customHeight="1">
      <c r="A176" s="81" t="n">
        <v>174</v>
      </c>
      <c r="B176" s="82" t="inlineStr">
        <is>
          <t>DIV 05 – ELEC</t>
        </is>
      </c>
      <c r="C176" s="82" t="inlineStr">
        <is>
          <t>Col L – Elec equip tag</t>
        </is>
      </c>
      <c r="D176" s="83" t="inlineStr">
        <is>
          <t>ELC_EQP_TAG_01_TXT</t>
        </is>
      </c>
      <c r="E176" s="81" t="inlineStr">
        <is>
          <t>TEXT</t>
        </is>
      </c>
      <c r="F176" s="82" t="inlineStr">
        <is>
          <t>Electrical equipment power supply STING tag</t>
        </is>
      </c>
      <c r="G176" s="82" t="inlineStr">
        <is>
          <t>ELC_PWR</t>
        </is>
      </c>
    </row>
    <row r="177" ht="15" customHeight="1">
      <c r="A177" s="81" t="n">
        <v>175</v>
      </c>
      <c r="B177" s="82" t="inlineStr">
        <is>
          <t>DIV 05 – ELEC</t>
        </is>
      </c>
      <c r="C177" s="82" t="inlineStr">
        <is>
          <t>Col L – Elec equip tag 2</t>
        </is>
      </c>
      <c r="D177" s="83" t="inlineStr">
        <is>
          <t>ELC_EQP_TAG_02_TXT</t>
        </is>
      </c>
      <c r="E177" s="81" t="inlineStr">
        <is>
          <t>TEXT</t>
        </is>
      </c>
      <c r="F177" s="82" t="inlineStr">
        <is>
          <t>Electrical equipment load STING tag</t>
        </is>
      </c>
      <c r="G177" s="82" t="inlineStr">
        <is>
          <t>ELC_PWR</t>
        </is>
      </c>
    </row>
    <row r="178" ht="15" customHeight="1">
      <c r="A178" s="81" t="n">
        <v>176</v>
      </c>
      <c r="B178" s="82" t="inlineStr">
        <is>
          <t>DIV 05 – ELEC</t>
        </is>
      </c>
      <c r="C178" s="82" t="inlineStr">
        <is>
          <t>Col K – Panel name</t>
        </is>
      </c>
      <c r="D178" s="83" t="inlineStr">
        <is>
          <t>ELC_PNL_DESIGNATION_NAME_TXT</t>
        </is>
      </c>
      <c r="E178" s="81" t="inlineStr">
        <is>
          <t>TEXT</t>
        </is>
      </c>
      <c r="F178" s="82" t="inlineStr">
        <is>
          <t>Panel designation name (MLVDB / SDB / MDB)</t>
        </is>
      </c>
      <c r="G178" s="82" t="inlineStr">
        <is>
          <t>ELC_PWR</t>
        </is>
      </c>
    </row>
    <row r="179" ht="15" customHeight="1">
      <c r="A179" s="81" t="n">
        <v>177</v>
      </c>
      <c r="B179" s="82" t="inlineStr">
        <is>
          <t>DIV 05 – ELEC</t>
        </is>
      </c>
      <c r="C179" s="82" t="inlineStr">
        <is>
          <t>Col K – Panel phases</t>
        </is>
      </c>
      <c r="D179" s="83" t="inlineStr">
        <is>
          <t>ELC_PNL_PHS_COUNT_NR</t>
        </is>
      </c>
      <c r="E179" s="81" t="inlineStr">
        <is>
          <t>INTEGER</t>
        </is>
      </c>
      <c r="F179" s="82" t="inlineStr">
        <is>
          <t>Panel phase count (1 or 3)</t>
        </is>
      </c>
      <c r="G179" s="82" t="inlineStr">
        <is>
          <t>ELC_PWR</t>
        </is>
      </c>
    </row>
    <row r="180" ht="15" customHeight="1">
      <c r="A180" s="81" t="n">
        <v>178</v>
      </c>
      <c r="B180" s="82" t="inlineStr">
        <is>
          <t>DIV 05 – ELEC</t>
        </is>
      </c>
      <c r="C180" s="82" t="inlineStr">
        <is>
          <t>Col K – Panel voltage</t>
        </is>
      </c>
      <c r="D180" s="83" t="inlineStr">
        <is>
          <t>ELC_PNL_VLT_V</t>
        </is>
      </c>
      <c r="E180" s="81" t="inlineStr">
        <is>
          <t>NUMBER</t>
        </is>
      </c>
      <c r="F180" s="82" t="inlineStr">
        <is>
          <t>Panel supply voltage (230V / 400V)</t>
        </is>
      </c>
      <c r="G180" s="82" t="inlineStr">
        <is>
          <t>ELC_PWR</t>
        </is>
      </c>
    </row>
    <row r="181" ht="15" customHeight="1">
      <c r="A181" s="81" t="n">
        <v>179</v>
      </c>
      <c r="B181" s="82" t="inlineStr">
        <is>
          <t>DIV 05 – ELEC</t>
        </is>
      </c>
      <c r="C181" s="82" t="inlineStr">
        <is>
          <t>Col K – Panel main breaker</t>
        </is>
      </c>
      <c r="D181" s="83" t="inlineStr">
        <is>
          <t>ELC_PNL_MAIN_BRK_A</t>
        </is>
      </c>
      <c r="E181" s="81" t="inlineStr">
        <is>
          <t>NUMBER</t>
        </is>
      </c>
      <c r="F181" s="82" t="inlineStr">
        <is>
          <t>Main incoming breaker rating in A</t>
        </is>
      </c>
      <c r="G181" s="82" t="inlineStr">
        <is>
          <t>ELC_PWR</t>
        </is>
      </c>
    </row>
    <row r="182" ht="15" customHeight="1">
      <c r="A182" s="81" t="n">
        <v>180</v>
      </c>
      <c r="B182" s="82" t="inlineStr">
        <is>
          <t>DIV 05 – ELEC</t>
        </is>
      </c>
      <c r="C182" s="82" t="inlineStr">
        <is>
          <t>Col K – Panel ways</t>
        </is>
      </c>
      <c r="D182" s="83" t="inlineStr">
        <is>
          <t>ELC_PNL_NUM_OF_WAYS_NR</t>
        </is>
      </c>
      <c r="E182" s="81" t="inlineStr">
        <is>
          <t>NUMBER</t>
        </is>
      </c>
      <c r="F182" s="82" t="inlineStr">
        <is>
          <t>Total number of ways / outgoing circuits</t>
        </is>
      </c>
      <c r="G182" s="82" t="inlineStr">
        <is>
          <t>ELC_PWR</t>
        </is>
      </c>
    </row>
    <row r="183" ht="15" customHeight="1">
      <c r="A183" s="81" t="n">
        <v>181</v>
      </c>
      <c r="B183" s="82" t="inlineStr">
        <is>
          <t>DIV 05 – ELEC</t>
        </is>
      </c>
      <c r="C183" s="82" t="inlineStr">
        <is>
          <t>Col K – Panel connected load</t>
        </is>
      </c>
      <c r="D183" s="83" t="inlineStr">
        <is>
          <t>ELC_PNL_CONNECTED_LOAD_KW</t>
        </is>
      </c>
      <c r="E183" s="81" t="inlineStr">
        <is>
          <t>NUMBER</t>
        </is>
      </c>
      <c r="F183" s="82" t="inlineStr">
        <is>
          <t>Total connected load kW</t>
        </is>
      </c>
      <c r="G183" s="82" t="inlineStr">
        <is>
          <t>ELC_PWR</t>
        </is>
      </c>
    </row>
    <row r="184" ht="15" customHeight="1">
      <c r="A184" s="81" t="n">
        <v>182</v>
      </c>
      <c r="B184" s="82" t="inlineStr">
        <is>
          <t>DIV 05 – ELEC</t>
        </is>
      </c>
      <c r="C184" s="82" t="inlineStr">
        <is>
          <t>Col K – Panel fed from</t>
        </is>
      </c>
      <c r="D184" s="83" t="inlineStr">
        <is>
          <t>ELC_PNL_FED_FROM_PNL_TXT</t>
        </is>
      </c>
      <c r="E184" s="81" t="inlineStr">
        <is>
          <t>TEXT</t>
        </is>
      </c>
      <c r="F184" s="82" t="inlineStr">
        <is>
          <t>Upstream feeding panel reference</t>
        </is>
      </c>
      <c r="G184" s="82" t="inlineStr">
        <is>
          <t>ELC_PWR</t>
        </is>
      </c>
    </row>
    <row r="185" ht="15" customHeight="1">
      <c r="A185" s="81" t="n">
        <v>183</v>
      </c>
      <c r="B185" s="82" t="inlineStr">
        <is>
          <t>DIV 05 – ELEC</t>
        </is>
      </c>
      <c r="C185" s="82" t="inlineStr">
        <is>
          <t>Col K – Panel fault level</t>
        </is>
      </c>
      <c r="D185" s="83" t="inlineStr">
        <is>
          <t>ELC_PNL_SHORT_CIRCUIT_RATING_KA</t>
        </is>
      </c>
      <c r="E185" s="81" t="inlineStr">
        <is>
          <t>TEXT</t>
        </is>
      </c>
      <c r="F185" s="82" t="inlineStr">
        <is>
          <t>Short-circuit / fault level rating kA</t>
        </is>
      </c>
      <c r="G185" s="82" t="inlineStr">
        <is>
          <t>ELC_PWR</t>
        </is>
      </c>
    </row>
    <row r="186" ht="15" customHeight="1">
      <c r="A186" s="81" t="n">
        <v>184</v>
      </c>
      <c r="B186" s="82" t="inlineStr">
        <is>
          <t>DIV 05 – ELEC</t>
        </is>
      </c>
      <c r="C186" s="82" t="inlineStr">
        <is>
          <t>Col K – Cable size</t>
        </is>
      </c>
      <c r="D186" s="83" t="inlineStr">
        <is>
          <t>ELC_CBL_SZ_MM</t>
        </is>
      </c>
      <c r="E186" s="81" t="inlineStr">
        <is>
          <t>LENGTH</t>
        </is>
      </c>
      <c r="F186" s="82" t="inlineStr">
        <is>
          <t>Cable conductor cross-section area mm²</t>
        </is>
      </c>
      <c r="G186" s="82" t="inlineStr">
        <is>
          <t>ELC_PWR</t>
        </is>
      </c>
    </row>
    <row r="187" ht="15" customHeight="1">
      <c r="A187" s="81" t="n">
        <v>185</v>
      </c>
      <c r="B187" s="82" t="inlineStr">
        <is>
          <t>DIV 05 – ELEC</t>
        </is>
      </c>
      <c r="C187" s="82" t="inlineStr">
        <is>
          <t>Col K – Cable type</t>
        </is>
      </c>
      <c r="D187" s="83" t="inlineStr">
        <is>
          <t>CBL_TYPE_TXT</t>
        </is>
      </c>
      <c r="E187" s="81" t="inlineStr">
        <is>
          <t>TEXT</t>
        </is>
      </c>
      <c r="F187" s="82" t="inlineStr">
        <is>
          <t>Cable type (XLPE / PVC / armoured / flexible)</t>
        </is>
      </c>
      <c r="G187" s="82" t="inlineStr">
        <is>
          <t>ELC_PWR</t>
        </is>
      </c>
    </row>
    <row r="188" ht="15" customHeight="1">
      <c r="A188" s="81" t="n">
        <v>186</v>
      </c>
      <c r="B188" s="82" t="inlineStr">
        <is>
          <t>DIV 05 – ELEC</t>
        </is>
      </c>
      <c r="C188" s="82" t="inlineStr">
        <is>
          <t>Col E – Cable length (m)</t>
        </is>
      </c>
      <c r="D188" s="83" t="inlineStr">
        <is>
          <t>ELC_CBL_LENGTH_M</t>
        </is>
      </c>
      <c r="E188" s="81" t="inlineStr">
        <is>
          <t>LENGTH</t>
        </is>
      </c>
      <c r="F188" s="82" t="inlineStr">
        <is>
          <t>Cable run length m from BIM</t>
        </is>
      </c>
      <c r="G188" s="82" t="inlineStr">
        <is>
          <t>ELC_PWR</t>
        </is>
      </c>
    </row>
    <row r="189" ht="15" customHeight="1">
      <c r="A189" s="81" t="n">
        <v>187</v>
      </c>
      <c r="B189" s="82" t="inlineStr">
        <is>
          <t>DIV 05 – ELEC</t>
        </is>
      </c>
      <c r="C189" s="82" t="inlineStr">
        <is>
          <t>Col K – Cable cores</t>
        </is>
      </c>
      <c r="D189" s="83" t="inlineStr">
        <is>
          <t>ELC_CBL_NUM_OF_CORES_NR</t>
        </is>
      </c>
      <c r="E189" s="81" t="inlineStr">
        <is>
          <t>NUMBER</t>
        </is>
      </c>
      <c r="F189" s="82" t="inlineStr">
        <is>
          <t>Number of cable cores</t>
        </is>
      </c>
      <c r="G189" s="82" t="inlineStr">
        <is>
          <t>ELC_PWR</t>
        </is>
      </c>
    </row>
    <row r="190" ht="15" customHeight="1">
      <c r="A190" s="81" t="n">
        <v>188</v>
      </c>
      <c r="B190" s="82" t="inlineStr">
        <is>
          <t>DIV 05 – ELEC</t>
        </is>
      </c>
      <c r="C190" s="82" t="inlineStr">
        <is>
          <t>Col K – Cable ampacity</t>
        </is>
      </c>
      <c r="D190" s="83" t="inlineStr">
        <is>
          <t>ELC_CBL_AMPACITY_A</t>
        </is>
      </c>
      <c r="E190" s="81" t="inlineStr">
        <is>
          <t>NUMBER</t>
        </is>
      </c>
      <c r="F190" s="82" t="inlineStr">
        <is>
          <t>Cable current-carrying capacity in A</t>
        </is>
      </c>
      <c r="G190" s="82" t="inlineStr">
        <is>
          <t>ELC_PWR</t>
        </is>
      </c>
    </row>
    <row r="191" ht="15" customHeight="1">
      <c r="A191" s="81" t="n">
        <v>189</v>
      </c>
      <c r="B191" s="82" t="inlineStr">
        <is>
          <t>DIV 05 – ELEC</t>
        </is>
      </c>
      <c r="C191" s="82" t="inlineStr">
        <is>
          <t>Col K – Cable install</t>
        </is>
      </c>
      <c r="D191" s="83" t="inlineStr">
        <is>
          <t>ELC_CBL_INSTALL_METHOD_TXT</t>
        </is>
      </c>
      <c r="E191" s="81" t="inlineStr">
        <is>
          <t>TEXT</t>
        </is>
      </c>
      <c r="F191" s="82" t="inlineStr">
        <is>
          <t>Cable installation method (tray / conduit / buried)</t>
        </is>
      </c>
      <c r="G191" s="82" t="inlineStr">
        <is>
          <t>ELC_PWR</t>
        </is>
      </c>
    </row>
    <row r="192" ht="15" customHeight="1">
      <c r="A192" s="81" t="n">
        <v>190</v>
      </c>
      <c r="B192" s="82" t="inlineStr">
        <is>
          <t>DIV 05 – ELEC</t>
        </is>
      </c>
      <c r="C192" s="82" t="inlineStr">
        <is>
          <t>Col K – Cable insulation</t>
        </is>
      </c>
      <c r="D192" s="83" t="inlineStr">
        <is>
          <t>ELC_CBL_INS_TYPE_TXT</t>
        </is>
      </c>
      <c r="E192" s="81" t="inlineStr">
        <is>
          <t>TEXT</t>
        </is>
      </c>
      <c r="F192" s="82" t="inlineStr">
        <is>
          <t>Cable insulation material type</t>
        </is>
      </c>
      <c r="G192" s="82" t="inlineStr">
        <is>
          <t>ELC_PWR</t>
        </is>
      </c>
    </row>
    <row r="193" ht="15" customHeight="1">
      <c r="A193" s="81" t="n">
        <v>191</v>
      </c>
      <c r="B193" s="82" t="inlineStr">
        <is>
          <t>DIV 05 – ELEC</t>
        </is>
      </c>
      <c r="C193" s="82" t="inlineStr">
        <is>
          <t>Col K – Cable derating</t>
        </is>
      </c>
      <c r="D193" s="83" t="inlineStr">
        <is>
          <t>ELC_CBL_DERATING_FCT_NR</t>
        </is>
      </c>
      <c r="E193" s="81" t="inlineStr">
        <is>
          <t>NUMBER</t>
        </is>
      </c>
      <c r="F193" s="82" t="inlineStr">
        <is>
          <t>Cable derating factor applied</t>
        </is>
      </c>
      <c r="G193" s="82" t="inlineStr">
        <is>
          <t>ELC_PWR</t>
        </is>
      </c>
    </row>
    <row r="194" ht="15" customHeight="1">
      <c r="A194" s="81" t="n">
        <v>192</v>
      </c>
      <c r="B194" s="82" t="inlineStr">
        <is>
          <t>DIV 05 – ELEC</t>
        </is>
      </c>
      <c r="C194" s="82" t="inlineStr">
        <is>
          <t>Col K – Conduit size</t>
        </is>
      </c>
      <c r="D194" s="83" t="inlineStr">
        <is>
          <t>ELC_CDT_SZ_MM</t>
        </is>
      </c>
      <c r="E194" s="81" t="inlineStr">
        <is>
          <t>TEXT</t>
        </is>
      </c>
      <c r="F194" s="82" t="inlineStr">
        <is>
          <t>Conduit trade size mm (20/25/32/40/50/63)</t>
        </is>
      </c>
      <c r="G194" s="82" t="inlineStr">
        <is>
          <t>ELC_PWR</t>
        </is>
      </c>
    </row>
    <row r="195" ht="15" customHeight="1">
      <c r="A195" s="81" t="n">
        <v>193</v>
      </c>
      <c r="B195" s="82" t="inlineStr">
        <is>
          <t>DIV 05 – ELEC</t>
        </is>
      </c>
      <c r="C195" s="82" t="inlineStr">
        <is>
          <t>Col K – Conduit material</t>
        </is>
      </c>
      <c r="D195" s="83" t="inlineStr">
        <is>
          <t>ELC_CDT_MAT_TXT</t>
        </is>
      </c>
      <c r="E195" s="81" t="inlineStr">
        <is>
          <t>TEXT</t>
        </is>
      </c>
      <c r="F195" s="82" t="inlineStr">
        <is>
          <t>Conduit material (GS-GALV / UPVC / SS316 / EMT)</t>
        </is>
      </c>
      <c r="G195" s="82" t="inlineStr">
        <is>
          <t>ELC_PWR</t>
        </is>
      </c>
    </row>
    <row r="196" ht="15" customHeight="1">
      <c r="A196" s="81" t="n">
        <v>194</v>
      </c>
      <c r="B196" s="82" t="inlineStr">
        <is>
          <t>DIV 05 – ELEC</t>
        </is>
      </c>
      <c r="C196" s="82" t="inlineStr">
        <is>
          <t>Col K – Conduit install</t>
        </is>
      </c>
      <c r="D196" s="83" t="inlineStr">
        <is>
          <t>ELC_CDT_INSTALL_METHOD_TXT</t>
        </is>
      </c>
      <c r="E196" s="81" t="inlineStr">
        <is>
          <t>TEXT</t>
        </is>
      </c>
      <c r="F196" s="82" t="inlineStr">
        <is>
          <t>Conduit installation method</t>
        </is>
      </c>
      <c r="G196" s="82" t="inlineStr">
        <is>
          <t>ELC_PWR</t>
        </is>
      </c>
    </row>
    <row r="197" ht="15" customHeight="1">
      <c r="A197" s="81" t="n">
        <v>195</v>
      </c>
      <c r="B197" s="82" t="inlineStr">
        <is>
          <t>DIV 05 – ELEC</t>
        </is>
      </c>
      <c r="C197" s="82" t="inlineStr">
        <is>
          <t>Col K – Conduit tag</t>
        </is>
      </c>
      <c r="D197" s="83" t="inlineStr">
        <is>
          <t>ELC_CDT_TAG_01_TXT</t>
        </is>
      </c>
      <c r="E197" s="81" t="inlineStr">
        <is>
          <t>TEXT</t>
        </is>
      </c>
      <c r="F197" s="82" t="inlineStr">
        <is>
          <t>Conduit spec tag (size/material/install method)</t>
        </is>
      </c>
      <c r="G197" s="82" t="inlineStr">
        <is>
          <t>ELC_PWR</t>
        </is>
      </c>
    </row>
    <row r="198" ht="15" customHeight="1">
      <c r="A198" s="81" t="n">
        <v>196</v>
      </c>
      <c r="B198" s="82" t="inlineStr">
        <is>
          <t>DIV 05 – ELEC</t>
        </is>
      </c>
      <c r="C198" s="82" t="inlineStr">
        <is>
          <t>Col K – Cable tray width</t>
        </is>
      </c>
      <c r="D198" s="83" t="inlineStr">
        <is>
          <t>ELC_CTR_WIDTH_MM</t>
        </is>
      </c>
      <c r="E198" s="81" t="inlineStr">
        <is>
          <t>TEXT</t>
        </is>
      </c>
      <c r="F198" s="82" t="inlineStr">
        <is>
          <t>Cable tray width mm (100/150/300/450/600/900)</t>
        </is>
      </c>
      <c r="G198" s="82" t="inlineStr">
        <is>
          <t>ELC_PWR</t>
        </is>
      </c>
    </row>
    <row r="199" ht="15" customHeight="1">
      <c r="A199" s="81" t="n">
        <v>197</v>
      </c>
      <c r="B199" s="82" t="inlineStr">
        <is>
          <t>DIV 05 – ELEC</t>
        </is>
      </c>
      <c r="C199" s="82" t="inlineStr">
        <is>
          <t>Col K – Cable tray depth</t>
        </is>
      </c>
      <c r="D199" s="83" t="inlineStr">
        <is>
          <t>ELC_CTR_DEPTH_MM</t>
        </is>
      </c>
      <c r="E199" s="81" t="inlineStr">
        <is>
          <t>TEXT</t>
        </is>
      </c>
      <c r="F199" s="82" t="inlineStr">
        <is>
          <t>Cable tray return depth mm (50/75/100)</t>
        </is>
      </c>
      <c r="G199" s="82" t="inlineStr">
        <is>
          <t>ELC_PWR</t>
        </is>
      </c>
    </row>
    <row r="200" ht="15" customHeight="1">
      <c r="A200" s="81" t="n">
        <v>198</v>
      </c>
      <c r="B200" s="82" t="inlineStr">
        <is>
          <t>DIV 05 – ELEC</t>
        </is>
      </c>
      <c r="C200" s="82" t="inlineStr">
        <is>
          <t>Col K – Cable tray material</t>
        </is>
      </c>
      <c r="D200" s="83" t="inlineStr">
        <is>
          <t>ELC_CTR_MAT_TXT</t>
        </is>
      </c>
      <c r="E200" s="81" t="inlineStr">
        <is>
          <t>TEXT</t>
        </is>
      </c>
      <c r="F200" s="82" t="inlineStr">
        <is>
          <t>Cable tray material (HDG / SS316 / AL / GRP)</t>
        </is>
      </c>
      <c r="G200" s="82" t="inlineStr">
        <is>
          <t>ELC_PWR</t>
        </is>
      </c>
    </row>
    <row r="201" ht="15" customHeight="1">
      <c r="A201" s="81" t="n">
        <v>199</v>
      </c>
      <c r="B201" s="82" t="inlineStr">
        <is>
          <t>DIV 05 – ELEC</t>
        </is>
      </c>
      <c r="C201" s="82" t="inlineStr">
        <is>
          <t>Col K – Cable tray tag</t>
        </is>
      </c>
      <c r="D201" s="83" t="inlineStr">
        <is>
          <t>ELC_CTR_TAG_01_TXT</t>
        </is>
      </c>
      <c r="E201" s="81" t="inlineStr">
        <is>
          <t>TEXT</t>
        </is>
      </c>
      <c r="F201" s="82" t="inlineStr">
        <is>
          <t>Cable tray spec tag (width×depth/material/fill%)</t>
        </is>
      </c>
      <c r="G201" s="82" t="inlineStr">
        <is>
          <t>ELC_PWR</t>
        </is>
      </c>
    </row>
    <row r="202" ht="15" customHeight="1">
      <c r="A202" s="81" t="n">
        <v>200</v>
      </c>
      <c r="B202" s="82" t="inlineStr">
        <is>
          <t>DIV 05 – ELEC</t>
        </is>
      </c>
      <c r="C202" s="82" t="inlineStr">
        <is>
          <t>Col K – Circuit number</t>
        </is>
      </c>
      <c r="D202" s="83" t="inlineStr">
        <is>
          <t>ELC_CKT_NR</t>
        </is>
      </c>
      <c r="E202" s="81" t="inlineStr">
        <is>
          <t>NUMBER</t>
        </is>
      </c>
      <c r="F202" s="82" t="inlineStr">
        <is>
          <t>Circuit reference number</t>
        </is>
      </c>
      <c r="G202" s="82" t="inlineStr">
        <is>
          <t>ELC_PWR</t>
        </is>
      </c>
    </row>
    <row r="203" ht="15" customHeight="1">
      <c r="A203" s="81" t="n">
        <v>201</v>
      </c>
      <c r="B203" s="82" t="inlineStr">
        <is>
          <t>DIV 05 – ELEC</t>
        </is>
      </c>
      <c r="C203" s="82" t="inlineStr">
        <is>
          <t>Col K – Circuit current</t>
        </is>
      </c>
      <c r="D203" s="83" t="inlineStr">
        <is>
          <t>ELC_CKT_CUR_A</t>
        </is>
      </c>
      <c r="E203" s="81" t="inlineStr">
        <is>
          <t>NUMBER</t>
        </is>
      </c>
      <c r="F203" s="82" t="inlineStr">
        <is>
          <t>Circuit design current in A</t>
        </is>
      </c>
      <c r="G203" s="82" t="inlineStr">
        <is>
          <t>ELC_PWR</t>
        </is>
      </c>
    </row>
    <row r="204" ht="15" customHeight="1">
      <c r="A204" s="81" t="n">
        <v>202</v>
      </c>
      <c r="B204" s="82" t="inlineStr">
        <is>
          <t>DIV 05 – ELEC</t>
        </is>
      </c>
      <c r="C204" s="82" t="inlineStr">
        <is>
          <t>Col K – Breaker rating</t>
        </is>
      </c>
      <c r="D204" s="83" t="inlineStr">
        <is>
          <t>ELC_CKT_BRK_RATING_A</t>
        </is>
      </c>
      <c r="E204" s="81" t="inlineStr">
        <is>
          <t>NUMBER</t>
        </is>
      </c>
      <c r="F204" s="82" t="inlineStr">
        <is>
          <t>MCB / MCCB breaker rating in A</t>
        </is>
      </c>
      <c r="G204" s="82" t="inlineStr">
        <is>
          <t>ELC_PWR</t>
        </is>
      </c>
    </row>
    <row r="205" ht="15" customHeight="1">
      <c r="A205" s="81" t="n">
        <v>203</v>
      </c>
      <c r="B205" s="82" t="inlineStr">
        <is>
          <t>DIV 05 – ELEC</t>
        </is>
      </c>
      <c r="C205" s="82" t="inlineStr">
        <is>
          <t>Col K – Circuit voltage</t>
        </is>
      </c>
      <c r="D205" s="83" t="inlineStr">
        <is>
          <t>ELC_CKT_VLT_V</t>
        </is>
      </c>
      <c r="E205" s="81" t="inlineStr">
        <is>
          <t>NUMBER</t>
        </is>
      </c>
      <c r="F205" s="82" t="inlineStr">
        <is>
          <t>Circuit voltage in V</t>
        </is>
      </c>
      <c r="G205" s="82" t="inlineStr">
        <is>
          <t>ELC_PWR</t>
        </is>
      </c>
    </row>
    <row r="206" ht="15" customHeight="1">
      <c r="A206" s="81" t="n">
        <v>204</v>
      </c>
      <c r="B206" s="82" t="inlineStr">
        <is>
          <t>DIV 05 – ELEC</t>
        </is>
      </c>
      <c r="C206" s="82" t="inlineStr">
        <is>
          <t>Col K – Circuit phases</t>
        </is>
      </c>
      <c r="D206" s="83" t="inlineStr">
        <is>
          <t>ELC_CKT_PHASE_COUNT_NR</t>
        </is>
      </c>
      <c r="E206" s="81" t="inlineStr">
        <is>
          <t>INTEGER</t>
        </is>
      </c>
      <c r="F206" s="82" t="inlineStr">
        <is>
          <t>Circuit phase count (1 or 3)</t>
        </is>
      </c>
      <c r="G206" s="82" t="inlineStr">
        <is>
          <t>ELC_PWR</t>
        </is>
      </c>
    </row>
    <row r="207" ht="15" customHeight="1">
      <c r="A207" s="81" t="n">
        <v>205</v>
      </c>
      <c r="B207" s="82" t="inlineStr">
        <is>
          <t>DIV 05 – ELEC</t>
        </is>
      </c>
      <c r="C207" s="82" t="inlineStr">
        <is>
          <t>Col E – Circuit length</t>
        </is>
      </c>
      <c r="D207" s="83" t="inlineStr">
        <is>
          <t>ELC_CKT_LENGTH_M</t>
        </is>
      </c>
      <c r="E207" s="81" t="inlineStr">
        <is>
          <t>LENGTH</t>
        </is>
      </c>
      <c r="F207" s="82" t="inlineStr">
        <is>
          <t>Circuit cable run length in m</t>
        </is>
      </c>
      <c r="G207" s="82" t="inlineStr">
        <is>
          <t>ELC_PWR</t>
        </is>
      </c>
    </row>
    <row r="208" ht="15" customHeight="1">
      <c r="A208" s="81" t="n">
        <v>206</v>
      </c>
      <c r="B208" s="82" t="inlineStr">
        <is>
          <t>DIV 05 – ELEC</t>
        </is>
      </c>
      <c r="C208" s="82" t="inlineStr">
        <is>
          <t>Col L – Luminaire tag</t>
        </is>
      </c>
      <c r="D208" s="83" t="inlineStr">
        <is>
          <t>LTG_FIX_TAG_01_TXT</t>
        </is>
      </c>
      <c r="E208" s="81" t="inlineStr">
        <is>
          <t>TEXT</t>
        </is>
      </c>
      <c r="F208" s="82" t="inlineStr">
        <is>
          <t>Luminaire primary STING tag</t>
        </is>
      </c>
      <c r="G208" s="82" t="inlineStr">
        <is>
          <t>LTG_CONTROLS</t>
        </is>
      </c>
    </row>
    <row r="209" ht="15" customHeight="1">
      <c r="A209" s="81" t="n">
        <v>207</v>
      </c>
      <c r="B209" s="82" t="inlineStr">
        <is>
          <t>DIV 05 – ELEC</t>
        </is>
      </c>
      <c r="C209" s="82" t="inlineStr">
        <is>
          <t>Col K – Luminaire type</t>
        </is>
      </c>
      <c r="D209" s="83" t="inlineStr">
        <is>
          <t>LTG_FIX_TYPE_CLASSIFICATION_TXT</t>
        </is>
      </c>
      <c r="E209" s="81" t="inlineStr">
        <is>
          <t>TEXT</t>
        </is>
      </c>
      <c r="F209" s="82" t="inlineStr">
        <is>
          <t>Luminaire type classification</t>
        </is>
      </c>
      <c r="G209" s="82" t="inlineStr">
        <is>
          <t>LTG_CONTROLS</t>
        </is>
      </c>
    </row>
    <row r="210" ht="15" customHeight="1">
      <c r="A210" s="81" t="n">
        <v>208</v>
      </c>
      <c r="B210" s="82" t="inlineStr">
        <is>
          <t>DIV 05 – ELEC</t>
        </is>
      </c>
      <c r="C210" s="82" t="inlineStr">
        <is>
          <t>Col K – Lamp wattage</t>
        </is>
      </c>
      <c r="D210" s="83" t="inlineStr">
        <is>
          <t>LTG_FIX_LMP_WATTAGE_W</t>
        </is>
      </c>
      <c r="E210" s="81" t="inlineStr">
        <is>
          <t>VOLUME</t>
        </is>
      </c>
      <c r="F210" s="82" t="inlineStr">
        <is>
          <t>Lamp wattage W</t>
        </is>
      </c>
      <c r="G210" s="82" t="inlineStr">
        <is>
          <t>LTG_CONTROLS</t>
        </is>
      </c>
    </row>
    <row r="211" ht="15" customHeight="1">
      <c r="A211" s="81" t="n">
        <v>209</v>
      </c>
      <c r="B211" s="82" t="inlineStr">
        <is>
          <t>DIV 05 – ELEC</t>
        </is>
      </c>
      <c r="C211" s="82" t="inlineStr">
        <is>
          <t>Col K – Colour temperature</t>
        </is>
      </c>
      <c r="D211" s="83" t="inlineStr">
        <is>
          <t>LTG_CLR_TEMP_K</t>
        </is>
      </c>
      <c r="E211" s="81" t="inlineStr">
        <is>
          <t>TEXT</t>
        </is>
      </c>
      <c r="F211" s="82" t="inlineStr">
        <is>
          <t>Colour temperature K (3000K / 4000K / 5000K)</t>
        </is>
      </c>
      <c r="G211" s="82" t="inlineStr">
        <is>
          <t>LTG_CONTROLS</t>
        </is>
      </c>
    </row>
    <row r="212" ht="15" customHeight="1">
      <c r="A212" s="81" t="n">
        <v>210</v>
      </c>
      <c r="B212" s="82" t="inlineStr">
        <is>
          <t>DIV 05 – ELEC</t>
        </is>
      </c>
      <c r="C212" s="82" t="inlineStr">
        <is>
          <t>Col K – CRI</t>
        </is>
      </c>
      <c r="D212" s="83" t="inlineStr">
        <is>
          <t>LTG_CLR_RENDERING_INDEX_NR</t>
        </is>
      </c>
      <c r="E212" s="81" t="inlineStr">
        <is>
          <t>NUMBER</t>
        </is>
      </c>
      <c r="F212" s="82" t="inlineStr">
        <is>
          <t>Colour rendering index Ra (minimum 80)</t>
        </is>
      </c>
      <c r="G212" s="82" t="inlineStr">
        <is>
          <t>LTG_CONTROLS</t>
        </is>
      </c>
    </row>
    <row r="213" ht="15" customHeight="1">
      <c r="A213" s="81" t="n">
        <v>211</v>
      </c>
      <c r="B213" s="82" t="inlineStr">
        <is>
          <t>DIV 05 – ELEC</t>
        </is>
      </c>
      <c r="C213" s="82" t="inlineStr">
        <is>
          <t>Col K – Design illuminance</t>
        </is>
      </c>
      <c r="D213" s="83" t="inlineStr">
        <is>
          <t>LTG_DESIGN_ILLUMINANCE_LUX</t>
        </is>
      </c>
      <c r="E213" s="81" t="inlineStr">
        <is>
          <t>NUMBER</t>
        </is>
      </c>
      <c r="F213" s="82" t="inlineStr">
        <is>
          <t>Room design illuminance in Lux</t>
        </is>
      </c>
      <c r="G213" s="82" t="inlineStr">
        <is>
          <t>LTG_CONTROLS</t>
        </is>
      </c>
    </row>
    <row r="214" ht="15" customHeight="1">
      <c r="A214" s="81" t="n">
        <v>212</v>
      </c>
      <c r="B214" s="82" t="inlineStr">
        <is>
          <t>DIV 05 – ELEC</t>
        </is>
      </c>
      <c r="C214" s="82" t="inlineStr">
        <is>
          <t>Col K – Lighting power dens</t>
        </is>
      </c>
      <c r="D214" s="83" t="inlineStr">
        <is>
          <t>LTG_POWER_DENSITY_W_M2</t>
        </is>
      </c>
      <c r="E214" s="81" t="inlineStr">
        <is>
          <t>NUMBER</t>
        </is>
      </c>
      <c r="F214" s="82" t="inlineStr">
        <is>
          <t>Lighting power density W/m²</t>
        </is>
      </c>
      <c r="G214" s="82" t="inlineStr">
        <is>
          <t>LTG_CONTROLS</t>
        </is>
      </c>
    </row>
    <row r="215" ht="15" customHeight="1">
      <c r="A215" s="81" t="n">
        <v>213</v>
      </c>
      <c r="B215" s="82" t="inlineStr">
        <is>
          <t>DIV 05 – ELEC</t>
        </is>
      </c>
      <c r="C215" s="82" t="inlineStr">
        <is>
          <t>Col K – Emergency type</t>
        </is>
      </c>
      <c r="D215" s="83" t="inlineStr">
        <is>
          <t>LTG_EMRG_TYPE_TXT</t>
        </is>
      </c>
      <c r="E215" s="81" t="inlineStr">
        <is>
          <t>TEXT</t>
        </is>
      </c>
      <c r="F215" s="82" t="inlineStr">
        <is>
          <t>Emergency luminaire type (maintained / non-maintained)</t>
        </is>
      </c>
      <c r="G215" s="82" t="inlineStr">
        <is>
          <t>LTG_CONTROLS</t>
        </is>
      </c>
    </row>
    <row r="216" ht="15" customHeight="1">
      <c r="A216" s="81" t="n">
        <v>214</v>
      </c>
      <c r="B216" s="82" t="inlineStr">
        <is>
          <t>DIV 05 – ELEC</t>
        </is>
      </c>
      <c r="C216" s="82" t="inlineStr">
        <is>
          <t>Col K – Lighting controls</t>
        </is>
      </c>
      <c r="D216" s="83" t="inlineStr">
        <is>
          <t>LTG_CTRL_TYPE_TXT</t>
        </is>
      </c>
      <c r="E216" s="81" t="inlineStr">
        <is>
          <t>TEXT</t>
        </is>
      </c>
      <c r="F216" s="82" t="inlineStr">
        <is>
          <t>Lighting control type (manual / DALI / PIR / scene)</t>
        </is>
      </c>
      <c r="G216" s="82" t="inlineStr">
        <is>
          <t>LTG_CONTROLS</t>
        </is>
      </c>
    </row>
    <row r="217" ht="15" customHeight="1">
      <c r="A217" s="81" t="n">
        <v>215</v>
      </c>
      <c r="B217" s="82" t="inlineStr">
        <is>
          <t>DIV 05 – ELEC</t>
        </is>
      </c>
      <c r="C217" s="82" t="inlineStr">
        <is>
          <t>Col K – Mount type</t>
        </is>
      </c>
      <c r="D217" s="83" t="inlineStr">
        <is>
          <t>MNT_TYPE_TXT</t>
        </is>
      </c>
      <c r="E217" s="81" t="inlineStr">
        <is>
          <t>TEXT</t>
        </is>
      </c>
      <c r="F217" s="82" t="inlineStr">
        <is>
          <t>Luminaire mounting type (recessed / surface / pendant)</t>
        </is>
      </c>
      <c r="G217" s="82" t="inlineStr">
        <is>
          <t>LTG_CONTROLS</t>
        </is>
      </c>
    </row>
    <row r="218" ht="15" customHeight="1">
      <c r="A218" s="81" t="n">
        <v>216</v>
      </c>
      <c r="B218" s="82" t="inlineStr">
        <is>
          <t>DIV 05 – ELEC</t>
        </is>
      </c>
      <c r="C218" s="82" t="inlineStr">
        <is>
          <t>Col K – Mount height</t>
        </is>
      </c>
      <c r="D218" s="83" t="inlineStr">
        <is>
          <t>MNT_HGT_MM</t>
        </is>
      </c>
      <c r="E218" s="81" t="inlineStr">
        <is>
          <t>LENGTH</t>
        </is>
      </c>
      <c r="F218" s="82" t="inlineStr">
        <is>
          <t>Mounting height in mm from FFL</t>
        </is>
      </c>
      <c r="G218" s="82" t="inlineStr">
        <is>
          <t>ELC_PWR</t>
        </is>
      </c>
    </row>
    <row r="219" ht="15" customHeight="1">
      <c r="A219" s="81" t="n">
        <v>217</v>
      </c>
      <c r="B219" s="82" t="inlineStr">
        <is>
          <t>DIV 05 – ELEC</t>
        </is>
      </c>
      <c r="C219" s="82" t="inlineStr">
        <is>
          <t>Col L – Fire alarm tag</t>
        </is>
      </c>
      <c r="D219" s="83" t="inlineStr">
        <is>
          <t>FLS_DEV_TAG_01_TXT</t>
        </is>
      </c>
      <c r="E219" s="81" t="inlineStr">
        <is>
          <t>TEXT</t>
        </is>
      </c>
      <c r="F219" s="82" t="inlineStr">
        <is>
          <t>Fire alarm device STING tag</t>
        </is>
      </c>
      <c r="G219" s="82" t="inlineStr">
        <is>
          <t>FLS_LIFE_SFTY</t>
        </is>
      </c>
    </row>
    <row r="220" ht="15" customHeight="1">
      <c r="A220" s="81" t="n">
        <v>218</v>
      </c>
      <c r="B220" s="82" t="inlineStr">
        <is>
          <t>DIV 05 – ELEC</t>
        </is>
      </c>
      <c r="C220" s="82" t="inlineStr">
        <is>
          <t>Col K – Detector type</t>
        </is>
      </c>
      <c r="D220" s="83" t="inlineStr">
        <is>
          <t>FLS_SFTY_DEV_TYPE_TXT</t>
        </is>
      </c>
      <c r="E220" s="81" t="inlineStr">
        <is>
          <t>TEXT</t>
        </is>
      </c>
      <c r="F220" s="82" t="inlineStr">
        <is>
          <t>Device type (heat / smoke / MCP / sounder)</t>
        </is>
      </c>
      <c r="G220" s="82" t="inlineStr">
        <is>
          <t>FLS_LIFE_SFTY</t>
        </is>
      </c>
    </row>
    <row r="221" ht="15" customHeight="1">
      <c r="A221" s="81" t="n">
        <v>219</v>
      </c>
      <c r="B221" s="82" t="inlineStr">
        <is>
          <t>DIV 05 – ELEC</t>
        </is>
      </c>
      <c r="C221" s="82" t="inlineStr">
        <is>
          <t>Col K – Detector loop</t>
        </is>
      </c>
      <c r="D221" s="83" t="inlineStr">
        <is>
          <t>FLS_SFTY_DEV_LOOP_TXT</t>
        </is>
      </c>
      <c r="E221" s="81" t="inlineStr">
        <is>
          <t>TEXT</t>
        </is>
      </c>
      <c r="F221" s="82" t="inlineStr">
        <is>
          <t>Addressable loop assignment</t>
        </is>
      </c>
      <c r="G221" s="82" t="inlineStr">
        <is>
          <t>FLS_LIFE_SFTY</t>
        </is>
      </c>
    </row>
    <row r="222" ht="15" customHeight="1">
      <c r="A222" s="81" t="n">
        <v>220</v>
      </c>
      <c r="B222" s="82" t="inlineStr">
        <is>
          <t>DIV 05 – ELEC</t>
        </is>
      </c>
      <c r="C222" s="82" t="inlineStr">
        <is>
          <t>Col K – Detector zone</t>
        </is>
      </c>
      <c r="D222" s="83" t="inlineStr">
        <is>
          <t>FLS_SFTY_DEV_ZONE_TXT</t>
        </is>
      </c>
      <c r="E222" s="81" t="inlineStr">
        <is>
          <t>TEXT</t>
        </is>
      </c>
      <c r="F222" s="82" t="inlineStr">
        <is>
          <t>Fire zone assignment</t>
        </is>
      </c>
      <c r="G222" s="82" t="inlineStr">
        <is>
          <t>FLS_LIFE_SFTY</t>
        </is>
      </c>
    </row>
    <row r="223" ht="15" customHeight="1">
      <c r="A223" s="81" t="n">
        <v>221</v>
      </c>
      <c r="B223" s="82" t="inlineStr">
        <is>
          <t>DIV 05 – ELEC</t>
        </is>
      </c>
      <c r="C223" s="82" t="inlineStr">
        <is>
          <t>Col K – Detector count</t>
        </is>
      </c>
      <c r="D223" s="83" t="inlineStr">
        <is>
          <t>FLS_DETECTOR_COUNT_NR</t>
        </is>
      </c>
      <c r="E223" s="81" t="inlineStr">
        <is>
          <t>NUMBER</t>
        </is>
      </c>
      <c r="F223" s="82" t="inlineStr">
        <is>
          <t>Total detector count</t>
        </is>
      </c>
      <c r="G223" s="82" t="inlineStr">
        <is>
          <t>FLS_LIFE_SFTY</t>
        </is>
      </c>
    </row>
    <row r="224" ht="15" customHeight="1">
      <c r="A224" s="81" t="n">
        <v>222</v>
      </c>
      <c r="B224" s="82" t="inlineStr">
        <is>
          <t>DIV 05 – ELEC</t>
        </is>
      </c>
      <c r="C224" s="82" t="inlineStr">
        <is>
          <t>Col K – Earth resistance</t>
        </is>
      </c>
      <c r="D224" s="83" t="inlineStr">
        <is>
          <t>ELC_LP_EARTH_RES_OHMS</t>
        </is>
      </c>
      <c r="E224" s="81" t="inlineStr">
        <is>
          <t>NUMBER</t>
        </is>
      </c>
      <c r="F224" s="82" t="inlineStr">
        <is>
          <t>Earth electrode resistance in ohms (target &lt;10 Ω)</t>
        </is>
      </c>
      <c r="G224" s="82" t="inlineStr">
        <is>
          <t>ELC_PWR</t>
        </is>
      </c>
    </row>
    <row r="225" ht="15" customHeight="1">
      <c r="A225" s="81" t="n">
        <v>223</v>
      </c>
      <c r="B225" s="82" t="inlineStr">
        <is>
          <t>DIV 05 – ELEC</t>
        </is>
      </c>
      <c r="C225" s="82" t="inlineStr">
        <is>
          <t>Col K – LP connection</t>
        </is>
      </c>
      <c r="D225" s="83" t="inlineStr">
        <is>
          <t>ELC_LP_CONNECTION_TYPE_TXT</t>
        </is>
      </c>
      <c r="E225" s="81" t="inlineStr">
        <is>
          <t>TEXT</t>
        </is>
      </c>
      <c r="F225" s="82" t="inlineStr">
        <is>
          <t>Lightning protection connection / bonding type</t>
        </is>
      </c>
      <c r="G225" s="82" t="inlineStr">
        <is>
          <t>ELC_PWR</t>
        </is>
      </c>
    </row>
    <row r="226" ht="15" customHeight="1">
      <c r="A226" s="81" t="n">
        <v>224</v>
      </c>
      <c r="B226" s="82" t="inlineStr">
        <is>
          <t>DIV 05 – ELEC</t>
        </is>
      </c>
      <c r="C226" s="82" t="inlineStr">
        <is>
          <t>Col J – Energy cost</t>
        </is>
      </c>
      <c r="D226" s="83" t="inlineStr">
        <is>
          <t>ELC_ENERGY_COST_UGX_PA</t>
        </is>
      </c>
      <c r="E226" s="81" t="inlineStr">
        <is>
          <t>CURRENCY</t>
        </is>
      </c>
      <c r="F226" s="82" t="inlineStr">
        <is>
          <t>Annual energy cost UGX</t>
        </is>
      </c>
      <c r="G226" s="82" t="inlineStr">
        <is>
          <t>ELC_PWR</t>
        </is>
      </c>
    </row>
    <row r="227" ht="15" customHeight="1">
      <c r="A227" s="84" t="n">
        <v>225</v>
      </c>
      <c r="B227" s="85" t="inlineStr">
        <is>
          <t>MATERIAL SCHEDULE</t>
        </is>
      </c>
      <c r="C227" s="85" t="inlineStr">
        <is>
          <t>Col B – STING Tag</t>
        </is>
      </c>
      <c r="D227" s="86" t="inlineStr">
        <is>
          <t>ASS_TAG_1_TXT</t>
        </is>
      </c>
      <c r="E227" s="84" t="inlineStr">
        <is>
          <t>TEXT</t>
        </is>
      </c>
      <c r="F227" s="85" t="inlineStr">
        <is>
          <t>Primary equipment / material STING tag</t>
        </is>
      </c>
      <c r="G227" s="85" t="inlineStr">
        <is>
          <t>ASS_MNG</t>
        </is>
      </c>
    </row>
    <row r="228" ht="15" customHeight="1">
      <c r="A228" s="84" t="n">
        <v>226</v>
      </c>
      <c r="B228" s="85" t="inlineStr">
        <is>
          <t>MATERIAL SCHEDULE</t>
        </is>
      </c>
      <c r="C228" s="85" t="inlineStr">
        <is>
          <t>Col B – STING Tag</t>
        </is>
      </c>
      <c r="D228" s="86" t="inlineStr">
        <is>
          <t>ASS_TAG_2_TXT</t>
        </is>
      </c>
      <c r="E228" s="84" t="inlineStr">
        <is>
          <t>TEXT</t>
        </is>
      </c>
      <c r="F228" s="85" t="inlineStr">
        <is>
          <t>Secondary STING tag</t>
        </is>
      </c>
      <c r="G228" s="85" t="inlineStr">
        <is>
          <t>ASS_MNG</t>
        </is>
      </c>
    </row>
    <row r="229" ht="15" customHeight="1">
      <c r="A229" s="84" t="n">
        <v>227</v>
      </c>
      <c r="B229" s="85" t="inlineStr">
        <is>
          <t>MATERIAL SCHEDULE</t>
        </is>
      </c>
      <c r="C229" s="85" t="inlineStr">
        <is>
          <t>Col C – Material Code</t>
        </is>
      </c>
      <c r="D229" s="86" t="inlineStr">
        <is>
          <t>MAT_CODE</t>
        </is>
      </c>
      <c r="E229" s="84" t="inlineStr">
        <is>
          <t>TEXT</t>
        </is>
      </c>
      <c r="F229" s="85" t="inlineStr">
        <is>
          <t>Material identification code</t>
        </is>
      </c>
      <c r="G229" s="85" t="inlineStr">
        <is>
          <t>MAT_INFO</t>
        </is>
      </c>
    </row>
    <row r="230" ht="15" customHeight="1">
      <c r="A230" s="84" t="n">
        <v>228</v>
      </c>
      <c r="B230" s="85" t="inlineStr">
        <is>
          <t>MATERIAL SCHEDULE</t>
        </is>
      </c>
      <c r="C230" s="85" t="inlineStr">
        <is>
          <t>Col C – Material Code</t>
        </is>
      </c>
      <c r="D230" s="86" t="inlineStr">
        <is>
          <t>ASS_PRODCT_COD_TXT</t>
        </is>
      </c>
      <c r="E230" s="84" t="inlineStr">
        <is>
          <t>TEXT</t>
        </is>
      </c>
      <c r="F230" s="85" t="inlineStr">
        <is>
          <t>Asset product code from manufacturer</t>
        </is>
      </c>
      <c r="G230" s="85" t="inlineStr">
        <is>
          <t>ASS_MNG</t>
        </is>
      </c>
    </row>
    <row r="231" ht="15" customHeight="1">
      <c r="A231" s="84" t="n">
        <v>229</v>
      </c>
      <c r="B231" s="85" t="inlineStr">
        <is>
          <t>MATERIAL SCHEDULE</t>
        </is>
      </c>
      <c r="C231" s="85" t="inlineStr">
        <is>
          <t>Col D – Description</t>
        </is>
      </c>
      <c r="D231" s="86" t="inlineStr">
        <is>
          <t>MAT_NAME</t>
        </is>
      </c>
      <c r="E231" s="84" t="inlineStr">
        <is>
          <t>TEXT</t>
        </is>
      </c>
      <c r="F231" s="85" t="inlineStr">
        <is>
          <t>Material / product name</t>
        </is>
      </c>
      <c r="G231" s="85" t="inlineStr">
        <is>
          <t>MAT_INFO</t>
        </is>
      </c>
    </row>
    <row r="232" ht="15" customHeight="1">
      <c r="A232" s="84" t="n">
        <v>230</v>
      </c>
      <c r="B232" s="85" t="inlineStr">
        <is>
          <t>MATERIAL SCHEDULE</t>
        </is>
      </c>
      <c r="C232" s="85" t="inlineStr">
        <is>
          <t>Col D – Description</t>
        </is>
      </c>
      <c r="D232" s="86" t="inlineStr">
        <is>
          <t>ASS_DESCRIPTION_TXT</t>
        </is>
      </c>
      <c r="E232" s="84" t="inlineStr">
        <is>
          <t>TEXT</t>
        </is>
      </c>
      <c r="F232" s="85" t="inlineStr">
        <is>
          <t>Full asset description from BIM</t>
        </is>
      </c>
      <c r="G232" s="85" t="inlineStr">
        <is>
          <t>ASS_MNG</t>
        </is>
      </c>
    </row>
    <row r="233" ht="15" customHeight="1">
      <c r="A233" s="84" t="n">
        <v>231</v>
      </c>
      <c r="B233" s="85" t="inlineStr">
        <is>
          <t>MATERIAL SCHEDULE</t>
        </is>
      </c>
      <c r="C233" s="85" t="inlineStr">
        <is>
          <t>Col E – Specification</t>
        </is>
      </c>
      <c r="D233" s="86" t="inlineStr">
        <is>
          <t>MAT_STANDARD</t>
        </is>
      </c>
      <c r="E233" s="84" t="inlineStr">
        <is>
          <t>TEXT</t>
        </is>
      </c>
      <c r="F233" s="85" t="inlineStr">
        <is>
          <t>Material applicable standard (BS / ISO / ASTM)</t>
        </is>
      </c>
      <c r="G233" s="85" t="inlineStr">
        <is>
          <t>MAT_INFO</t>
        </is>
      </c>
    </row>
    <row r="234" ht="15" customHeight="1">
      <c r="A234" s="84" t="n">
        <v>232</v>
      </c>
      <c r="B234" s="85" t="inlineStr">
        <is>
          <t>MATERIAL SCHEDULE</t>
        </is>
      </c>
      <c r="C234" s="85" t="inlineStr">
        <is>
          <t>Col E – Specification</t>
        </is>
      </c>
      <c r="D234" s="86" t="inlineStr">
        <is>
          <t>MAT_SPECIFICATIONS</t>
        </is>
      </c>
      <c r="E234" s="84" t="inlineStr">
        <is>
          <t>TEXT</t>
        </is>
      </c>
      <c r="F234" s="85" t="inlineStr">
        <is>
          <t>Full specification text</t>
        </is>
      </c>
      <c r="G234" s="85" t="inlineStr">
        <is>
          <t>MAT_INFO</t>
        </is>
      </c>
    </row>
    <row r="235" ht="15" customHeight="1">
      <c r="A235" s="84" t="n">
        <v>233</v>
      </c>
      <c r="B235" s="85" t="inlineStr">
        <is>
          <t>MATERIAL SCHEDULE</t>
        </is>
      </c>
      <c r="C235" s="85" t="inlineStr">
        <is>
          <t>Col E – Specification</t>
        </is>
      </c>
      <c r="D235" s="86" t="inlineStr">
        <is>
          <t>BLE_MAT_STANDARD_TXT</t>
        </is>
      </c>
      <c r="E235" s="84" t="inlineStr">
        <is>
          <t>TEXT</t>
        </is>
      </c>
      <c r="F235" s="85" t="inlineStr">
        <is>
          <t>Building element material standard reference</t>
        </is>
      </c>
      <c r="G235" s="85" t="inlineStr">
        <is>
          <t>CST_PROC</t>
        </is>
      </c>
    </row>
    <row r="236" ht="15" customHeight="1">
      <c r="A236" s="84" t="n">
        <v>234</v>
      </c>
      <c r="B236" s="85" t="inlineStr">
        <is>
          <t>MATERIAL SCHEDULE</t>
        </is>
      </c>
      <c r="C236" s="85" t="inlineStr">
        <is>
          <t>Col F – Unit</t>
        </is>
      </c>
      <c r="D236" s="86" t="inlineStr">
        <is>
          <t>ASS_PMT_INV_UNIT_TXT</t>
        </is>
      </c>
      <c r="E236" s="84" t="inlineStr">
        <is>
          <t>TEXT</t>
        </is>
      </c>
      <c r="F236" s="85" t="inlineStr">
        <is>
          <t>Procurement inventory unit (m²/m³/No/kg/LM)</t>
        </is>
      </c>
      <c r="G236" s="85" t="inlineStr">
        <is>
          <t>ASS_MNG</t>
        </is>
      </c>
    </row>
    <row r="237" ht="15" customHeight="1">
      <c r="A237" s="84" t="n">
        <v>235</v>
      </c>
      <c r="B237" s="85" t="inlineStr">
        <is>
          <t>MATERIAL SCHEDULE</t>
        </is>
      </c>
      <c r="C237" s="85" t="inlineStr">
        <is>
          <t>Col G – Model Qty</t>
        </is>
      </c>
      <c r="D237" s="86" t="inlineStr">
        <is>
          <t>ASS_CST_QUANTITY_NR</t>
        </is>
      </c>
      <c r="E237" s="84" t="inlineStr">
        <is>
          <t>NUMBER</t>
        </is>
      </c>
      <c r="F237" s="85" t="inlineStr">
        <is>
          <t>BIM model-extracted quantity</t>
        </is>
      </c>
      <c r="G237" s="85" t="inlineStr">
        <is>
          <t>ASS_MNG</t>
        </is>
      </c>
    </row>
    <row r="238" ht="15" customHeight="1">
      <c r="A238" s="84" t="n">
        <v>236</v>
      </c>
      <c r="B238" s="85" t="inlineStr">
        <is>
          <t>MATERIAL SCHEDULE</t>
        </is>
      </c>
      <c r="C238" s="85" t="inlineStr">
        <is>
          <t>Col H – Waste Factor</t>
        </is>
      </c>
      <c r="D238" s="86" t="inlineStr">
        <is>
          <t>CST_S_MAS_WASTAGE_FCT_PCT</t>
        </is>
      </c>
      <c r="E238" s="84" t="inlineStr">
        <is>
          <t>NUMBER</t>
        </is>
      </c>
      <c r="F238" s="85" t="inlineStr">
        <is>
          <t>Wastage factor percentage for material</t>
        </is>
      </c>
      <c r="G238" s="85" t="inlineStr">
        <is>
          <t>COM_DAT</t>
        </is>
      </c>
    </row>
    <row r="239" ht="15" customHeight="1">
      <c r="A239" s="84" t="n">
        <v>237</v>
      </c>
      <c r="B239" s="85" t="inlineStr">
        <is>
          <t>MATERIAL SCHEDULE</t>
        </is>
      </c>
      <c r="C239" s="85" t="inlineStr">
        <is>
          <t>Col I – Order Qty</t>
        </is>
      </c>
      <c r="D239" s="86" t="inlineStr">
        <is>
          <t>ASS_PMT_QTY_ORDERED_NR</t>
        </is>
      </c>
      <c r="E239" s="84" t="inlineStr">
        <is>
          <t>NUMBER</t>
        </is>
      </c>
      <c r="F239" s="85" t="inlineStr">
        <is>
          <t>Final procurement order quantity</t>
        </is>
      </c>
      <c r="G239" s="85" t="inlineStr">
        <is>
          <t>ASS_MNG</t>
        </is>
      </c>
    </row>
    <row r="240" ht="15" customHeight="1">
      <c r="A240" s="84" t="n">
        <v>238</v>
      </c>
      <c r="B240" s="85" t="inlineStr">
        <is>
          <t>MATERIAL SCHEDULE</t>
        </is>
      </c>
      <c r="C240" s="85" t="inlineStr">
        <is>
          <t>Col J – Unit Rate</t>
        </is>
      </c>
      <c r="D240" s="86" t="inlineStr">
        <is>
          <t>ASS_CST_UNIT_PRICE_UGX_NR</t>
        </is>
      </c>
      <c r="E240" s="84" t="inlineStr">
        <is>
          <t>CURRENCY</t>
        </is>
      </c>
      <c r="F240" s="85" t="inlineStr">
        <is>
          <t>Unit material supply price UGX</t>
        </is>
      </c>
      <c r="G240" s="85" t="inlineStr">
        <is>
          <t>ASS_MNG</t>
        </is>
      </c>
    </row>
    <row r="241" ht="15" customHeight="1">
      <c r="A241" s="84" t="n">
        <v>239</v>
      </c>
      <c r="B241" s="85" t="inlineStr">
        <is>
          <t>MATERIAL SCHEDULE</t>
        </is>
      </c>
      <c r="C241" s="85" t="inlineStr">
        <is>
          <t>Col J – Unit Rate</t>
        </is>
      </c>
      <c r="D241" s="86" t="inlineStr">
        <is>
          <t>MAT_COST_UGX</t>
        </is>
      </c>
      <c r="E241" s="84" t="inlineStr">
        <is>
          <t>CURRENCY</t>
        </is>
      </c>
      <c r="F241" s="85" t="inlineStr">
        <is>
          <t>Material cost per unit UGX</t>
        </is>
      </c>
      <c r="G241" s="85" t="inlineStr">
        <is>
          <t>MAT_INFO</t>
        </is>
      </c>
    </row>
    <row r="242" ht="15" customHeight="1">
      <c r="A242" s="84" t="n">
        <v>240</v>
      </c>
      <c r="B242" s="85" t="inlineStr">
        <is>
          <t>MATERIAL SCHEDULE</t>
        </is>
      </c>
      <c r="C242" s="85" t="inlineStr">
        <is>
          <t>Col K – Amount</t>
        </is>
      </c>
      <c r="D242" s="86" t="inlineStr">
        <is>
          <t>ASS_CST_TOTAL_UGX_NR</t>
        </is>
      </c>
      <c r="E242" s="84" t="inlineStr">
        <is>
          <t>CURRENCY</t>
        </is>
      </c>
      <c r="F242" s="85" t="inlineStr">
        <is>
          <t>Total supply cost UGX (Qty × Rate)</t>
        </is>
      </c>
      <c r="G242" s="85" t="inlineStr">
        <is>
          <t>ASS_MNG</t>
        </is>
      </c>
    </row>
    <row r="243" ht="15" customHeight="1">
      <c r="A243" s="84" t="n">
        <v>241</v>
      </c>
      <c r="B243" s="85" t="inlineStr">
        <is>
          <t>MATERIAL SCHEDULE</t>
        </is>
      </c>
      <c r="C243" s="85" t="inlineStr">
        <is>
          <t>Col L – Lead Time</t>
        </is>
      </c>
      <c r="D243" s="86" t="inlineStr">
        <is>
          <t>CST_DELIVERY_LEAD_TIME_DAYS</t>
        </is>
      </c>
      <c r="E243" s="84" t="inlineStr">
        <is>
          <t>NUMBER</t>
        </is>
      </c>
      <c r="F243" s="85" t="inlineStr">
        <is>
          <t>Delivery lead time in days</t>
        </is>
      </c>
      <c r="G243" s="85" t="inlineStr">
        <is>
          <t>COM_DAT</t>
        </is>
      </c>
    </row>
    <row r="244" ht="15" customHeight="1">
      <c r="A244" s="84" t="n">
        <v>242</v>
      </c>
      <c r="B244" s="85" t="inlineStr">
        <is>
          <t>MATERIAL SCHEDULE</t>
        </is>
      </c>
      <c r="C244" s="85" t="inlineStr">
        <is>
          <t>Col L – Lead Time</t>
        </is>
      </c>
      <c r="D244" s="86" t="inlineStr">
        <is>
          <t>CST_SUP_PROCUREMENT_LEAD_TIME_DAYS</t>
        </is>
      </c>
      <c r="E244" s="84" t="inlineStr">
        <is>
          <t>NUMBER</t>
        </is>
      </c>
      <c r="F244" s="85" t="inlineStr">
        <is>
          <t>Full procurement lead time days (incl. customs)</t>
        </is>
      </c>
      <c r="G244" s="85" t="inlineStr">
        <is>
          <t>COM_DAT</t>
        </is>
      </c>
    </row>
    <row r="245" ht="15" customHeight="1">
      <c r="A245" s="84" t="n">
        <v>243</v>
      </c>
      <c r="B245" s="85" t="inlineStr">
        <is>
          <t>MATERIAL SCHEDULE</t>
        </is>
      </c>
      <c r="C245" s="85" t="inlineStr">
        <is>
          <t>Col M – Supplier</t>
        </is>
      </c>
      <c r="D245" s="86" t="inlineStr">
        <is>
          <t>ASS_PMT_PRO_SUPPLIER_TXT</t>
        </is>
      </c>
      <c r="E245" s="84" t="inlineStr">
        <is>
          <t>TEXT</t>
        </is>
      </c>
      <c r="F245" s="85" t="inlineStr">
        <is>
          <t>Nominated supplier / subcontractor</t>
        </is>
      </c>
      <c r="G245" s="85" t="inlineStr">
        <is>
          <t>ASS_MNG</t>
        </is>
      </c>
    </row>
    <row r="246" ht="15" customHeight="1">
      <c r="A246" s="84" t="n">
        <v>244</v>
      </c>
      <c r="B246" s="85" t="inlineStr">
        <is>
          <t>MATERIAL SCHEDULE</t>
        </is>
      </c>
      <c r="C246" s="85" t="inlineStr">
        <is>
          <t>Col M – Supplier</t>
        </is>
      </c>
      <c r="D246" s="86" t="inlineStr">
        <is>
          <t>CST_SUP_PREFERRED_SUPPLIER_TXT</t>
        </is>
      </c>
      <c r="E246" s="84" t="inlineStr">
        <is>
          <t>TEXT</t>
        </is>
      </c>
      <c r="F246" s="85" t="inlineStr">
        <is>
          <t>Preferred supplier name</t>
        </is>
      </c>
      <c r="G246" s="85" t="inlineStr">
        <is>
          <t>COM_DAT</t>
        </is>
      </c>
    </row>
    <row r="247" ht="15" customHeight="1">
      <c r="A247" s="84" t="n">
        <v>245</v>
      </c>
      <c r="B247" s="85" t="inlineStr">
        <is>
          <t>MATERIAL SCHEDULE</t>
        </is>
      </c>
      <c r="C247" s="85" t="inlineStr">
        <is>
          <t>Col M – Supplier</t>
        </is>
      </c>
      <c r="D247" s="86" t="inlineStr">
        <is>
          <t>CST_SUP_ALTERNATIVE_SUPPLIERS_TXT</t>
        </is>
      </c>
      <c r="E247" s="84" t="inlineStr">
        <is>
          <t>TEXT</t>
        </is>
      </c>
      <c r="F247" s="85" t="inlineStr">
        <is>
          <t>Alternative / backup suppliers</t>
        </is>
      </c>
      <c r="G247" s="85" t="inlineStr">
        <is>
          <t>COM_DAT</t>
        </is>
      </c>
    </row>
    <row r="248" ht="15" customHeight="1">
      <c r="A248" s="84" t="n">
        <v>246</v>
      </c>
      <c r="B248" s="85" t="inlineStr">
        <is>
          <t>MATERIAL SCHEDULE</t>
        </is>
      </c>
      <c r="C248" s="85" t="inlineStr">
        <is>
          <t>Col N – Country of Origin</t>
        </is>
      </c>
      <c r="D248" s="86" t="inlineStr">
        <is>
          <t>CST_SUP_COUNTRY_OF_ORIGIN_INT</t>
        </is>
      </c>
      <c r="E248" s="84" t="inlineStr">
        <is>
          <t>INTEGER</t>
        </is>
      </c>
      <c r="F248" s="85" t="inlineStr">
        <is>
          <t>Country of origin code for customs declaration</t>
        </is>
      </c>
      <c r="G248" s="85" t="inlineStr">
        <is>
          <t>COM_DAT</t>
        </is>
      </c>
    </row>
    <row r="249" ht="15" customHeight="1">
      <c r="A249" s="84" t="n">
        <v>247</v>
      </c>
      <c r="B249" s="85" t="inlineStr">
        <is>
          <t>MATERIAL SCHEDULE</t>
        </is>
      </c>
      <c r="C249" s="85" t="inlineStr">
        <is>
          <t>Col N – Shipping</t>
        </is>
      </c>
      <c r="D249" s="86" t="inlineStr">
        <is>
          <t>CST_SUP_SHIPPING_METHOD_TXT</t>
        </is>
      </c>
      <c r="E249" s="84" t="inlineStr">
        <is>
          <t>TEXT</t>
        </is>
      </c>
      <c r="F249" s="85" t="inlineStr">
        <is>
          <t>Import shipping method (air/sea/road)</t>
        </is>
      </c>
      <c r="G249" s="85" t="inlineStr">
        <is>
          <t>COM_DAT</t>
        </is>
      </c>
    </row>
    <row r="250" ht="15" customHeight="1">
      <c r="A250" s="84" t="n">
        <v>248</v>
      </c>
      <c r="B250" s="85" t="inlineStr">
        <is>
          <t>MATERIAL SCHEDULE</t>
        </is>
      </c>
      <c r="C250" s="85" t="inlineStr">
        <is>
          <t>Col O – Approved Equiv</t>
        </is>
      </c>
      <c r="D250" s="86" t="inlineStr">
        <is>
          <t>RGL_QA_APVD_VENDOR_TXT</t>
        </is>
      </c>
      <c r="E250" s="84" t="inlineStr">
        <is>
          <t>TEXT</t>
        </is>
      </c>
      <c r="F250" s="85" t="inlineStr">
        <is>
          <t>Approved equivalent vendor</t>
        </is>
      </c>
      <c r="G250" s="85" t="inlineStr">
        <is>
          <t>RGL_CMPL</t>
        </is>
      </c>
    </row>
    <row r="251" ht="15" customHeight="1">
      <c r="A251" s="84" t="n">
        <v>249</v>
      </c>
      <c r="B251" s="85" t="inlineStr">
        <is>
          <t>MATERIAL SCHEDULE</t>
        </is>
      </c>
      <c r="C251" s="85" t="inlineStr">
        <is>
          <t>Col P – Status</t>
        </is>
      </c>
      <c r="D251" s="86" t="inlineStr">
        <is>
          <t>ASS_STATUS_TXT</t>
        </is>
      </c>
      <c r="E251" s="84" t="inlineStr">
        <is>
          <t>TEXT</t>
        </is>
      </c>
      <c r="F251" s="85" t="inlineStr">
        <is>
          <t>Procurement status (PROCURE / FABRICATE / ON HOLD)</t>
        </is>
      </c>
      <c r="G251" s="85" t="inlineStr">
        <is>
          <t>ASS_MNG</t>
        </is>
      </c>
    </row>
    <row r="252" ht="15" customHeight="1">
      <c r="A252" s="84" t="n">
        <v>250</v>
      </c>
      <c r="B252" s="85" t="inlineStr">
        <is>
          <t>MATERIAL SCHEDULE</t>
        </is>
      </c>
      <c r="C252" s="85" t="inlineStr">
        <is>
          <t>Col P – PO Number</t>
        </is>
      </c>
      <c r="D252" s="86" t="inlineStr">
        <is>
          <t>ASS_PMT_PRO_PO_NR_TXT</t>
        </is>
      </c>
      <c r="E252" s="84" t="inlineStr">
        <is>
          <t>TEXT</t>
        </is>
      </c>
      <c r="F252" s="85" t="inlineStr">
        <is>
          <t>Purchase order number</t>
        </is>
      </c>
      <c r="G252" s="85" t="inlineStr">
        <is>
          <t>ASS_MNG</t>
        </is>
      </c>
    </row>
    <row r="253" ht="15" customHeight="1">
      <c r="A253" s="84" t="n">
        <v>251</v>
      </c>
      <c r="B253" s="85" t="inlineStr">
        <is>
          <t>MATERIAL SCHEDULE</t>
        </is>
      </c>
      <c r="C253" s="85" t="inlineStr">
        <is>
          <t>Col P – Delivery Date</t>
        </is>
      </c>
      <c r="D253" s="86" t="inlineStr">
        <is>
          <t>ASS_PMT_PRO_DELIVERY_DATE_TXT</t>
        </is>
      </c>
      <c r="E253" s="84" t="inlineStr">
        <is>
          <t>TEXT</t>
        </is>
      </c>
      <c r="F253" s="85" t="inlineStr">
        <is>
          <t>Expected delivery date</t>
        </is>
      </c>
      <c r="G253" s="85" t="inlineStr">
        <is>
          <t>ASS_MNG</t>
        </is>
      </c>
    </row>
    <row r="254" ht="15" customHeight="1">
      <c r="A254" s="84" t="n">
        <v>252</v>
      </c>
      <c r="B254" s="85" t="inlineStr">
        <is>
          <t>MATERIAL SCHEDULE</t>
        </is>
      </c>
      <c r="C254" s="85" t="inlineStr">
        <is>
          <t>Col Q – BOQ Ref</t>
        </is>
      </c>
      <c r="D254" s="86" t="inlineStr">
        <is>
          <t>ASS_ID_TXT</t>
        </is>
      </c>
      <c r="E254" s="84" t="inlineStr">
        <is>
          <t>TEXT</t>
        </is>
      </c>
      <c r="F254" s="85" t="inlineStr">
        <is>
          <t>BOQ item reference / BIM Asset ID</t>
        </is>
      </c>
      <c r="G254" s="85" t="inlineStr">
        <is>
          <t>ASS_MNG</t>
        </is>
      </c>
    </row>
    <row r="255" ht="15" customHeight="1">
      <c r="A255" s="87" t="n">
        <v>253</v>
      </c>
      <c r="B255" s="88" t="inlineStr">
        <is>
          <t>RATE LIBRARY</t>
        </is>
      </c>
      <c r="C255" s="88" t="inlineStr">
        <is>
          <t>Col D – Material Rate</t>
        </is>
      </c>
      <c r="D255" s="89" t="inlineStr">
        <is>
          <t>CST_UNIT_PRICE_TILE_UGX</t>
        </is>
      </c>
      <c r="E255" s="87" t="inlineStr">
        <is>
          <t>CURRENCY</t>
        </is>
      </c>
      <c r="F255" s="88" t="inlineStr">
        <is>
          <t>Unit price per m² tile UGX</t>
        </is>
      </c>
      <c r="G255" s="88" t="inlineStr">
        <is>
          <t>COM_DAT</t>
        </is>
      </c>
    </row>
    <row r="256" ht="15" customHeight="1">
      <c r="A256" s="87" t="n">
        <v>254</v>
      </c>
      <c r="B256" s="88" t="inlineStr">
        <is>
          <t>RATE LIBRARY</t>
        </is>
      </c>
      <c r="C256" s="88" t="inlineStr">
        <is>
          <t>Col D – Material Rate</t>
        </is>
      </c>
      <c r="D256" s="89" t="inlineStr">
        <is>
          <t>CST_UNIT_PRICE_CEMENT_UGX</t>
        </is>
      </c>
      <c r="E256" s="87" t="inlineStr">
        <is>
          <t>CURRENCY</t>
        </is>
      </c>
      <c r="F256" s="88" t="inlineStr">
        <is>
          <t>Unit price per 50kg cement bag UGX</t>
        </is>
      </c>
      <c r="G256" s="88" t="inlineStr">
        <is>
          <t>COM_DAT</t>
        </is>
      </c>
    </row>
    <row r="257" ht="15" customHeight="1">
      <c r="A257" s="87" t="n">
        <v>255</v>
      </c>
      <c r="B257" s="88" t="inlineStr">
        <is>
          <t>RATE LIBRARY</t>
        </is>
      </c>
      <c r="C257" s="88" t="inlineStr">
        <is>
          <t>Col D – Material Rate</t>
        </is>
      </c>
      <c r="D257" s="89" t="inlineStr">
        <is>
          <t>CST_UNIT_PRICE_STEEL_UGX</t>
        </is>
      </c>
      <c r="E257" s="87" t="inlineStr">
        <is>
          <t>CURRENCY</t>
        </is>
      </c>
      <c r="F257" s="88" t="inlineStr">
        <is>
          <t>Unit price per kg reinforcement steel UGX</t>
        </is>
      </c>
      <c r="G257" s="88" t="inlineStr">
        <is>
          <t>COM_DAT</t>
        </is>
      </c>
    </row>
    <row r="258" ht="15" customHeight="1">
      <c r="A258" s="87" t="n">
        <v>256</v>
      </c>
      <c r="B258" s="88" t="inlineStr">
        <is>
          <t>RATE LIBRARY</t>
        </is>
      </c>
      <c r="C258" s="88" t="inlineStr">
        <is>
          <t>Col D – Material Rate</t>
        </is>
      </c>
      <c r="D258" s="89" t="inlineStr">
        <is>
          <t>CST_UNIT_PRICE_SAND_UGX</t>
        </is>
      </c>
      <c r="E258" s="87" t="inlineStr">
        <is>
          <t>CURRENCY</t>
        </is>
      </c>
      <c r="F258" s="88" t="inlineStr">
        <is>
          <t>Unit price per m³ sand UGX</t>
        </is>
      </c>
      <c r="G258" s="88" t="inlineStr">
        <is>
          <t>COM_DAT</t>
        </is>
      </c>
    </row>
    <row r="259" ht="15" customHeight="1">
      <c r="A259" s="87" t="n">
        <v>257</v>
      </c>
      <c r="B259" s="88" t="inlineStr">
        <is>
          <t>RATE LIBRARY</t>
        </is>
      </c>
      <c r="C259" s="88" t="inlineStr">
        <is>
          <t>Col D – Material Rate</t>
        </is>
      </c>
      <c r="D259" s="89" t="inlineStr">
        <is>
          <t>CST_UNIT_PRICE_AGGREGATE_UGX</t>
        </is>
      </c>
      <c r="E259" s="87" t="inlineStr">
        <is>
          <t>CURRENCY</t>
        </is>
      </c>
      <c r="F259" s="88" t="inlineStr">
        <is>
          <t>Unit price per m³ aggregate UGX</t>
        </is>
      </c>
      <c r="G259" s="88" t="inlineStr">
        <is>
          <t>COM_DAT</t>
        </is>
      </c>
    </row>
    <row r="260" ht="15" customHeight="1">
      <c r="A260" s="87" t="n">
        <v>258</v>
      </c>
      <c r="B260" s="88" t="inlineStr">
        <is>
          <t>RATE LIBRARY</t>
        </is>
      </c>
      <c r="C260" s="88" t="inlineStr">
        <is>
          <t>Col D – Material Rate</t>
        </is>
      </c>
      <c r="D260" s="89" t="inlineStr">
        <is>
          <t>CST_UNIT_PRICE_BLOCK_UGX</t>
        </is>
      </c>
      <c r="E260" s="87" t="inlineStr">
        <is>
          <t>CURRENCY</t>
        </is>
      </c>
      <c r="F260" s="88" t="inlineStr">
        <is>
          <t>Unit price per concrete block UGX</t>
        </is>
      </c>
      <c r="G260" s="88" t="inlineStr">
        <is>
          <t>COM_DAT</t>
        </is>
      </c>
    </row>
    <row r="261" ht="15" customHeight="1">
      <c r="A261" s="87" t="n">
        <v>259</v>
      </c>
      <c r="B261" s="88" t="inlineStr">
        <is>
          <t>RATE LIBRARY</t>
        </is>
      </c>
      <c r="C261" s="88" t="inlineStr">
        <is>
          <t>Col D – Material Rate</t>
        </is>
      </c>
      <c r="D261" s="89" t="inlineStr">
        <is>
          <t>CST_UNIT_PRICE_PAINT_UGX</t>
        </is>
      </c>
      <c r="E261" s="87" t="inlineStr">
        <is>
          <t>CURRENCY</t>
        </is>
      </c>
      <c r="F261" s="88" t="inlineStr">
        <is>
          <t>Unit price per litre paint UGX</t>
        </is>
      </c>
      <c r="G261" s="88" t="inlineStr">
        <is>
          <t>COM_DAT</t>
        </is>
      </c>
    </row>
    <row r="262" ht="15" customHeight="1">
      <c r="A262" s="87" t="n">
        <v>260</v>
      </c>
      <c r="B262" s="88" t="inlineStr">
        <is>
          <t>RATE LIBRARY</t>
        </is>
      </c>
      <c r="C262" s="88" t="inlineStr">
        <is>
          <t>Col D – Material Rate</t>
        </is>
      </c>
      <c r="D262" s="89" t="inlineStr">
        <is>
          <t>CST_UNIT_PRICE_ADHESIVE_UGX</t>
        </is>
      </c>
      <c r="E262" s="87" t="inlineStr">
        <is>
          <t>CURRENCY</t>
        </is>
      </c>
      <c r="F262" s="88" t="inlineStr">
        <is>
          <t>Unit price per kg tile adhesive UGX</t>
        </is>
      </c>
      <c r="G262" s="88" t="inlineStr">
        <is>
          <t>COM_DAT</t>
        </is>
      </c>
    </row>
    <row r="263" ht="15" customHeight="1">
      <c r="A263" s="87" t="n">
        <v>261</v>
      </c>
      <c r="B263" s="88" t="inlineStr">
        <is>
          <t>RATE LIBRARY</t>
        </is>
      </c>
      <c r="C263" s="88" t="inlineStr">
        <is>
          <t>Col D – Material Rate</t>
        </is>
      </c>
      <c r="D263" s="89" t="inlineStr">
        <is>
          <t>CST_UNIT_PRICE_GROUT_UGX</t>
        </is>
      </c>
      <c r="E263" s="87" t="inlineStr">
        <is>
          <t>CURRENCY</t>
        </is>
      </c>
      <c r="F263" s="88" t="inlineStr">
        <is>
          <t>Unit price per kg tile grout UGX</t>
        </is>
      </c>
      <c r="G263" s="88" t="inlineStr">
        <is>
          <t>COM_DAT</t>
        </is>
      </c>
    </row>
    <row r="264" ht="15" customHeight="1">
      <c r="A264" s="87" t="n">
        <v>262</v>
      </c>
      <c r="B264" s="88" t="inlineStr">
        <is>
          <t>RATE LIBRARY</t>
        </is>
      </c>
      <c r="C264" s="88" t="inlineStr">
        <is>
          <t>Col D – Material Rate</t>
        </is>
      </c>
      <c r="D264" s="89" t="inlineStr">
        <is>
          <t>CST_UNIT_PRICE_SHEET_UGX</t>
        </is>
      </c>
      <c r="E264" s="87" t="inlineStr">
        <is>
          <t>CURRENCY</t>
        </is>
      </c>
      <c r="F264" s="88" t="inlineStr">
        <is>
          <t>Unit price per roofing sheet UGX</t>
        </is>
      </c>
      <c r="G264" s="88" t="inlineStr">
        <is>
          <t>COM_DAT</t>
        </is>
      </c>
    </row>
    <row r="265" ht="15" customHeight="1">
      <c r="A265" s="87" t="n">
        <v>263</v>
      </c>
      <c r="B265" s="88" t="inlineStr">
        <is>
          <t>RATE LIBRARY</t>
        </is>
      </c>
      <c r="C265" s="88" t="inlineStr">
        <is>
          <t>Col G – Total Rate</t>
        </is>
      </c>
      <c r="D265" s="89" t="inlineStr">
        <is>
          <t>ASS_CST_UNIT_PRICE_UGX_NR</t>
        </is>
      </c>
      <c r="E265" s="87" t="inlineStr">
        <is>
          <t>CURRENCY</t>
        </is>
      </c>
      <c r="F265" s="88" t="inlineStr">
        <is>
          <t>Total unit rate UGX (mat + lab + plant)</t>
        </is>
      </c>
      <c r="G265" s="88" t="inlineStr">
        <is>
          <t>ASS_MNG</t>
        </is>
      </c>
    </row>
    <row r="266" ht="15" customHeight="1">
      <c r="A266" s="87" t="n">
        <v>264</v>
      </c>
      <c r="B266" s="88" t="inlineStr">
        <is>
          <t>RATE LIBRARY</t>
        </is>
      </c>
      <c r="C266" s="88" t="inlineStr">
        <is>
          <t>Col G – Total Rate</t>
        </is>
      </c>
      <c r="D266" s="89" t="inlineStr">
        <is>
          <t>ASS_PMT_CST_UNIT_RATE_UGX_NR</t>
        </is>
      </c>
      <c r="E266" s="87" t="inlineStr">
        <is>
          <t>CURRENCY</t>
        </is>
      </c>
      <c r="F266" s="88" t="inlineStr">
        <is>
          <t>Procurement unit rate UGX</t>
        </is>
      </c>
      <c r="G266" s="88" t="inlineStr">
        <is>
          <t>ASS_MNG</t>
        </is>
      </c>
    </row>
    <row r="267" ht="15" customHeight="1">
      <c r="A267" s="87" t="n">
        <v>265</v>
      </c>
      <c r="B267" s="88" t="inlineStr">
        <is>
          <t>RATE LIBRARY</t>
        </is>
      </c>
      <c r="C267" s="88" t="inlineStr">
        <is>
          <t>Col H – Source / Date</t>
        </is>
      </c>
      <c r="D267" s="89" t="inlineStr">
        <is>
          <t>CST_SUP_PREFERRED_SUPPLIER_TXT</t>
        </is>
      </c>
      <c r="E267" s="87" t="inlineStr">
        <is>
          <t>TEXT</t>
        </is>
      </c>
      <c r="F267" s="88" t="inlineStr">
        <is>
          <t>Rate source / preferred supplier</t>
        </is>
      </c>
      <c r="G267" s="88" t="inlineStr">
        <is>
          <t>COM_DAT</t>
        </is>
      </c>
    </row>
    <row r="268" ht="15" customHeight="1">
      <c r="A268" s="87" t="n">
        <v>266</v>
      </c>
      <c r="B268" s="88" t="inlineStr">
        <is>
          <t>RATE LIBRARY</t>
        </is>
      </c>
      <c r="C268" s="88" t="inlineStr">
        <is>
          <t>Col H – Source / Date</t>
        </is>
      </c>
      <c r="D268" s="89" t="inlineStr">
        <is>
          <t>CST_DELIVERY_LEAD_TIME_DAYS</t>
        </is>
      </c>
      <c r="E268" s="87" t="inlineStr">
        <is>
          <t>NUMBER</t>
        </is>
      </c>
      <c r="F268" s="88" t="inlineStr">
        <is>
          <t>Procurement lead time days</t>
        </is>
      </c>
      <c r="G268" s="88" t="inlineStr">
        <is>
          <t>COM_DAT</t>
        </is>
      </c>
    </row>
    <row r="269" ht="15" customHeight="1">
      <c r="A269" s="90" t="n">
        <v>267</v>
      </c>
      <c r="B269" s="91" t="inlineStr">
        <is>
          <t>ALL SHEETS</t>
        </is>
      </c>
      <c r="C269" s="91" t="inlineStr">
        <is>
          <t>O&amp;M / Maintenance</t>
        </is>
      </c>
      <c r="D269" s="92" t="inlineStr">
        <is>
          <t>ASS_MAINTENANCE_SCHEDULE_TXT</t>
        </is>
      </c>
      <c r="E269" s="90" t="inlineStr">
        <is>
          <t>TEXT</t>
        </is>
      </c>
      <c r="F269" s="91" t="inlineStr">
        <is>
          <t>Maintenance schedule description</t>
        </is>
      </c>
      <c r="G269" s="91" t="inlineStr">
        <is>
          <t>ASS_MNG</t>
        </is>
      </c>
    </row>
    <row r="270" ht="15" customHeight="1">
      <c r="A270" s="90" t="n">
        <v>268</v>
      </c>
      <c r="B270" s="91" t="inlineStr">
        <is>
          <t>ALL SHEETS</t>
        </is>
      </c>
      <c r="C270" s="91" t="inlineStr">
        <is>
          <t>O&amp;M / Maintenance</t>
        </is>
      </c>
      <c r="D270" s="92" t="inlineStr">
        <is>
          <t>ASS_MAINTENANCE_FREQUENCY_MONTHS</t>
        </is>
      </c>
      <c r="E270" s="90" t="inlineStr">
        <is>
          <t>TEXT</t>
        </is>
      </c>
      <c r="F270" s="91" t="inlineStr">
        <is>
          <t>Maintenance frequency in months</t>
        </is>
      </c>
      <c r="G270" s="91" t="inlineStr">
        <is>
          <t>ASS_MNG</t>
        </is>
      </c>
    </row>
    <row r="271" ht="15" customHeight="1">
      <c r="A271" s="90" t="n">
        <v>269</v>
      </c>
      <c r="B271" s="91" t="inlineStr">
        <is>
          <t>ALL SHEETS</t>
        </is>
      </c>
      <c r="C271" s="91" t="inlineStr">
        <is>
          <t>O&amp;M / Maintenance</t>
        </is>
      </c>
      <c r="D271" s="92" t="inlineStr">
        <is>
          <t>ASS_EXPECTED_LIFE_YEARS_YRS</t>
        </is>
      </c>
      <c r="E271" s="90" t="inlineStr">
        <is>
          <t>NUMBER</t>
        </is>
      </c>
      <c r="F271" s="91" t="inlineStr">
        <is>
          <t>Expected service life in years (ISO 15686)</t>
        </is>
      </c>
      <c r="G271" s="91" t="inlineStr">
        <is>
          <t>ASS_MNG</t>
        </is>
      </c>
    </row>
    <row r="272" ht="15" customHeight="1">
      <c r="A272" s="90" t="n">
        <v>270</v>
      </c>
      <c r="B272" s="91" t="inlineStr">
        <is>
          <t>ALL SHEETS</t>
        </is>
      </c>
      <c r="C272" s="91" t="inlineStr">
        <is>
          <t>O&amp;M / Maintenance</t>
        </is>
      </c>
      <c r="D272" s="92" t="inlineStr">
        <is>
          <t>ASS_WARRANTY_PERIOD_TXT</t>
        </is>
      </c>
      <c r="E272" s="90" t="inlineStr">
        <is>
          <t>TEXT</t>
        </is>
      </c>
      <c r="F272" s="91" t="inlineStr">
        <is>
          <t>Warranty period duration</t>
        </is>
      </c>
      <c r="G272" s="91" t="inlineStr">
        <is>
          <t>ASS_MNG</t>
        </is>
      </c>
    </row>
    <row r="273" ht="15" customHeight="1">
      <c r="A273" s="90" t="n">
        <v>271</v>
      </c>
      <c r="B273" s="91" t="inlineStr">
        <is>
          <t>ALL SHEETS</t>
        </is>
      </c>
      <c r="C273" s="91" t="inlineStr">
        <is>
          <t>O&amp;M / Maintenance</t>
        </is>
      </c>
      <c r="D273" s="92" t="inlineStr">
        <is>
          <t>ASS_WARRANTY_EXPIRATION_DATE_TXT</t>
        </is>
      </c>
      <c r="E273" s="90" t="inlineStr">
        <is>
          <t>TEXT</t>
        </is>
      </c>
      <c r="F273" s="91" t="inlineStr">
        <is>
          <t>Warranty expiry date</t>
        </is>
      </c>
      <c r="G273" s="91" t="inlineStr">
        <is>
          <t>ASS_MNG</t>
        </is>
      </c>
    </row>
    <row r="274" ht="15" customHeight="1">
      <c r="A274" s="90" t="n">
        <v>272</v>
      </c>
      <c r="B274" s="91" t="inlineStr">
        <is>
          <t>ALL SHEETS</t>
        </is>
      </c>
      <c r="C274" s="91" t="inlineStr">
        <is>
          <t>O&amp;M / Maintenance</t>
        </is>
      </c>
      <c r="D274" s="92" t="inlineStr">
        <is>
          <t>ASS_OANDM_MANUALS_PROVIDED_TXT</t>
        </is>
      </c>
      <c r="E274" s="90" t="inlineStr">
        <is>
          <t>TEXT</t>
        </is>
      </c>
      <c r="F274" s="91" t="inlineStr">
        <is>
          <t>O&amp;M manuals provided (Yes / No / Digital link)</t>
        </is>
      </c>
      <c r="G274" s="91" t="inlineStr">
        <is>
          <t>ASS_MNG</t>
        </is>
      </c>
    </row>
    <row r="275" ht="15" customHeight="1">
      <c r="A275" s="90" t="n">
        <v>273</v>
      </c>
      <c r="B275" s="91" t="inlineStr">
        <is>
          <t>ALL SHEETS</t>
        </is>
      </c>
      <c r="C275" s="91" t="inlineStr">
        <is>
          <t>O&amp;M / Maintenance</t>
        </is>
      </c>
      <c r="D275" s="92" t="inlineStr">
        <is>
          <t>ASS_LOCAL_SERVICE_AVAILABLE_TXT</t>
        </is>
      </c>
      <c r="E275" s="90" t="inlineStr">
        <is>
          <t>TEXT</t>
        </is>
      </c>
      <c r="F275" s="91" t="inlineStr">
        <is>
          <t>Local service / maintenance available (Yes / No)</t>
        </is>
      </c>
      <c r="G275" s="91" t="inlineStr">
        <is>
          <t>ASS_MNG</t>
        </is>
      </c>
    </row>
    <row r="276" ht="15" customHeight="1">
      <c r="A276" s="90" t="n">
        <v>274</v>
      </c>
      <c r="B276" s="91" t="inlineStr">
        <is>
          <t>ALL SHEETS</t>
        </is>
      </c>
      <c r="C276" s="91" t="inlineStr">
        <is>
          <t>Procurement Costs</t>
        </is>
      </c>
      <c r="D276" s="92" t="inlineStr">
        <is>
          <t>ASS_PMT_CST_MAT_CST_UGX_NR</t>
        </is>
      </c>
      <c r="E276" s="90" t="inlineStr">
        <is>
          <t>CURRENCY</t>
        </is>
      </c>
      <c r="F276" s="91" t="inlineStr">
        <is>
          <t>Material procurement cost UGX</t>
        </is>
      </c>
      <c r="G276" s="91" t="inlineStr">
        <is>
          <t>ASS_MNG</t>
        </is>
      </c>
    </row>
    <row r="277" ht="15" customHeight="1">
      <c r="A277" s="90" t="n">
        <v>275</v>
      </c>
      <c r="B277" s="91" t="inlineStr">
        <is>
          <t>ALL SHEETS</t>
        </is>
      </c>
      <c r="C277" s="91" t="inlineStr">
        <is>
          <t>Procurement Costs</t>
        </is>
      </c>
      <c r="D277" s="92" t="inlineStr">
        <is>
          <t>ASS_PMT_CST_LABOUR_CST_UGX_NR</t>
        </is>
      </c>
      <c r="E277" s="90" t="inlineStr">
        <is>
          <t>CURRENCY</t>
        </is>
      </c>
      <c r="F277" s="91" t="inlineStr">
        <is>
          <t>Labour installation cost UGX</t>
        </is>
      </c>
      <c r="G277" s="91" t="inlineStr">
        <is>
          <t>ASS_MNG</t>
        </is>
      </c>
    </row>
    <row r="278" ht="15" customHeight="1">
      <c r="A278" s="90" t="n">
        <v>276</v>
      </c>
      <c r="B278" s="91" t="inlineStr">
        <is>
          <t>ALL SHEETS</t>
        </is>
      </c>
      <c r="C278" s="91" t="inlineStr">
        <is>
          <t>Procurement Costs</t>
        </is>
      </c>
      <c r="D278" s="92" t="inlineStr">
        <is>
          <t>ASS_CST_INSTALL_UGX_NR</t>
        </is>
      </c>
      <c r="E278" s="90" t="inlineStr">
        <is>
          <t>CURRENCY</t>
        </is>
      </c>
      <c r="F278" s="91" t="inlineStr">
        <is>
          <t>Installation cost UGX</t>
        </is>
      </c>
      <c r="G278" s="91" t="inlineStr">
        <is>
          <t>ASS_MNG</t>
        </is>
      </c>
    </row>
    <row r="279" ht="15" customHeight="1">
      <c r="A279" s="90" t="n">
        <v>277</v>
      </c>
      <c r="B279" s="91" t="inlineStr">
        <is>
          <t>ALL SHEETS</t>
        </is>
      </c>
      <c r="C279" s="91" t="inlineStr">
        <is>
          <t>Procurement Costs</t>
        </is>
      </c>
      <c r="D279" s="92" t="inlineStr">
        <is>
          <t>ASS_CST_LIFECYCLE_UGX_NR</t>
        </is>
      </c>
      <c r="E279" s="90" t="inlineStr">
        <is>
          <t>CURRENCY</t>
        </is>
      </c>
      <c r="F279" s="91" t="inlineStr">
        <is>
          <t>Lifecycle / replacement cost UGX</t>
        </is>
      </c>
      <c r="G279" s="91" t="inlineStr">
        <is>
          <t>ASS_MNG</t>
        </is>
      </c>
    </row>
    <row r="280" ht="15" customHeight="1">
      <c r="A280" s="90" t="n">
        <v>278</v>
      </c>
      <c r="B280" s="91" t="inlineStr">
        <is>
          <t>ALL SHEETS</t>
        </is>
      </c>
      <c r="C280" s="91" t="inlineStr">
        <is>
          <t>Procurement Costs</t>
        </is>
      </c>
      <c r="D280" s="92" t="inlineStr">
        <is>
          <t>ASS_CST_ANNUAL_MAINTENANCE_UGX_NR</t>
        </is>
      </c>
      <c r="E280" s="90" t="inlineStr">
        <is>
          <t>CURRENCY</t>
        </is>
      </c>
      <c r="F280" s="91" t="inlineStr">
        <is>
          <t>Annual maintenance cost UGX</t>
        </is>
      </c>
      <c r="G280" s="91" t="inlineStr">
        <is>
          <t>ASS_MNG</t>
        </is>
      </c>
    </row>
    <row r="281" ht="15" customHeight="1">
      <c r="A281" s="90" t="n">
        <v>279</v>
      </c>
      <c r="B281" s="91" t="inlineStr">
        <is>
          <t>ALL SHEETS</t>
        </is>
      </c>
      <c r="C281" s="91" t="inlineStr">
        <is>
          <t>Sustainability</t>
        </is>
      </c>
      <c r="D281" s="92" t="inlineStr">
        <is>
          <t>PER_SUST_RECYCLED_CONTENT_PCT</t>
        </is>
      </c>
      <c r="E281" s="90" t="inlineStr">
        <is>
          <t>NUMBER</t>
        </is>
      </c>
      <c r="F281" s="91" t="inlineStr">
        <is>
          <t>Recycled content percentage</t>
        </is>
      </c>
      <c r="G281" s="91" t="inlineStr">
        <is>
          <t>PER_SUST</t>
        </is>
      </c>
    </row>
    <row r="282" ht="15" customHeight="1">
      <c r="A282" s="90" t="n">
        <v>280</v>
      </c>
      <c r="B282" s="91" t="inlineStr">
        <is>
          <t>ALL SHEETS</t>
        </is>
      </c>
      <c r="C282" s="91" t="inlineStr">
        <is>
          <t>Sustainability</t>
        </is>
      </c>
      <c r="D282" s="92" t="inlineStr">
        <is>
          <t>PER_SUST_EMBODIED_CARBON_KG</t>
        </is>
      </c>
      <c r="E282" s="90" t="inlineStr">
        <is>
          <t>NUMBER</t>
        </is>
      </c>
      <c r="F282" s="91" t="inlineStr">
        <is>
          <t>Embodied carbon kgCO₂e</t>
        </is>
      </c>
      <c r="G282" s="91" t="inlineStr">
        <is>
          <t>PER_SUST</t>
        </is>
      </c>
    </row>
    <row r="283" ht="15" customHeight="1">
      <c r="A283" s="90" t="n">
        <v>281</v>
      </c>
      <c r="B283" s="91" t="inlineStr">
        <is>
          <t>ALL SHEETS</t>
        </is>
      </c>
      <c r="C283" s="91" t="inlineStr">
        <is>
          <t>Sustainability</t>
        </is>
      </c>
      <c r="D283" s="92" t="inlineStr">
        <is>
          <t>PER_SUST_RECYCLABLE_BOOL</t>
        </is>
      </c>
      <c r="E283" s="90" t="inlineStr">
        <is>
          <t>YESNO</t>
        </is>
      </c>
      <c r="F283" s="91" t="inlineStr">
        <is>
          <t>Material recyclable at end of life</t>
        </is>
      </c>
      <c r="G283" s="91" t="inlineStr">
        <is>
          <t>PER_SUST</t>
        </is>
      </c>
    </row>
    <row r="284" ht="15" customHeight="1">
      <c r="A284" s="90" t="n">
        <v>282</v>
      </c>
      <c r="B284" s="91" t="inlineStr">
        <is>
          <t>ALL SHEETS</t>
        </is>
      </c>
      <c r="C284" s="91" t="inlineStr">
        <is>
          <t>Sustainability</t>
        </is>
      </c>
      <c r="D284" s="92" t="inlineStr">
        <is>
          <t>MAT_EPD_REF_TXT</t>
        </is>
      </c>
      <c r="E284" s="90" t="inlineStr">
        <is>
          <t>TEXT</t>
        </is>
      </c>
      <c r="F284" s="91" t="inlineStr">
        <is>
          <t>Environmental Product Declaration ref (ISO 22057)</t>
        </is>
      </c>
      <c r="G284" s="91" t="inlineStr">
        <is>
          <t>MAT_INFO</t>
        </is>
      </c>
    </row>
    <row r="285" ht="15" customHeight="1">
      <c r="A285" s="90" t="n">
        <v>283</v>
      </c>
      <c r="B285" s="91" t="inlineStr">
        <is>
          <t>ALL SHEETS</t>
        </is>
      </c>
      <c r="C285" s="91" t="inlineStr">
        <is>
          <t>Sustainability</t>
        </is>
      </c>
      <c r="D285" s="92" t="inlineStr">
        <is>
          <t>SUST_MAT_TAG_1_TXT</t>
        </is>
      </c>
      <c r="E285" s="90" t="inlineStr">
        <is>
          <t>TEXT</t>
        </is>
      </c>
      <c r="F285" s="91" t="inlineStr">
        <is>
          <t>Sustainability tag (recycled%/embodied C/recyclability)</t>
        </is>
      </c>
      <c r="G285" s="91" t="inlineStr">
        <is>
          <t>PER_SUST</t>
        </is>
      </c>
    </row>
    <row r="286" ht="15" customHeight="1">
      <c r="A286" s="90" t="n">
        <v>284</v>
      </c>
      <c r="B286" s="91" t="inlineStr">
        <is>
          <t>ALL SHEETS</t>
        </is>
      </c>
      <c r="C286" s="91" t="inlineStr">
        <is>
          <t>Regulatory Compliance</t>
        </is>
      </c>
      <c r="D286" s="92" t="inlineStr">
        <is>
          <t>RGL_KCCA_APPROVAL_REQ_BOOL</t>
        </is>
      </c>
      <c r="E286" s="90" t="inlineStr">
        <is>
          <t>YESNO</t>
        </is>
      </c>
      <c r="F286" s="91" t="inlineStr">
        <is>
          <t>KCCA planning approval required</t>
        </is>
      </c>
      <c r="G286" s="91" t="inlineStr">
        <is>
          <t>RGL_CMPL</t>
        </is>
      </c>
    </row>
    <row r="287" ht="15" customHeight="1">
      <c r="A287" s="90" t="n">
        <v>285</v>
      </c>
      <c r="B287" s="91" t="inlineStr">
        <is>
          <t>ALL SHEETS</t>
        </is>
      </c>
      <c r="C287" s="91" t="inlineStr">
        <is>
          <t>Regulatory Compliance</t>
        </is>
      </c>
      <c r="D287" s="92" t="inlineStr">
        <is>
          <t>RGL_NEMA_APPROVAL_REQ_BOOL</t>
        </is>
      </c>
      <c r="E287" s="90" t="inlineStr">
        <is>
          <t>YESNO</t>
        </is>
      </c>
      <c r="F287" s="91" t="inlineStr">
        <is>
          <t>NEMA environmental approval required</t>
        </is>
      </c>
      <c r="G287" s="91" t="inlineStr">
        <is>
          <t>RGL_CMPL</t>
        </is>
      </c>
    </row>
    <row r="288" ht="15" customHeight="1">
      <c r="A288" s="90" t="n">
        <v>286</v>
      </c>
      <c r="B288" s="91" t="inlineStr">
        <is>
          <t>ALL SHEETS</t>
        </is>
      </c>
      <c r="C288" s="91" t="inlineStr">
        <is>
          <t>Regulatory Compliance</t>
        </is>
      </c>
      <c r="D288" s="92" t="inlineStr">
        <is>
          <t>RGL_NWSC_APPROVAL_BOOL</t>
        </is>
      </c>
      <c r="E288" s="90" t="inlineStr">
        <is>
          <t>YESNO</t>
        </is>
      </c>
      <c r="F288" s="91" t="inlineStr">
        <is>
          <t>NWSC water connection approval</t>
        </is>
      </c>
      <c r="G288" s="91" t="inlineStr">
        <is>
          <t>RGL_CMPL</t>
        </is>
      </c>
    </row>
    <row r="289" ht="15" customHeight="1">
      <c r="A289" s="90" t="n">
        <v>287</v>
      </c>
      <c r="B289" s="91" t="inlineStr">
        <is>
          <t>ALL SHEETS</t>
        </is>
      </c>
      <c r="C289" s="91" t="inlineStr">
        <is>
          <t>Regulatory Compliance</t>
        </is>
      </c>
      <c r="D289" s="92" t="inlineStr">
        <is>
          <t>RGL_UMEME_APPROVAL_BOOL</t>
        </is>
      </c>
      <c r="E289" s="90" t="inlineStr">
        <is>
          <t>YESNO</t>
        </is>
      </c>
      <c r="F289" s="91" t="inlineStr">
        <is>
          <t>UMEME electrical connection approval</t>
        </is>
      </c>
      <c r="G289" s="91" t="inlineStr">
        <is>
          <t>RGL_CMPL</t>
        </is>
      </c>
    </row>
    <row r="290" ht="15" customHeight="1">
      <c r="A290" s="90" t="n">
        <v>288</v>
      </c>
      <c r="B290" s="91" t="inlineStr">
        <is>
          <t>ALL SHEETS</t>
        </is>
      </c>
      <c r="C290" s="91" t="inlineStr">
        <is>
          <t>Regulatory Compliance</t>
        </is>
      </c>
      <c r="D290" s="92" t="inlineStr">
        <is>
          <t>RGL_QA_CERTIFICATION_TXT</t>
        </is>
      </c>
      <c r="E290" s="90" t="inlineStr">
        <is>
          <t>TEXT</t>
        </is>
      </c>
      <c r="F290" s="91" t="inlineStr">
        <is>
          <t>QA certification reference</t>
        </is>
      </c>
      <c r="G290" s="91" t="inlineStr">
        <is>
          <t>RGL_CMPL</t>
        </is>
      </c>
    </row>
    <row r="291" ht="15" customHeight="1">
      <c r="A291" s="90" t="n">
        <v>289</v>
      </c>
      <c r="B291" s="91" t="inlineStr">
        <is>
          <t>ALL SHEETS</t>
        </is>
      </c>
      <c r="C291" s="91" t="inlineStr">
        <is>
          <t>Regulatory Compliance</t>
        </is>
      </c>
      <c r="D291" s="92" t="inlineStr">
        <is>
          <t>RGL_QA_COMMISSIONING_REQ_TXT</t>
        </is>
      </c>
      <c r="E291" s="90" t="inlineStr">
        <is>
          <t>TEXT</t>
        </is>
      </c>
      <c r="F291" s="91" t="inlineStr">
        <is>
          <t>Commissioning requirements</t>
        </is>
      </c>
      <c r="G291" s="91" t="inlineStr">
        <is>
          <t>RGL_CMPL</t>
        </is>
      </c>
    </row>
    <row r="292" ht="15" customHeight="1">
      <c r="A292" s="90" t="n">
        <v>290</v>
      </c>
      <c r="B292" s="91" t="inlineStr">
        <is>
          <t>ALL SHEETS</t>
        </is>
      </c>
      <c r="C292" s="91" t="inlineStr">
        <is>
          <t>Regulatory Compliance</t>
        </is>
      </c>
      <c r="D292" s="92" t="inlineStr">
        <is>
          <t>RGL_OCCUPANCY_CERT_REQ_BOOL</t>
        </is>
      </c>
      <c r="E292" s="90" t="inlineStr">
        <is>
          <t>YESNO</t>
        </is>
      </c>
      <c r="F292" s="91" t="inlineStr">
        <is>
          <t>Occupancy certificate required</t>
        </is>
      </c>
      <c r="G292" s="91" t="inlineStr">
        <is>
          <t>RGL_CMPL</t>
        </is>
      </c>
    </row>
    <row r="294" ht="70" customHeight="1">
      <c r="A294" s="93" t="inlineStr">
        <is>
          <t>HOW STINGTOOLS USES THESE PARAMETERS:
  1. EXPORT: Stingtools reads each BIM element's shared parameters and populates the matching BOQ column (Col E = Quantity, Col F = Unit Rate, Col J = Amount, Col K = Notes, Col L = STING Tag).
  2. MATERIAL SCHEDULE: Cols B–Q map 1-to-1 with MAT_INFO and ASS_MNG parameter groups.
  3. RATE LIBRARY: Col D Unit Rates map to CST_UNIT_PRICE_* parameters for UGX market rates.
  4. PROJECT INFO: All PRJ_INFORMATION group parameters populate the cover sheet title block fields.
  5. All CURRENCY values are Uganda Shillings (UGX) unless the parameter name contains _USD.
  6. YESNO parameters (bool) export as TRUE/FALSE and control conditional formatting on BOQ rows.</t>
        </is>
      </c>
    </row>
  </sheetData>
  <mergeCells count="2">
    <mergeCell ref="A294:G29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2026-03-01T14:56:02Z</dcterms:created>
  <dcterms:modified xmlns:dcterms="http://purl.org/dc/terms/" xmlns:xsi="http://www.w3.org/2001/XMLSchema-instance" xsi:type="dcterms:W3CDTF">2026-03-01T15:23:37Z</dcterms:modified>
</cp:coreProperties>
</file>