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COVER" sheetId="1" state="visible" r:id="rId3"/>
    <sheet name="01-CATEGORY-GAP-ANALYSIS" sheetId="2" state="visible" r:id="rId4"/>
    <sheet name="02-WARNING-THRESHOLDS" sheetId="3" state="visible" r:id="rId5"/>
    <sheet name="03-TAG-CONTAINER-ARCH" sheetId="4" state="visible" r:id="rId6"/>
    <sheet name="04-BOQ-AUTOMATION-MAP" sheetId="5" state="visible" r:id="rId7"/>
    <sheet name="05-NEW-PARAMETERS-v4.2" sheetId="6" state="visible" r:id="rId8"/>
    <sheet name="06-VALIDATION-CHECKLIST" sheetId="7" state="visible" r:id="rId9"/>
    <sheet name="07-PARA-ENGINE-UNIFIED" sheetId="8" state="visible" r:id="rId10"/>
    <sheet name="08-BOQ-TEMPLATE-SCHEDUL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<sst xmlns="http://schemas.openxmlformats.org/spreadsheetml/2006/main" count="4026" uniqueCount="2130">
  <si>
    <t xml:space="preserve">REVIT TAG AUTOMATION GUIDE v4.3</t>
  </si>
  <si>
    <t xml:space="preserve">ISO 19650 compliant  |  STING Tools (C# / WPF)  |  Paragraph engine + warning thresholds + BOQ automation + all-category coverage</t>
  </si>
  <si>
    <t xml:space="preserve">KEY CHANGES v4.1 to v4.2</t>
  </si>
  <si>
    <t xml:space="preserve">All-category gap analysis</t>
  </si>
  <si>
    <t xml:space="preserve">27 uncovered categories identified, mapped, and assigned paragraph containers. v4.1 covered 20 of 47.</t>
  </si>
  <si>
    <t xml:space="preserve">Warning/threshold visibility</t>
  </si>
  <si>
    <t xml:space="preserve">Standards-based range checking for 34 measurable parameters. Tag auto-appends warning text when value exceeds IEC/BS/UNBS/KCCA limits.</t>
  </si>
  <si>
    <t xml:space="preserve">3-state paragraph engine</t>
  </si>
  <si>
    <t xml:space="preserve">TAG_PARA_STATE_1/2/3_BOOL control compact/standard/comprehensive depth. if(&lt;&gt;"") gating for graceful degradation.</t>
  </si>
  <si>
    <t xml:space="preserve">BOQ automation mapping</t>
  </si>
  <si>
    <t xml:space="preserve">Natural-language BOQ descriptions from Revit schedule calculated values. Prefix/suffix token patterns for 8 BOQ bill types (Arch, Elec, Mech, HVAC, Fire, Plumbing, ICT, Lift).</t>
  </si>
  <si>
    <t xml:space="preserve">New paragraph containers</t>
  </si>
  <si>
    <t xml:space="preserve">15 new discipline-specific containers added (Plumbing Fixtures, Conduits, Cable Trays, Curtain Panels, Stairs, Ramps, Furniture, Casework, Duct Accessories, Pipe Accessories, Communication/Data/Security/Telephone/Nurse Call Devices, Structural Foundations).</t>
  </si>
  <si>
    <t xml:space="preserve">Material paragraph tags</t>
  </si>
  <si>
    <t xml:space="preserve">10 material paragraphs from v4.1 retained and cross-referenced.</t>
  </si>
  <si>
    <t xml:space="preserve">BOQ template schedules</t>
  </si>
  <si>
    <t xml:space="preserve">Standard Ugandan BOQ structure mapped to Revit schedule fields for Arch/Str and MEP templates.</t>
  </si>
  <si>
    <t xml:space="preserve">v4.3 | 20260301</t>
  </si>
  <si>
    <t xml:space="preserve">v4.3 amendment (28-Feb-2026): Tag 7 paragraph engine supersedes 3-paragraph plan — all TAG 7 configurations unified into single sheet 07. Sheet 08: BOQ Automation Map merged &amp; expanded. Sheet 09: PPDA BOQ Template Schedules (full Arch/Str/MEP). Sheet 03 updated: FUNC token confirmed in T1 source pool.</t>
  </si>
  <si>
    <t xml:space="preserve">v4.3 amendment: Sheet 07 superseded with unified Tag 7 paragraph engine (3-paragraph plan DEPRECATED). Sheet 08 BOQ Template Schedules added — 9 bills, 35+ schedule definitions, full Uganda PPDA Arch/STR/MEP coverage. Date: 01-Mar-2026</t>
  </si>
  <si>
    <t xml:space="preserve">ALL-CATEGORY COVERAGE GAP ANALYSIS v4.2  |  47 categories, 1030 parameters</t>
  </si>
  <si>
    <t xml:space="preserve">Category</t>
  </si>
  <si>
    <t xml:space="preserve">Discipline</t>
  </si>
  <si>
    <t xml:space="preserve">v4.1 covered?</t>
  </si>
  <si>
    <t xml:space="preserve">v4.1 tag container</t>
  </si>
  <si>
    <t xml:space="preserve">v4.1 T7 paragraph</t>
  </si>
  <si>
    <t xml:space="preserve">Total bindings</t>
  </si>
  <si>
    <t xml:space="preserve">Useful params</t>
  </si>
  <si>
    <t xml:space="preserve">Key param prefixes (discipline-specific)</t>
  </si>
  <si>
    <t xml:space="preserve">v4.2 proposed T7 container</t>
  </si>
  <si>
    <t xml:space="preserve">v4.2 formula source params</t>
  </si>
  <si>
    <t xml:space="preserve">v4.2 paragraph template</t>
  </si>
  <si>
    <t xml:space="preserve">BOQ bill mapping</t>
  </si>
  <si>
    <t xml:space="preserve">Warning params available</t>
  </si>
  <si>
    <t xml:space="preserve">Priority</t>
  </si>
  <si>
    <t xml:space="preserve">Notes</t>
  </si>
  <si>
    <t xml:space="preserve">TIER 1/2 — UNIVERSAL (covered v4.1)</t>
  </si>
  <si>
    <t xml:space="preserve">Walls</t>
  </si>
  <si>
    <t xml:space="preserve">ARCH</t>
  </si>
  <si>
    <t xml:space="preserve">ASS_TAG_1-6</t>
  </si>
  <si>
    <t xml:space="preserve">ARCH_TAG_7_PARA_WALL_TXT</t>
  </si>
  <si>
    <t xml:space="preserve">BLE_WALL_(13), PER_THERM_(8), CST_S_(65)</t>
  </si>
  <si>
    <t xml:space="preserve">—</t>
  </si>
  <si>
    <t xml:space="preserve">Bill No.3 Arch</t>
  </si>
  <si>
    <t xml:space="preserve">PER_THERM_U_VALUE, BLE_WALL_THICKNESS_MM</t>
  </si>
  <si>
    <t xml:space="preserve">IMMEDIATE</t>
  </si>
  <si>
    <t xml:space="preserve">Fully covered v4.1</t>
  </si>
  <si>
    <t xml:space="preserve">Floors</t>
  </si>
  <si>
    <t xml:space="preserve">ARCH_TAG_7_PARA_FLOOR_TXT</t>
  </si>
  <si>
    <t xml:space="preserve">BLE_FLR_(9), PER_THERM_(8), CST_S_(65)</t>
  </si>
  <si>
    <t xml:space="preserve">PER_THERM_U_VALUE, BLE_FLR_THICKNESS_MM</t>
  </si>
  <si>
    <t xml:space="preserve">Doors</t>
  </si>
  <si>
    <t xml:space="preserve">ARCH_TAG_7_PARA_DOOR_TXT</t>
  </si>
  <si>
    <t xml:space="preserve">BLE_DOOR_(9), FLS_PROT_(3)</t>
  </si>
  <si>
    <t xml:space="preserve">BLE_DOOR_WIDTH_MM, FLS_PROT_FLS_RESISTANCE_RATING</t>
  </si>
  <si>
    <t xml:space="preserve">Windows</t>
  </si>
  <si>
    <t xml:space="preserve">ARCH_TAG_7_PARA_WIN_TXT</t>
  </si>
  <si>
    <t xml:space="preserve">BLE_WINDOW_(8), PER_THERM_(8)</t>
  </si>
  <si>
    <t xml:space="preserve">BLE_WINDOW_U_VALUE, BLE_WINDOW_SOLAR_HEAT_GAIN</t>
  </si>
  <si>
    <t xml:space="preserve">Rooms</t>
  </si>
  <si>
    <t xml:space="preserve">ARCH_TAG_7_PARA_ROOM_TXT</t>
  </si>
  <si>
    <t xml:space="preserve">BLE_ROOM_(2), ASS_ROOM_(3), ASS_DESIGN_(2)</t>
  </si>
  <si>
    <t xml:space="preserve">N/A</t>
  </si>
  <si>
    <t xml:space="preserve">ASS_DESIGN_LTG_LVL_LUX_NR, ASS_ROOM_AREA_SQ_M</t>
  </si>
  <si>
    <t xml:space="preserve">Ceilings</t>
  </si>
  <si>
    <t xml:space="preserve">MAT paragraphs</t>
  </si>
  <si>
    <t xml:space="preserve">CST_S_(65), PER_THERM_(8), PER_ACOUSTICS_(6)</t>
  </si>
  <si>
    <t xml:space="preserve">PER_ACOUSTICS_BACKGROUND_NOISE_DB</t>
  </si>
  <si>
    <t xml:space="preserve">HIGH</t>
  </si>
  <si>
    <t xml:space="preserve">Material paragraphs only in v4.1</t>
  </si>
  <si>
    <t xml:space="preserve">Roofs</t>
  </si>
  <si>
    <t xml:space="preserve">CST_S_(65), PER_THERM_(8)</t>
  </si>
  <si>
    <t xml:space="preserve">PER_THERM_U_VALUE</t>
  </si>
  <si>
    <t xml:space="preserve">Structural Columns</t>
  </si>
  <si>
    <t xml:space="preserve">STR</t>
  </si>
  <si>
    <t xml:space="preserve">STR_TAG_7_PARA_COL_TXT</t>
  </si>
  <si>
    <t xml:space="preserve">BLE_STRUCT_(13), CST_S_(29), STR_CONC_(1)</t>
  </si>
  <si>
    <t xml:space="preserve">Bill No.3 Arch/Str</t>
  </si>
  <si>
    <t xml:space="preserve">BLE_STRUCT_CONCRETE_GRADE_TXT</t>
  </si>
  <si>
    <t xml:space="preserve">Structural Framing</t>
  </si>
  <si>
    <t xml:space="preserve">STR_TAG_7_PARA_BEAM_TXT</t>
  </si>
  <si>
    <t xml:space="preserve">BLE_STRUCT_(13), CST_S_(29), STR_STEEL_(1)</t>
  </si>
  <si>
    <t xml:space="preserve">BLE_STRUCT_STEEL_GRADE_TXT</t>
  </si>
  <si>
    <t xml:space="preserve">Mechanical Equipment</t>
  </si>
  <si>
    <t xml:space="preserve">HVAC</t>
  </si>
  <si>
    <t xml:space="preserve">HVC_EQP_TAG_01-03</t>
  </si>
  <si>
    <t xml:space="preserve">HVC_TAG_7_PARA_SPEC_TXT</t>
  </si>
  <si>
    <t xml:space="preserve">HVC_CAP_(2), HVC_PWR_(1), HVC_EFF_(1), HVC_REFRIGERANT_(1)</t>
  </si>
  <si>
    <t xml:space="preserve">Bill No.7 HVAC</t>
  </si>
  <si>
    <t xml:space="preserve">HVC_CAP_KW, HVC_EFF_RATIO_NR, HVC_PWR_KW</t>
  </si>
  <si>
    <t xml:space="preserve">Ducts</t>
  </si>
  <si>
    <t xml:space="preserve">HVC_DCT_TAG_01-02</t>
  </si>
  <si>
    <t xml:space="preserve">HVC_TAG_7_PARA_DUCT_TXT</t>
  </si>
  <si>
    <t xml:space="preserve">HVC_DCT_(10), HVC_DUCT_(4)</t>
  </si>
  <si>
    <t xml:space="preserve">HVC_DCT_FLW_CFM, HVC_VEL_MPS</t>
  </si>
  <si>
    <t xml:space="preserve">Duct Fittings</t>
  </si>
  <si>
    <t xml:space="preserve">HVC_DCT_(10)</t>
  </si>
  <si>
    <t xml:space="preserve">N/A (fittings counted)</t>
  </si>
  <si>
    <t xml:space="preserve">Shared with Ducts</t>
  </si>
  <si>
    <t xml:space="preserve">Air Terminals</t>
  </si>
  <si>
    <t xml:space="preserve">HVC_DCT_TAG_03</t>
  </si>
  <si>
    <t xml:space="preserve">HVC_TAG_7_PARA_AT_TXT</t>
  </si>
  <si>
    <t xml:space="preserve">HVC_DCT_(10), HVC_TERMINAL_(4)</t>
  </si>
  <si>
    <t xml:space="preserve">HVC_DCT_TERMINAL_SOUND_DB_NR</t>
  </si>
  <si>
    <t xml:space="preserve">Electrical Equipment</t>
  </si>
  <si>
    <t xml:space="preserve">ELEC</t>
  </si>
  <si>
    <t xml:space="preserve">ELC_EQP_TAG_01-02</t>
  </si>
  <si>
    <t xml:space="preserve">ELC_TAG_7_PARA_PANEL_TXT</t>
  </si>
  <si>
    <t xml:space="preserve">ELC_PNL_(11), ELC_CBL_(12), ELC_CKT_(8)</t>
  </si>
  <si>
    <t xml:space="preserve">Bill No.4 Elec</t>
  </si>
  <si>
    <t xml:space="preserve">ELC_PNL_CONNECTED_LOAD_KW, ELC_VLT_DROP_PCT</t>
  </si>
  <si>
    <t xml:space="preserve">Lighting Fixtures</t>
  </si>
  <si>
    <t xml:space="preserve">LTG_FIX_TAG_01-02</t>
  </si>
  <si>
    <t xml:space="preserve">LTG_TAG_7_PARA_SPEC_TXT</t>
  </si>
  <si>
    <t xml:space="preserve">LTG_FIX_(2), LTG_CLR_(2), LTG_EFFICACY_(1)</t>
  </si>
  <si>
    <t xml:space="preserve">LTG_FIX_LMP_WATTAGE_W, LTG_EFFICACY_LM_W</t>
  </si>
  <si>
    <t xml:space="preserve">Electrical Fixtures</t>
  </si>
  <si>
    <t xml:space="preserve">ELE_FIX_TAG_1-2</t>
  </si>
  <si>
    <t xml:space="preserve">ELC_TAG_7_PARA_CIRCUIT_TXT</t>
  </si>
  <si>
    <t xml:space="preserve">ELC_CKT_(8), ELC_CBL_(12)</t>
  </si>
  <si>
    <t xml:space="preserve">ELC_VLT_DROP_PCT</t>
  </si>
  <si>
    <t xml:space="preserve">Pipes</t>
  </si>
  <si>
    <t xml:space="preserve">PLM</t>
  </si>
  <si>
    <t xml:space="preserve">PLM_EQP_TAG_01-02</t>
  </si>
  <si>
    <t xml:space="preserve">PLM_TAG_7_PARA_PIPE_TXT</t>
  </si>
  <si>
    <t xml:space="preserve">PLM_PPE_(10), PLM_DRN_(24), PLM_VLV_(8)</t>
  </si>
  <si>
    <t xml:space="preserve">Bill No.5 Mech</t>
  </si>
  <si>
    <t xml:space="preserve">PLM_PPE_FLW_LPS, PLM_VEL_MPS</t>
  </si>
  <si>
    <t xml:space="preserve">Pipe Fittings</t>
  </si>
  <si>
    <t xml:space="preserve">PLM_EQP_TAG_01</t>
  </si>
  <si>
    <t xml:space="preserve">PLM_PPE_(10)</t>
  </si>
  <si>
    <t xml:space="preserve">Shared with Pipes</t>
  </si>
  <si>
    <t xml:space="preserve">Fire Alarm Devices</t>
  </si>
  <si>
    <t xml:space="preserve">FLS</t>
  </si>
  <si>
    <t xml:space="preserve">FLS_DEV_TAG_01</t>
  </si>
  <si>
    <t xml:space="preserve">FLS_TAG_7_PARA_FA_TXT</t>
  </si>
  <si>
    <t xml:space="preserve">FLS_SFTY_(11)</t>
  </si>
  <si>
    <t xml:space="preserve">FLS_SFTY_COVERAGE_AREA_SQ_M</t>
  </si>
  <si>
    <t xml:space="preserve">Sprinklers</t>
  </si>
  <si>
    <t xml:space="preserve">FLS_DEV_TAG_02</t>
  </si>
  <si>
    <t xml:space="preserve">FLS_TAG_7_PARA_SPR_TXT</t>
  </si>
  <si>
    <t xml:space="preserve">FLS_SFTY_(11), FLS_PROT_(3)</t>
  </si>
  <si>
    <t xml:space="preserve">Bill No.6 Fire</t>
  </si>
  <si>
    <t xml:space="preserve">FLS_SFTY_TEMP_RATING_C, FLS_SFTY_FLW_RATE_LPM_NR</t>
  </si>
  <si>
    <t xml:space="preserve">CATEGORIES REQUIRING NEW v4.2 COVERAGE</t>
  </si>
  <si>
    <t xml:space="preserve">Plumbing Fixtures</t>
  </si>
  <si>
    <t xml:space="preserve">ASS_TAG_1-6 only</t>
  </si>
  <si>
    <t xml:space="preserve">NONE</t>
  </si>
  <si>
    <t xml:space="preserve">PLM_DRN_(24), PLM_VLV_(8), PLM_PPE_(10), PLM_HOTWTR_(6)</t>
  </si>
  <si>
    <t xml:space="preserve">PLM_TAG_7_PARA_FIXTURE_TXT</t>
  </si>
  <si>
    <t xml:space="preserve">ASS_DESCRIPTION+PLM_PPE_MAT+PLM_PPE_SZ+PLM_DRN_BODY_MAT+ASS_MANUFACTURER+ASS_MODEL_NR</t>
  </si>
  <si>
    <t xml:space="preserve">"This [DESC] fixture, [MAT] body, DN[SZ]. Drain: [DRN_MAT] with [TRAP]. By [MFR] model [MDL]."</t>
  </si>
  <si>
    <t xml:space="preserve">PLM_PPE_FLW_LPS, PLM_PSR_KPA</t>
  </si>
  <si>
    <t xml:space="preserve">HIGH-VALUE GAP: 357 useful params, sanitary fixtures in every BOQ</t>
  </si>
  <si>
    <t xml:space="preserve">Plumbing Equipment</t>
  </si>
  <si>
    <t xml:space="preserve">PLM_DRN_(24), PLM_VLV_(8), PLM_HOTWTR_(6), PLM_PPE_(10)</t>
  </si>
  <si>
    <t xml:space="preserve">PLM_TAG_7_PARA_EQUIPMENT_TXT</t>
  </si>
  <si>
    <t xml:space="preserve">ASS_DESCRIPTION+PLM_PWR_KW+PLM_CAP_CU_M+PLM_HED_M+ASS_MANUFACTURER+ASS_MODEL_NR</t>
  </si>
  <si>
    <t xml:space="preserve">"This [DESC], [CAP]m3 capacity, [PWR]kW, [HED]m head. By [MFR] model [MDL]."</t>
  </si>
  <si>
    <t xml:space="preserve">PLM_PWR_KW, PLM_HED_M, PLM_CAP_CU_M</t>
  </si>
  <si>
    <t xml:space="preserve">HIGH-VALUE GAP: pumps, tanks, heaters</t>
  </si>
  <si>
    <t xml:space="preserve">Conduits</t>
  </si>
  <si>
    <t xml:space="preserve">ELC_CDT_(6), ELC_CBL_(12), ELC_PNL_(9)</t>
  </si>
  <si>
    <t xml:space="preserve">ELC_TAG_7_PARA_CONDUIT_TXT</t>
  </si>
  <si>
    <t xml:space="preserve">ELC_CDT_SZ_MM+ELC_CDT_MAT+ELC_CDT_INSTALL_METHOD+ELC_CDT_CBL_FILL_PCT</t>
  </si>
  <si>
    <t xml:space="preserve">"[SZ]mm [MAT] conduit, [METHOD] installation, [FILL]% cable fill."</t>
  </si>
  <si>
    <t xml:space="preserve">ELC_CDT_CBL_FILL_PCT</t>
  </si>
  <si>
    <t xml:space="preserve">Conduit fill &gt;40% = warning</t>
  </si>
  <si>
    <t xml:space="preserve">Conduit Fittings</t>
  </si>
  <si>
    <t xml:space="preserve">ELC_CDT_(4), ELC_CBL_(12)</t>
  </si>
  <si>
    <t xml:space="preserve">(shared with Conduits)</t>
  </si>
  <si>
    <t xml:space="preserve">(shared)</t>
  </si>
  <si>
    <t xml:space="preserve">MEDIUM</t>
  </si>
  <si>
    <t xml:space="preserve">Counted, not described</t>
  </si>
  <si>
    <t xml:space="preserve">Cable Trays</t>
  </si>
  <si>
    <t xml:space="preserve">ELC_CTR_TAG_01 (T3 only)</t>
  </si>
  <si>
    <t xml:space="preserve">ELC_CTR_(5), ELC_CBL_(12), ELC_PNL_(9)</t>
  </si>
  <si>
    <t xml:space="preserve">ELC_TAG_7_PARA_TRAY_TXT</t>
  </si>
  <si>
    <t xml:space="preserve">ELC_CTR_WIDTH_MM+ELC_CTR_DEPTH_MM+ELC_CTR_MAT+ELC_CTR_FILL_PCT</t>
  </si>
  <si>
    <t xml:space="preserve">"[W]x[D]mm [MAT] cable tray, [FILL]% fill."</t>
  </si>
  <si>
    <t xml:space="preserve">ELC_CTR_FILL_PCT</t>
  </si>
  <si>
    <t xml:space="preserve">Tray fill &gt;45% = warning</t>
  </si>
  <si>
    <t xml:space="preserve">Cable Tray Fittings</t>
  </si>
  <si>
    <t xml:space="preserve">ELC_CBL_(12)</t>
  </si>
  <si>
    <t xml:space="preserve">(shared with Cable Trays)</t>
  </si>
  <si>
    <t xml:space="preserve">LOW</t>
  </si>
  <si>
    <t xml:space="preserve">Counted only</t>
  </si>
  <si>
    <t xml:space="preserve">Flex Ducts</t>
  </si>
  <si>
    <t xml:space="preserve">HVC_FLX_TAG_01 (T3 only)</t>
  </si>
  <si>
    <t xml:space="preserve">HVC_DCT_(8), HVC_DUCT_(4), HVC_TERMINAL_(4)</t>
  </si>
  <si>
    <t xml:space="preserve">HVC_TAG_7_PARA_FLEXDUCT_TXT</t>
  </si>
  <si>
    <t xml:space="preserve">HVC_DCT_MAT+HVC_DUCT_LINING+HVC_VEL_MPS</t>
  </si>
  <si>
    <t xml:space="preserve">"Flexible [MAT] duct, [LINING] lining, [VEL]m/s."</t>
  </si>
  <si>
    <t xml:space="preserve">HVC_VEL_MPS</t>
  </si>
  <si>
    <t xml:space="preserve">Flex duct velocity &gt;6m/s = warning</t>
  </si>
  <si>
    <t xml:space="preserve">Duct Accessories</t>
  </si>
  <si>
    <t xml:space="preserve">HVC_DCT_ACC_TAG_01 (T3 only)</t>
  </si>
  <si>
    <t xml:space="preserve">HVC_DCT_(10), HVC_DUCT_(4), HVC_TERMINAL_(4)</t>
  </si>
  <si>
    <t xml:space="preserve">HVC_TAG_7_PARA_DCTACC_TXT</t>
  </si>
  <si>
    <t xml:space="preserve">ASS_DESCRIPTION+HVC_DCT_MAT+HVC_CONTROL_TYPE+ASS_MANUFACTURER</t>
  </si>
  <si>
    <t xml:space="preserve">"This [DESC] accessory, [MAT]. Control: [CTRL]. By [MFR]."</t>
  </si>
  <si>
    <t xml:space="preserve">Dampers, fire dampers, attenuators</t>
  </si>
  <si>
    <t xml:space="preserve">Pipe Accessories</t>
  </si>
  <si>
    <t xml:space="preserve">PLM_VLV_(8), PLM_ACC_(3), PLM_STR_(4), PLM_EXJ_(6)</t>
  </si>
  <si>
    <t xml:space="preserve">PLM_TAG_7_PARA_PIPEACC_TXT</t>
  </si>
  <si>
    <t xml:space="preserve">ASS_DESCRIPTION+PLM_VLV_BODY_MAT+PLM_VLV_SZ+PLM_VLV_CV+PLM_PSR_KPA</t>
  </si>
  <si>
    <t xml:space="preserve">"This [DESC], [MAT] body, DN[SZ], Cv [CV], PN[PSR]bar."</t>
  </si>
  <si>
    <t xml:space="preserve">PLM_PSR_KPA, PLM_VLV_CV_NR</t>
  </si>
  <si>
    <t xml:space="preserve">Valves, strainers, expansion joints</t>
  </si>
  <si>
    <t xml:space="preserve">Curtain Panels</t>
  </si>
  <si>
    <t xml:space="preserve">BLE_FACADE_(8), BLE_WALL_(13), CST_S_(68)</t>
  </si>
  <si>
    <t xml:space="preserve">ARCH_TAG_7_PARA_FACADE_TXT</t>
  </si>
  <si>
    <t xml:space="preserve">BLE_FACADE_CLR+BLE_FACADE_FINISH+BLE_FACADE_FIX_SYSTEM+BLE_FACADE_GLASS_TYPE+PER_THERM_U_VALUE</t>
  </si>
  <si>
    <t xml:space="preserve">"[CLR] [FINISH] panel, [FIX] fixing, [GLASS]. U:[U]W/m2K."</t>
  </si>
  <si>
    <t xml:space="preserve">PER_THERM_U_VALUE_W_M2K_NR, BLE_FACADE_WTR_PENETRATION</t>
  </si>
  <si>
    <t xml:space="preserve">Facade panels + glazing</t>
  </si>
  <si>
    <t xml:space="preserve">Curtain Wall Mullions</t>
  </si>
  <si>
    <t xml:space="preserve">BLE_FACADE_(8), CST_S_(67)</t>
  </si>
  <si>
    <t xml:space="preserve">(shared with Curtain Panels)</t>
  </si>
  <si>
    <t xml:space="preserve">Shared facade paragraph</t>
  </si>
  <si>
    <t xml:space="preserve">Stairs</t>
  </si>
  <si>
    <t xml:space="preserve">BLE_STAIR_(8), CST_S_(68)</t>
  </si>
  <si>
    <t xml:space="preserve">ARCH_TAG_7_PARA_STAIR_TXT</t>
  </si>
  <si>
    <t xml:space="preserve">BLE_STAIR_MAT+BLE_STAIR_RISE_MM+BLE_STAIR_GOING_MM+BLE_STAIR_WIDTH_MM+BLE_STAIR_TREAD_FINISH</t>
  </si>
  <si>
    <t xml:space="preserve">"[MAT] stair, [RISE]mm rise, [GOING]mm going, [W]mm wide. Tread: [FINISH]. Handrail: [HR_MAT]."</t>
  </si>
  <si>
    <t xml:space="preserve">BLE_STAIR_RISE_MM, BLE_STAIR_GOING_MM, BLE_STAIR_WIDTH_MM</t>
  </si>
  <si>
    <t xml:space="preserve">Rise 150-180mm, going 250-300mm per BS 5395</t>
  </si>
  <si>
    <t xml:space="preserve">Ramps</t>
  </si>
  <si>
    <t xml:space="preserve">BLE_RAMP_(4), CST_S_(68)</t>
  </si>
  <si>
    <t xml:space="preserve">ARCH_TAG_7_PARA_RAMP_TXT</t>
  </si>
  <si>
    <t xml:space="preserve">BLE_RAMP_SLOPE_PCT+BLE_RAMP_SURFACE_FINISH+BLE_RAMP_HANDRAIL_BOTH_SIDES+RGL_ACCESS_CLEAR_WIDTH_MM</t>
  </si>
  <si>
    <t xml:space="preserve">"Ramp at [SLOPE]% gradient, [FINISH] surface. Handrails: [HR]. Clear width: [W]mm."</t>
  </si>
  <si>
    <t xml:space="preserve">BLE_RAMP_SLOPE_PCT, RGL_ACCESS_CLEAR_WIDTH_MM</t>
  </si>
  <si>
    <t xml:space="preserve">Slope max 1:12 per Uganda PWD Act 2020</t>
  </si>
  <si>
    <t xml:space="preserve">Structural Foundations</t>
  </si>
  <si>
    <t xml:space="preserve">BLE_STRUCT_(13), CST_S_(29)</t>
  </si>
  <si>
    <t xml:space="preserve">STR_TAG_7_PARA_FDN_TXT</t>
  </si>
  <si>
    <t xml:space="preserve">BLE_STRUCT_FOUNDATION_SZ+BLE_STRUCT_CONCRETE_GRADE+BLE_STRUCT_REINFORCEMENT</t>
  </si>
  <si>
    <t xml:space="preserve">"[SZ] foundation, [GRADE] concrete, reinforcement: [REINF]."</t>
  </si>
  <si>
    <t xml:space="preserve">Foundation type + grade</t>
  </si>
  <si>
    <t xml:space="preserve">Casework</t>
  </si>
  <si>
    <t xml:space="preserve">CST_S_(65), ASS_(40+), FLS_SFTY_(11)</t>
  </si>
  <si>
    <t xml:space="preserve">ARCH_TAG_7_PARA_CASEWORK_TXT</t>
  </si>
  <si>
    <t xml:space="preserve">ASS_DESCRIPTION+ASS_MANUFACTURER+ASS_MODEL_NR+ASS_CST_TOTAL_UGX_NR+MAT_EPD_REF_TXT</t>
  </si>
  <si>
    <t xml:space="preserve">"This [DESC]. By [MFR] model [MDL]. Material EPD: [EPD]."</t>
  </si>
  <si>
    <t xml:space="preserve">Kitchen/lab casework, joinery</t>
  </si>
  <si>
    <t xml:space="preserve">Furniture</t>
  </si>
  <si>
    <t xml:space="preserve">CST_S_(65), ASS_(40+)</t>
  </si>
  <si>
    <t xml:space="preserve">ARCH_TAG_7_PARA_FURNITURE_TXT</t>
  </si>
  <si>
    <t xml:space="preserve">ASS_DESCRIPTION+ASS_MANUFACTURER+ASS_MODEL_NR+ASS_CST_TOTAL_UGX_NR</t>
  </si>
  <si>
    <t xml:space="preserve">"This [DESC]. By [MFR] model [MDL]. [STATUS]."</t>
  </si>
  <si>
    <t xml:space="preserve">N/A (FF&amp;E schedule)</t>
  </si>
  <si>
    <t xml:space="preserve">FF&amp;E schedule export</t>
  </si>
  <si>
    <t xml:space="preserve">Specialty Equipment</t>
  </si>
  <si>
    <t xml:space="preserve">MULTI</t>
  </si>
  <si>
    <t xml:space="preserve">ASS_TAG_7_PARA_EQUIPMENT_TXT</t>
  </si>
  <si>
    <t xml:space="preserve">ASS_DESCRIPTION+ASS_MANUFACTURER+ASS_MODEL_NR+ASS_EQUIPMENT_TAG+ASS_SYSTEM_TYPE</t>
  </si>
  <si>
    <t xml:space="preserve">"This [DESC] ([SYS] system). By [MFR] model [MDL]. Tag: [TAG]."</t>
  </si>
  <si>
    <t xml:space="preserve">Varies by type</t>
  </si>
  <si>
    <t xml:space="preserve">Lifts, generators, ATS, etc.</t>
  </si>
  <si>
    <t xml:space="preserve">Communication Devices</t>
  </si>
  <si>
    <t xml:space="preserve">ELEC/ICT</t>
  </si>
  <si>
    <t xml:space="preserve">COM_DEV_TAG_01 (T3 only)</t>
  </si>
  <si>
    <t xml:space="preserve">COM_C_(7), ELC_CBL_(12), ELC_PNL_(11)</t>
  </si>
  <si>
    <t xml:space="preserve">COM_TAG_7_PARA_BMS_TXT</t>
  </si>
  <si>
    <t xml:space="preserve">COM_C_DEV_TYPE+COM_C_NETWORK_ADDRESS+COM_C_DEV_BACNET_INSTANCE+COM_C_DEV_CONTROLLER_NAME</t>
  </si>
  <si>
    <t xml:space="preserve">"This [TYPE] device, network [NET], BACnet [ID]. Controller: [CTRL]."</t>
  </si>
  <si>
    <t xml:space="preserve">Bill No.9 ICT</t>
  </si>
  <si>
    <t xml:space="preserve">BMS controllers, sensors</t>
  </si>
  <si>
    <t xml:space="preserve">Data Devices</t>
  </si>
  <si>
    <t xml:space="preserve">ICT_DEV_TAG_01 (T3 only)</t>
  </si>
  <si>
    <t xml:space="preserve">ICT_(4), COM_C_(7), ELC_CBL_(12)</t>
  </si>
  <si>
    <t xml:space="preserve">ICT_TAG_7_PARA_DATA_TXT</t>
  </si>
  <si>
    <t xml:space="preserve">ICT_OUTLET_TYPE+ICT_PORT_NR+ICT_PATCH_PANEL+COM_C_DEV_TYPE</t>
  </si>
  <si>
    <t xml:space="preserve">"[OUTLET] outlet, port [PORT], patch panel [PP]. Type: [TYPE]."</t>
  </si>
  <si>
    <t xml:space="preserve">Structured cabling outlets</t>
  </si>
  <si>
    <t xml:space="preserve">Telephone Devices</t>
  </si>
  <si>
    <t xml:space="preserve">(shared with Data Devices)</t>
  </si>
  <si>
    <t xml:space="preserve">VoIP / analogue</t>
  </si>
  <si>
    <t xml:space="preserve">Nurse Call Devices</t>
  </si>
  <si>
    <t xml:space="preserve">NCL_DEV_TAG_01 (T3 only)</t>
  </si>
  <si>
    <t xml:space="preserve">NCL_(3), COM_C_(7), ELC_CBL_(12)</t>
  </si>
  <si>
    <t xml:space="preserve">NCL_TAG_7_PARA_NURSECALL_TXT</t>
  </si>
  <si>
    <t xml:space="preserve">NCL_CALL_TYPE+NCL_ZONE+COM_C_DEV_TYPE+ASS_DESCRIPTION</t>
  </si>
  <si>
    <t xml:space="preserve">"[CALL_TYPE] nurse call, zone [ZONE]. Type: [TYPE]."</t>
  </si>
  <si>
    <t xml:space="preserve">PROJECT</t>
  </si>
  <si>
    <t xml:space="preserve">Healthcare only</t>
  </si>
  <si>
    <t xml:space="preserve">Security Devices</t>
  </si>
  <si>
    <t xml:space="preserve">SEC_DEV_TAG_01 (T3 only)</t>
  </si>
  <si>
    <t xml:space="preserve">SEC_DEV_(2), SEC_CBL_(1), COM_C_(7), ELC_CBL_(12)</t>
  </si>
  <si>
    <t xml:space="preserve">SEC_TAG_7_PARA_SECURITY_TXT</t>
  </si>
  <si>
    <t xml:space="preserve">SEC_DEV_ZONE+SEC_CBL_NR+COM_C_DEV_TYPE+ASS_DESCRIPTION</t>
  </si>
  <si>
    <t xml:space="preserve">"[TYPE] security device, zone [ZONE]. Cable: [CBL]."</t>
  </si>
  <si>
    <t xml:space="preserve">CCTV, access control, intrusion</t>
  </si>
  <si>
    <t xml:space="preserve">Lighting Devices</t>
  </si>
  <si>
    <t xml:space="preserve">LTG_CLR_(2), LTG_FIX_(2), LTG_EFFICACY_(1)</t>
  </si>
  <si>
    <t xml:space="preserve">(shared with Lighting Fixtures)</t>
  </si>
  <si>
    <t xml:space="preserve">LTG_FIX_LMP_WATTAGE_W</t>
  </si>
  <si>
    <t xml:space="preserve">Sensors/controls, share LTG paragraph</t>
  </si>
  <si>
    <t xml:space="preserve">EXCLUDED CATEGORIES (system/internal)</t>
  </si>
  <si>
    <t xml:space="preserve">Generic Models</t>
  </si>
  <si>
    <t xml:space="preserve">N/A (too diverse)</t>
  </si>
  <si>
    <t xml:space="preserve">All prefixes</t>
  </si>
  <si>
    <t xml:space="preserve">Catch-all: use ASS_TAG_7_PARA_IDENTITY_TXT</t>
  </si>
  <si>
    <t xml:space="preserve">Project Information</t>
  </si>
  <si>
    <t xml:space="preserve">SYS</t>
  </si>
  <si>
    <t xml:space="preserve">TAG_STYLE_*</t>
  </si>
  <si>
    <t xml:space="preserve">TAG_STYLE_(7), PRJ_(3)</t>
  </si>
  <si>
    <t xml:space="preserve">Style control params only</t>
  </si>
  <si>
    <t xml:space="preserve">Materials</t>
  </si>
  <si>
    <t xml:space="preserve">MAT_TAG_7_*</t>
  </si>
  <si>
    <t xml:space="preserve">MAT paragraphs (10)</t>
  </si>
  <si>
    <t xml:space="preserve">MAT_(46)</t>
  </si>
  <si>
    <t xml:space="preserve">10 material paragraphs in v4.1</t>
  </si>
  <si>
    <t xml:space="preserve">Electrical Circuits</t>
  </si>
  <si>
    <t xml:space="preserve">ELC_CKT_(8)</t>
  </si>
  <si>
    <t xml:space="preserve">System category, not taggable</t>
  </si>
  <si>
    <t xml:space="preserve">SUMMARY</t>
  </si>
  <si>
    <t xml:space="preserve">v4.1: 20 covered, v4.2: +27 = 47/47 (100%)</t>
  </si>
  <si>
    <t xml:space="preserve">15 new paragraph containers + 3 shared</t>
  </si>
  <si>
    <t xml:space="preserve">WARNING / THRESHOLD VISIBILITY SYSTEM v4.2  |  Standards-based range checking for Tag 7 paragraph engine</t>
  </si>
  <si>
    <t xml:space="preserve">Mechanism: calculated value in Edit Label uses if(PARAM &lt; MIN or PARAM &gt; MAX, " [!WARNING: text]", "") appended to paragraph tier. STING Tools sets threshold params from project type.</t>
  </si>
  <si>
    <t xml:space="preserve">Parameter</t>
  </si>
  <si>
    <t xml:space="preserve">Category scope</t>
  </si>
  <si>
    <t xml:space="preserve">Unit</t>
  </si>
  <si>
    <t xml:space="preserve">Standard/code</t>
  </si>
  <si>
    <t xml:space="preserve">Min threshold</t>
  </si>
  <si>
    <t xml:space="preserve">Max threshold</t>
  </si>
  <si>
    <t xml:space="preserve">Warning text (appended to tag)</t>
  </si>
  <si>
    <t xml:space="preserve">Revit formula pattern</t>
  </si>
  <si>
    <t xml:space="preserve">Severity</t>
  </si>
  <si>
    <t xml:space="preserve">THERMAL PERFORMANCE</t>
  </si>
  <si>
    <t xml:space="preserve">PER_THERM_U_VALUE_W_M2K_NR</t>
  </si>
  <si>
    <t xml:space="preserve">W/m2K</t>
  </si>
  <si>
    <t xml:space="preserve">Uganda NBC / ISO 6946</t>
  </si>
  <si>
    <t xml:space="preserve">0.70</t>
  </si>
  <si>
    <t xml:space="preserve">[!U-VALUE EXCEEDS 0.70 W/m2K]</t>
  </si>
  <si>
    <t xml:space="preserve">if(PER_THERM_U_VALUE_W_M2K_NR &gt; 0.70, " [!U &gt; 0.70]", "")</t>
  </si>
  <si>
    <t xml:space="preserve">Tropical climate: external walls. Internal walls exempt.</t>
  </si>
  <si>
    <t xml:space="preserve">Uganda NBC</t>
  </si>
  <si>
    <t xml:space="preserve">0.50</t>
  </si>
  <si>
    <t xml:space="preserve">[!U-VALUE EXCEEDS 0.50 W/m2K]</t>
  </si>
  <si>
    <t xml:space="preserve">if(PER_THERM_U_VALUE_W_M2K_NR &gt; 0.50, " [!U &gt; 0.50]", "")</t>
  </si>
  <si>
    <t xml:space="preserve">Roof U-value more restrictive than walls</t>
  </si>
  <si>
    <t xml:space="preserve">Ground floors / suspended</t>
  </si>
  <si>
    <t xml:space="preserve">BLE_WINDOW_U_VALUE_W_M_2K_NR</t>
  </si>
  <si>
    <t xml:space="preserve">IEC / ASHRAE 90.1</t>
  </si>
  <si>
    <t xml:space="preserve">3.00</t>
  </si>
  <si>
    <t xml:space="preserve">[!WINDOW U &gt; 3.00 W/m2K]</t>
  </si>
  <si>
    <t xml:space="preserve">if(BLE_WINDOW_U_VALUE_W_M_2K_NR &gt; 3.00, " [!U &gt; 3.00]", "")</t>
  </si>
  <si>
    <t xml:space="preserve">Tropical: less strict than temperate</t>
  </si>
  <si>
    <t xml:space="preserve">BLE_WINDOW_SOLAR_HEAT_GAIN_COEFFICIENT_NR</t>
  </si>
  <si>
    <t xml:space="preserve">ratio</t>
  </si>
  <si>
    <t xml:space="preserve">ASHRAE 90.1 tropical</t>
  </si>
  <si>
    <t xml:space="preserve">0.40</t>
  </si>
  <si>
    <t xml:space="preserve">[!SHGC EXCEEDS 0.40]</t>
  </si>
  <si>
    <t xml:space="preserve">if(BLE_WINDOW_SOLAR_HEAT_GAIN_COEFFICIENT_NR &gt; 0.40, " [!SHGC &gt; 0.40]", "")</t>
  </si>
  <si>
    <t xml:space="preserve">East/West facades critical</t>
  </si>
  <si>
    <t xml:space="preserve">ELECTRICAL</t>
  </si>
  <si>
    <t xml:space="preserve">Electrical Equipment, Electrical Fixtures</t>
  </si>
  <si>
    <t xml:space="preserve">%</t>
  </si>
  <si>
    <t xml:space="preserve">IEC 60364-5-52 / BS 7671</t>
  </si>
  <si>
    <t xml:space="preserve">4.0</t>
  </si>
  <si>
    <t xml:space="preserve">[!VD EXCEEDS 4%]</t>
  </si>
  <si>
    <t xml:space="preserve">if(ELC_VLT_DROP_PCT &gt; 4.0, " [!VD &gt; 4%]", "")</t>
  </si>
  <si>
    <t xml:space="preserve">CRITICAL</t>
  </si>
  <si>
    <t xml:space="preserve">Final circuit limit. Submain: 2.5%.</t>
  </si>
  <si>
    <t xml:space="preserve">IEC 60364 / BS 7671</t>
  </si>
  <si>
    <t xml:space="preserve">40</t>
  </si>
  <si>
    <t xml:space="preserve">[!CONDUIT FILL &gt; 40%]</t>
  </si>
  <si>
    <t xml:space="preserve">if(ELC_CDT_CBL_FILL_PCT &gt; 40, " [!FILL &gt; 40%]", "")</t>
  </si>
  <si>
    <t xml:space="preserve">40% for 3+ cables</t>
  </si>
  <si>
    <t xml:space="preserve">IEC 61537</t>
  </si>
  <si>
    <t xml:space="preserve">45</t>
  </si>
  <si>
    <t xml:space="preserve">[!TRAY FILL &gt; 45%]</t>
  </si>
  <si>
    <t xml:space="preserve">if(ELC_CTR_FILL_PCT &gt; 45, " [!FILL &gt; 45%]", "")</t>
  </si>
  <si>
    <t xml:space="preserve">Power cables. Data: 50% OK.</t>
  </si>
  <si>
    <t xml:space="preserve">ELC_PNL_CONNECTED_LOAD_KW</t>
  </si>
  <si>
    <t xml:space="preserve">kW</t>
  </si>
  <si>
    <t xml:space="preserve">Design practice</t>
  </si>
  <si>
    <t xml:space="preserve">(80% of panel rating)</t>
  </si>
  <si>
    <t xml:space="preserve">[!LOAD &gt; 80% PANEL CAPACITY]</t>
  </si>
  <si>
    <t xml:space="preserve">if(ELC_PNL_CONNECTED_LOAD_KW &gt; ELC_PNL_RATED_KW * 0.8, " [!OVERLOADED]", "")</t>
  </si>
  <si>
    <t xml:space="preserve">Needs ELC_PNL_RATED_KW param (new)</t>
  </si>
  <si>
    <t xml:space="preserve">ELC_PNL_SHORT_CIRCUIT_KA</t>
  </si>
  <si>
    <t xml:space="preserve">kA</t>
  </si>
  <si>
    <t xml:space="preserve">IEC 60947-2</t>
  </si>
  <si>
    <t xml:space="preserve">6</t>
  </si>
  <si>
    <t xml:space="preserve">[!FAULT LEVEL &lt; 6kA]</t>
  </si>
  <si>
    <t xml:space="preserve">if(ELC_PNL_SHORT_CIRCUIT_KA &lt; 6, " [!SC &lt; 6kA]", "")</t>
  </si>
  <si>
    <t xml:space="preserve">Minimum for MCBs</t>
  </si>
  <si>
    <t xml:space="preserve">PLUMBING / DRAINAGE</t>
  </si>
  <si>
    <t xml:space="preserve">PLM_PPE_FLW_LPS</t>
  </si>
  <si>
    <t xml:space="preserve">Pipes (hot water)</t>
  </si>
  <si>
    <t xml:space="preserve">L/s</t>
  </si>
  <si>
    <t xml:space="preserve">BS EN 806-3</t>
  </si>
  <si>
    <t xml:space="preserve">2.0</t>
  </si>
  <si>
    <t xml:space="preserve">[!FLOW &gt; 2.0 L/s]</t>
  </si>
  <si>
    <t xml:space="preserve">if(PLM_PPE_FLW_LPS &gt; 2.0, " [!FLOW &gt; 2.0]", "")</t>
  </si>
  <si>
    <t xml:space="preserve">HW recirculation limit</t>
  </si>
  <si>
    <t xml:space="preserve">PLM_VEL_MPS</t>
  </si>
  <si>
    <t xml:space="preserve">m/s</t>
  </si>
  <si>
    <t xml:space="preserve">BS EN 806-3 / CIBSE</t>
  </si>
  <si>
    <t xml:space="preserve">[!VELOCITY &gt; 2.0 m/s]</t>
  </si>
  <si>
    <t xml:space="preserve">if(PLM_VEL_MPS &gt; 2.0, " [!VEL &gt; 2.0]", "")</t>
  </si>
  <si>
    <t xml:space="preserve">Noise threshold. &gt;3.0 = erosion.</t>
  </si>
  <si>
    <t xml:space="preserve">PLM_PSR_KPA</t>
  </si>
  <si>
    <t xml:space="preserve">Pipes, Plumbing Equipment</t>
  </si>
  <si>
    <t xml:space="preserve">kPa</t>
  </si>
  <si>
    <t xml:space="preserve">NWSC supply</t>
  </si>
  <si>
    <t xml:space="preserve">150</t>
  </si>
  <si>
    <t xml:space="preserve">600</t>
  </si>
  <si>
    <t xml:space="preserve">[!PRESSURE OUT OF RANGE]</t>
  </si>
  <si>
    <t xml:space="preserve">if(or(PLM_PSR_KPA &lt; 150, PLM_PSR_KPA &gt; 600), " [!PSR]", "")</t>
  </si>
  <si>
    <t xml:space="preserve">NWSC typical 150-400 kPa</t>
  </si>
  <si>
    <t xml:space="preserve">Ducts (supply)</t>
  </si>
  <si>
    <t xml:space="preserve">CIBSE Guide B / ASHRAE</t>
  </si>
  <si>
    <t xml:space="preserve">6.0</t>
  </si>
  <si>
    <t xml:space="preserve">[!DUCT VEL &gt; 6.0 m/s]</t>
  </si>
  <si>
    <t xml:space="preserve">if(HVC_VEL_MPS &gt; 6.0, " [!VEL &gt; 6.0]", "")</t>
  </si>
  <si>
    <t xml:space="preserve">Main duct. Branch: 4.0 m/s.</t>
  </si>
  <si>
    <t xml:space="preserve">SMACNA</t>
  </si>
  <si>
    <t xml:space="preserve">[!FLEX VEL &gt; 4.0 m/s]</t>
  </si>
  <si>
    <t xml:space="preserve">if(HVC_VEL_MPS &gt; 4.0, " [!VEL &gt; 4.0]", "")</t>
  </si>
  <si>
    <t xml:space="preserve">Flex ducts more restrictive</t>
  </si>
  <si>
    <t xml:space="preserve">dB(A)</t>
  </si>
  <si>
    <t xml:space="preserve">CIBSE Guide A</t>
  </si>
  <si>
    <t xml:space="preserve">35</t>
  </si>
  <si>
    <t xml:space="preserve">[!TERMINAL NOISE &gt; 35 dB]</t>
  </si>
  <si>
    <t xml:space="preserve">if(HVC_DCT_TERMINAL_SOUND_DB_NR &gt; 35, " [!NOISE &gt; 35dB]", "")</t>
  </si>
  <si>
    <t xml:space="preserve">Office/meeting rooms. Plant: 45 dB OK.</t>
  </si>
  <si>
    <t xml:space="preserve">HVC_EFF_RATIO_NR</t>
  </si>
  <si>
    <t xml:space="preserve">COP/EER</t>
  </si>
  <si>
    <t xml:space="preserve">ASHRAE 90.1</t>
  </si>
  <si>
    <t xml:space="preserve">3.0</t>
  </si>
  <si>
    <t xml:space="preserve">[!EFFICIENCY &lt; 3.0 COP]</t>
  </si>
  <si>
    <t xml:space="preserve">if(HVC_EFF_RATIO_NR &lt; 3.0, " [!EFF &lt; 3.0]", "")</t>
  </si>
  <si>
    <t xml:space="preserve">VRF: expect 3.5+. Split: 3.0 min.</t>
  </si>
  <si>
    <t xml:space="preserve">FIRE LIFE SAFETY</t>
  </si>
  <si>
    <t xml:space="preserve">FLS_PROT_FLS_RESISTANCE_RATING_MINUTES_MIN</t>
  </si>
  <si>
    <t xml:space="preserve">Walls, Doors, Floors</t>
  </si>
  <si>
    <t xml:space="preserve">min</t>
  </si>
  <si>
    <t xml:space="preserve">BS 9999 / Uganda NBC</t>
  </si>
  <si>
    <t xml:space="preserve">30</t>
  </si>
  <si>
    <t xml:space="preserve">[!FIRE RATING &lt; 30 MIN]</t>
  </si>
  <si>
    <t xml:space="preserve">if(FLS_PROT_FLS_RESISTANCE_RATING_MINUTES_MIN &lt; 30, " [!FRR &lt; 30]", "")</t>
  </si>
  <si>
    <t xml:space="preserve">Compartment walls. Escape: 60 min.</t>
  </si>
  <si>
    <t xml:space="preserve">FLS_SFTY_TEMP_RATING_C</t>
  </si>
  <si>
    <t xml:space="preserve">degC</t>
  </si>
  <si>
    <t xml:space="preserve">BS EN 12845</t>
  </si>
  <si>
    <t xml:space="preserve">57</t>
  </si>
  <si>
    <t xml:space="preserve">79</t>
  </si>
  <si>
    <t xml:space="preserve">[!SPRINKLER TEMP OUT OF RANGE]</t>
  </si>
  <si>
    <t xml:space="preserve">if(or(FLS_SFTY_TEMP_RATING_C &lt; 57, FLS_SFTY_TEMP_RATING_C &gt; 79), " [!TEMP]", "")</t>
  </si>
  <si>
    <t xml:space="preserve">Ordinary hazard: 68C typical</t>
  </si>
  <si>
    <t xml:space="preserve">Sprinklers, Fire Alarm Devices</t>
  </si>
  <si>
    <t xml:space="preserve">m2</t>
  </si>
  <si>
    <t xml:space="preserve">BS EN 12845 / BS 5839</t>
  </si>
  <si>
    <t xml:space="preserve">21</t>
  </si>
  <si>
    <t xml:space="preserve">[!COVERAGE &gt; 21 m2]</t>
  </si>
  <si>
    <t xml:space="preserve">if(FLS_SFTY_COVERAGE_AREA_SQ_M &gt; 21, " [!AREA &gt; 21]", "")</t>
  </si>
  <si>
    <t xml:space="preserve">Ordinary hazard max 21m2/head</t>
  </si>
  <si>
    <t xml:space="preserve">ACCESSIBILITY (Uganda PWD Act 2020)</t>
  </si>
  <si>
    <t xml:space="preserve">BLE_RAMP_SLOPE_PCT</t>
  </si>
  <si>
    <t xml:space="preserve">Uganda PWD Act 2020</t>
  </si>
  <si>
    <t xml:space="preserve">8.33</t>
  </si>
  <si>
    <t xml:space="preserve">[!RAMP SLOPE &gt; 1:12 (8.33%)]</t>
  </si>
  <si>
    <t xml:space="preserve">if(BLE_RAMP_SLOPE_PCT &gt; 8.33, " [!SLOPE &gt; 1:12]", "")</t>
  </si>
  <si>
    <t xml:space="preserve">Max 1:12 gradient, 9m max run</t>
  </si>
  <si>
    <t xml:space="preserve">RGL_ACCESS_CLEAR_WIDTH_MM</t>
  </si>
  <si>
    <t xml:space="preserve">Doors, Ramps, Corridors</t>
  </si>
  <si>
    <t xml:space="preserve">mm</t>
  </si>
  <si>
    <t xml:space="preserve">900</t>
  </si>
  <si>
    <t xml:space="preserve">[!CLEAR WIDTH &lt; 900mm]</t>
  </si>
  <si>
    <t xml:space="preserve">if(RGL_ACCESS_CLEAR_WIDTH_MM &lt; 900, " [!WIDTH &lt; 900]", "")</t>
  </si>
  <si>
    <t xml:space="preserve">Wheelchair access minimum</t>
  </si>
  <si>
    <t xml:space="preserve">BLE_DOOR_WIDTH_MM</t>
  </si>
  <si>
    <t xml:space="preserve">[!DOOR WIDTH &lt; 900mm]</t>
  </si>
  <si>
    <t xml:space="preserve">if(BLE_DOOR_WIDTH_MM &lt; 900, " [!DOOR &lt; 900mm]", "")</t>
  </si>
  <si>
    <t xml:space="preserve">Accessible route doors</t>
  </si>
  <si>
    <t xml:space="preserve">STAIRS (BS 5395)</t>
  </si>
  <si>
    <t xml:space="preserve">BLE_STAIR_RISE_MM</t>
  </si>
  <si>
    <t xml:space="preserve">BS 5395-1</t>
  </si>
  <si>
    <t xml:space="preserve">190</t>
  </si>
  <si>
    <t xml:space="preserve">[!RISE OUT OF RANGE]</t>
  </si>
  <si>
    <t xml:space="preserve">if(or(BLE_STAIR_RISE_MM &lt; 150, BLE_STAIR_RISE_MM &gt; 190), " [!RISE]", "")</t>
  </si>
  <si>
    <t xml:space="preserve">Private: 150-220. Public: 150-190.</t>
  </si>
  <si>
    <t xml:space="preserve">BLE_STAIR_GOING_MM</t>
  </si>
  <si>
    <t xml:space="preserve">250</t>
  </si>
  <si>
    <t xml:space="preserve">400</t>
  </si>
  <si>
    <t xml:space="preserve">[!GOING OUT OF RANGE]</t>
  </si>
  <si>
    <t xml:space="preserve">if(or(BLE_STAIR_GOING_MM &lt; 250, BLE_STAIR_GOING_MM &gt; 400), " [!GOING]", "")</t>
  </si>
  <si>
    <t xml:space="preserve">Public stair: 250-400mm</t>
  </si>
  <si>
    <t xml:space="preserve">BLE_STAIR_WIDTH_MM</t>
  </si>
  <si>
    <t xml:space="preserve">Stairs (escape)</t>
  </si>
  <si>
    <t xml:space="preserve">1000</t>
  </si>
  <si>
    <t xml:space="preserve">[!STAIR WIDTH &lt; 1000mm]</t>
  </si>
  <si>
    <t xml:space="preserve">if(BLE_STAIR_WIDTH_MM &lt; 1000, " [!WIDTH &lt; 1000]", "")</t>
  </si>
  <si>
    <t xml:space="preserve">Escape stair min 1000mm</t>
  </si>
  <si>
    <t xml:space="preserve">ACOUSTIC</t>
  </si>
  <si>
    <t xml:space="preserve">Rooms (offices)</t>
  </si>
  <si>
    <t xml:space="preserve">CIBSE Guide A / BB93</t>
  </si>
  <si>
    <t xml:space="preserve">[!BACKGROUND NOISE &gt; 40 dB]</t>
  </si>
  <si>
    <t xml:space="preserve">if(PER_ACOUSTICS_BACKGROUND_NOISE_DB &gt; 40, " [!NOISE &gt; 40dB]", "")</t>
  </si>
  <si>
    <t xml:space="preserve">Open office: 40. Private: 35.</t>
  </si>
  <si>
    <t xml:space="preserve">ASS_DESIGN_LTG_LVL_LUX_NR</t>
  </si>
  <si>
    <t xml:space="preserve">lux</t>
  </si>
  <si>
    <t xml:space="preserve">BS EN 12464-1 / CIBSE</t>
  </si>
  <si>
    <t xml:space="preserve">300</t>
  </si>
  <si>
    <t xml:space="preserve">[!ILLUMINANCE &lt; 300 lux]</t>
  </si>
  <si>
    <t xml:space="preserve">if(ASS_DESIGN_LTG_LVL_LUX_NR &lt; 300, " [!LUX &lt; 300]", "")</t>
  </si>
  <si>
    <t xml:space="preserve">General office: 300-500 lux</t>
  </si>
  <si>
    <t xml:space="preserve">STRUCTURAL</t>
  </si>
  <si>
    <t xml:space="preserve">Str Columns, Str Framing, Str Foundations</t>
  </si>
  <si>
    <t xml:space="preserve">grade</t>
  </si>
  <si>
    <t xml:space="preserve">BS 8500 / UNBS</t>
  </si>
  <si>
    <t xml:space="preserve">[!CHECK GRADE vs EXPOSURE]</t>
  </si>
  <si>
    <t xml:space="preserve">(text comparison via lookup table)</t>
  </si>
  <si>
    <t xml:space="preserve">C25/30 min for reinforced. C30/37 for water-retaining.</t>
  </si>
  <si>
    <t xml:space="preserve">SUSTAINABILITY / ENVIRONMENT</t>
  </si>
  <si>
    <t xml:space="preserve">PER_SUST_CARBON_FOOTPRINT_KG</t>
  </si>
  <si>
    <t xml:space="preserve">Walls, Floors, Roofs</t>
  </si>
  <si>
    <t xml:space="preserve">kgCO2e/m2</t>
  </si>
  <si>
    <t xml:space="preserve">EDGE / IFC Performance</t>
  </si>
  <si>
    <t xml:space="preserve">(varies by element)</t>
  </si>
  <si>
    <t xml:space="preserve">[!EMBODIED CARBON HIGH]</t>
  </si>
  <si>
    <t xml:space="preserve">if(PER_SUST_CARBON_FOOTPRINT_KG &gt; THRESHOLD, " [!CO2]", "")</t>
  </si>
  <si>
    <t xml:space="preserve">EDGE benchmark varies by type</t>
  </si>
  <si>
    <t xml:space="preserve">TAG CONTAINER ARCHITECTURE v4.2  |  All 47 categories covered  |  Paragraph engine + warning thresholds</t>
  </si>
  <si>
    <t xml:space="preserve">TIER 1</t>
  </si>
  <si>
    <t xml:space="preserve">Universal (all 47+4 categories) — max 1 line per tag</t>
  </si>
  <si>
    <t xml:space="preserve">TIER 2</t>
  </si>
  <si>
    <t xml:space="preserve">System identity (MEP) — max 2 lines per tag</t>
  </si>
  <si>
    <t xml:space="preserve">TIER 3</t>
  </si>
  <si>
    <t xml:space="preserve">Discipline specialist — max 2 lines (3 for info-dense: DB panels, HVAC eqp, lighting)</t>
  </si>
  <si>
    <t xml:space="preserve">TAG 7</t>
  </si>
  <si>
    <t xml:space="preserve">Paragraph description — 3-state depth: compact (S1) / standard (S2) / comprehensive (S3)</t>
  </si>
  <si>
    <t xml:space="preserve">TAG 7W</t>
  </si>
  <si>
    <t xml:space="preserve">Warning append — auto-appended when threshold exceeded. Red label text.</t>
  </si>
  <si>
    <t xml:space="preserve">SUB (.1)</t>
  </si>
  <si>
    <t xml:space="preserve">Additional physical tag line from v3.1</t>
  </si>
  <si>
    <t xml:space="preserve">v4.2 NEW</t>
  </si>
  <si>
    <t xml:space="preserve">New container or warning for v4.2</t>
  </si>
  <si>
    <t xml:space="preserve">Tier</t>
  </si>
  <si>
    <t xml:space="preserve">Sub-tier / tag line</t>
  </si>
  <si>
    <t xml:space="preserve">Parameter name</t>
  </si>
  <si>
    <t xml:space="preserve">Phys. tag pos.</t>
  </si>
  <si>
    <t xml:space="preserve">Formula / content</t>
  </si>
  <si>
    <t xml:space="preserve">Key source params (verified)</t>
  </si>
  <si>
    <t xml:space="preserve">Tag family</t>
  </si>
  <si>
    <t xml:space="preserve">Lines</t>
  </si>
  <si>
    <t xml:space="preserve">Max display</t>
  </si>
  <si>
    <t xml:space="preserve">New?</t>
  </si>
  <si>
    <t xml:space="preserve">Warning integration</t>
  </si>
  <si>
    <t xml:space="preserve">TIER 1 — UNIVERSAL  |  All 47+4 categories  |  Max 1 line</t>
  </si>
  <si>
    <t xml:space="preserve">T1</t>
  </si>
  <si>
    <t xml:space="preserve">Full tag</t>
  </si>
  <si>
    <t xml:space="preserve">ASS_TAG_1_TXT</t>
  </si>
  <si>
    <t xml:space="preserve">Line 1</t>
  </si>
  <si>
    <t xml:space="preserve">All 53</t>
  </si>
  <si>
    <t xml:space="preserve">DISC-LOC-ZONE-LVL-SYS-FUNC-PROD-NUM</t>
  </si>
  <si>
    <t xml:space="preserve">8 source tokens</t>
  </si>
  <si>
    <t xml:space="preserve">PRJ_ISO_Tag.rfa</t>
  </si>
  <si>
    <t xml:space="preserve">1</t>
  </si>
  <si>
    <t xml:space="preserve">No</t>
  </si>
  <si>
    <t xml:space="preserve">Primary identity</t>
  </si>
  <si>
    <t xml:space="preserve">Short tag</t>
  </si>
  <si>
    <t xml:space="preserve">ASS_TAG_4_TXT</t>
  </si>
  <si>
    <t xml:space="preserve">[PROD]-[NUM]</t>
  </si>
  <si>
    <t xml:space="preserve">ASS_PRODCT_COD_TXT, ASS_SEQ_NUM_TXT</t>
  </si>
  <si>
    <t xml:space="preserve">Short_Tag.rfa</t>
  </si>
  <si>
    <t xml:space="preserve">Congested views</t>
  </si>
  <si>
    <t xml:space="preserve">With description</t>
  </si>
  <si>
    <t xml:space="preserve">ASS_TAG_5_TXT</t>
  </si>
  <si>
    <t xml:space="preserve">Line 1+2</t>
  </si>
  <si>
    <t xml:space="preserve">[PROD]-[NUM] + description</t>
  </si>
  <si>
    <t xml:space="preserve">PRODCT+SEQ+ASS_DESCRIPTION_TXT</t>
  </si>
  <si>
    <t xml:space="preserve">Desc_Tag.rfa</t>
  </si>
  <si>
    <t xml:space="preserve">2</t>
  </si>
  <si>
    <t xml:space="preserve">Tag 5</t>
  </si>
  <si>
    <t xml:space="preserve">Status / comments</t>
  </si>
  <si>
    <t xml:space="preserve">ASS_TAG_6_TXT</t>
  </si>
  <si>
    <t xml:space="preserve">[PROD]-[NUM] + status + comments</t>
  </si>
  <si>
    <t xml:space="preserve">PRODCT+SEQ+ASS_STATUS_TXT+PRJ_COMMENTS_TXT</t>
  </si>
  <si>
    <t xml:space="preserve">Status_Tag.rfa</t>
  </si>
  <si>
    <t xml:space="preserve">Snagging</t>
  </si>
  <si>
    <t xml:space="preserve">TIER 2 — SYSTEM IDENTITY  |  MEP categories  |  Max 2 lines</t>
  </si>
  <si>
    <t xml:space="preserve">T2</t>
  </si>
  <si>
    <t xml:space="preserve">System ID</t>
  </si>
  <si>
    <t xml:space="preserve">ASS_TAG_2_TXT</t>
  </si>
  <si>
    <t xml:space="preserve">All MEP</t>
  </si>
  <si>
    <t xml:space="preserve">[SYS]-[FUNC]-[PROD]-[NUM]</t>
  </si>
  <si>
    <t xml:space="preserve">ASS_SYSTEM_TYPE_TXT+ASS_FUNC_TXT+PRODCT+SEQ</t>
  </si>
  <si>
    <t xml:space="preserve">MEP_Sys_Tag.rfa</t>
  </si>
  <si>
    <t xml:space="preserve">Omits spatial tokens</t>
  </si>
  <si>
    <t xml:space="preserve">Install data</t>
  </si>
  <si>
    <t xml:space="preserve">ASS_TAG_3_TXT</t>
  </si>
  <si>
    <t xml:space="preserve">Line 2</t>
  </si>
  <si>
    <t xml:space="preserve">COE:FFL+[HGT]mm [MNT] Dtl:[DTL]</t>
  </si>
  <si>
    <t xml:space="preserve">MNT_HGT_MM+MNT_TYPE_TXT+ASS_INST_DETAIL_NUM_TXT</t>
  </si>
  <si>
    <t xml:space="preserve">Height / detail ref</t>
  </si>
  <si>
    <t xml:space="preserve">TAG 7 — NEW v4.2 PARAGRAPH CONTAINERS  |  Gap categories</t>
  </si>
  <si>
    <t xml:space="preserve">T7-P</t>
  </si>
  <si>
    <t xml:space="preserve">Plumb fixture para</t>
  </si>
  <si>
    <t xml:space="preserve">Para</t>
  </si>
  <si>
    <t xml:space="preserve">PLM_Fix_Para.rfa</t>
  </si>
  <si>
    <t xml:space="preserve">para</t>
  </si>
  <si>
    <t xml:space="preserve">PLM_PPE_FLW_LPS &gt; 0.15</t>
  </si>
  <si>
    <t xml:space="preserve">Sanitary fittings: WC, WHB, urinal, sink</t>
  </si>
  <si>
    <t xml:space="preserve">Plumb equip para</t>
  </si>
  <si>
    <t xml:space="preserve">PLM_Eqp_Para.rfa</t>
  </si>
  <si>
    <t xml:space="preserve">PLM_PWR_KW, PLM_HED_M</t>
  </si>
  <si>
    <t xml:space="preserve">Pumps, tanks, heaters</t>
  </si>
  <si>
    <t xml:space="preserve">Pipe accessory para</t>
  </si>
  <si>
    <t xml:space="preserve">PLM_Acc_Para.rfa</t>
  </si>
  <si>
    <t xml:space="preserve">Valves, strainers, exp joints</t>
  </si>
  <si>
    <t xml:space="preserve">T7-E</t>
  </si>
  <si>
    <t xml:space="preserve">Conduit para</t>
  </si>
  <si>
    <t xml:space="preserve">Conduits, Conduit Fittings</t>
  </si>
  <si>
    <t xml:space="preserve">ELC_Cdt_Para.rfa</t>
  </si>
  <si>
    <t xml:space="preserve">ELC_CDT_CBL_FILL_PCT &gt; 40%</t>
  </si>
  <si>
    <t xml:space="preserve">Fill warning at 40%</t>
  </si>
  <si>
    <t xml:space="preserve">Cable tray para</t>
  </si>
  <si>
    <t xml:space="preserve">Cable Trays, Cable Tray Fittings</t>
  </si>
  <si>
    <t xml:space="preserve">ELC_CT_Para.rfa</t>
  </si>
  <si>
    <t xml:space="preserve">ELC_CTR_FILL_PCT &gt; 45%</t>
  </si>
  <si>
    <t xml:space="preserve">Fill warning at 45%</t>
  </si>
  <si>
    <t xml:space="preserve">T7-H</t>
  </si>
  <si>
    <t xml:space="preserve">Flex duct para</t>
  </si>
  <si>
    <t xml:space="preserve">HVAC_FlxDuct_Para.rfa</t>
  </si>
  <si>
    <t xml:space="preserve">HVC_VEL_MPS &gt; 4.0</t>
  </si>
  <si>
    <t xml:space="preserve">Flex velocity limit lower</t>
  </si>
  <si>
    <t xml:space="preserve">Duct accessory para</t>
  </si>
  <si>
    <t xml:space="preserve">HVAC_DctAcc_Para.rfa</t>
  </si>
  <si>
    <t xml:space="preserve">Dampers, fire dampers</t>
  </si>
  <si>
    <t xml:space="preserve">T7-A</t>
  </si>
  <si>
    <t xml:space="preserve">Curtain/facade para</t>
  </si>
  <si>
    <t xml:space="preserve">Curtain Panels, Curtain Wall Mullions</t>
  </si>
  <si>
    <t xml:space="preserve">BLE_FACADE_CLR+FINISH+FIX_SYSTEM+GLASS_TYPE+PER_THERM_U_VALUE</t>
  </si>
  <si>
    <t xml:space="preserve">ARCH_Facade_Para.rfa</t>
  </si>
  <si>
    <t xml:space="preserve">PER_THERM_U_VALUE &gt; 2.20</t>
  </si>
  <si>
    <t xml:space="preserve">Curtain wall U-value</t>
  </si>
  <si>
    <t xml:space="preserve">Stair para</t>
  </si>
  <si>
    <t xml:space="preserve">"[MAT] stair, [RISE]mm rise, [GOING]mm going, [W]mm wide. Tread: [FINISH]."</t>
  </si>
  <si>
    <t xml:space="preserve">BLE_STAIR_MAT+RISE_MM+GOING_MM+WIDTH_MM+TREAD_FINISH+HANDRAIL_MAT</t>
  </si>
  <si>
    <t xml:space="preserve">ARCH_Stair_Para.rfa</t>
  </si>
  <si>
    <t xml:space="preserve">RISE 150-190, GOING 250-400, WIDTH &gt;= 1000</t>
  </si>
  <si>
    <t xml:space="preserve">BS 5395 + BS 9999 thresholds</t>
  </si>
  <si>
    <t xml:space="preserve">Ramp para</t>
  </si>
  <si>
    <t xml:space="preserve">BLE_RAMP_SLOPE_PCT+SURFACE_FINISH+HANDRAIL_BOTH_SIDES+RGL_ACCESS_CLEAR_WIDTH_MM</t>
  </si>
  <si>
    <t xml:space="preserve">ARCH_Ramp_Para.rfa</t>
  </si>
  <si>
    <t xml:space="preserve">SLOPE &gt; 8.33%, WIDTH &lt; 900mm</t>
  </si>
  <si>
    <t xml:space="preserve">T7-S</t>
  </si>
  <si>
    <t xml:space="preserve">Foundation para</t>
  </si>
  <si>
    <t xml:space="preserve">BLE_STRUCT_FOUNDATION_SZ+CONCRETE_GRADE+REINFORCEMENT</t>
  </si>
  <si>
    <t xml:space="preserve">STR_Fdn_Para.rfa</t>
  </si>
  <si>
    <t xml:space="preserve">Concrete grade check</t>
  </si>
  <si>
    <t xml:space="preserve">Foundation spec</t>
  </si>
  <si>
    <t xml:space="preserve">Casework para</t>
  </si>
  <si>
    <t xml:space="preserve">ASS_DESCRIPTION+ASS_MANUFACTURER+ASS_MODEL_NR+MAT_EPD_REF_TXT</t>
  </si>
  <si>
    <t xml:space="preserve">ARCH_Case_Para.rfa</t>
  </si>
  <si>
    <t xml:space="preserve">Kitchen/lab casework</t>
  </si>
  <si>
    <t xml:space="preserve">Furniture para</t>
  </si>
  <si>
    <t xml:space="preserve">ASS_DESCRIPTION+ASS_MANUFACTURER+ASS_MODEL_NR+ASS_STATUS_TXT</t>
  </si>
  <si>
    <t xml:space="preserve">ARCH_Furn_Para.rfa</t>
  </si>
  <si>
    <t xml:space="preserve">FF&amp;E</t>
  </si>
  <si>
    <t xml:space="preserve">T7</t>
  </si>
  <si>
    <t xml:space="preserve">Specialty equip para</t>
  </si>
  <si>
    <t xml:space="preserve">ASS_DESCRIPTION+ASS_SYSTEM_TYPE+ASS_MANUFACTURER+ASS_MODEL_NR+ASS_EQUIPMENT_TAG</t>
  </si>
  <si>
    <t xml:space="preserve">ASS_Eqp_Para.rfa</t>
  </si>
  <si>
    <t xml:space="preserve">Lifts, generators, etc.</t>
  </si>
  <si>
    <t xml:space="preserve">BMS device para</t>
  </si>
  <si>
    <t xml:space="preserve">COM_C_DEV_TYPE+NETWORK_ADDRESS+BACNET_INSTANCE+CONTROLLER_NAME</t>
  </si>
  <si>
    <t xml:space="preserve">COM_Para.rfa</t>
  </si>
  <si>
    <t xml:space="preserve">BMS controllers</t>
  </si>
  <si>
    <t xml:space="preserve">Data outlet para</t>
  </si>
  <si>
    <t xml:space="preserve">Data Devices, Telephone Devices</t>
  </si>
  <si>
    <t xml:space="preserve">"[OUTLET] outlet, port [PORT], patch panel [PP]."</t>
  </si>
  <si>
    <t xml:space="preserve">ICT_OUTLET_TYPE+ICT_PORT_NR+ICT_PATCH_PANEL</t>
  </si>
  <si>
    <t xml:space="preserve">ICT_Para.rfa</t>
  </si>
  <si>
    <t xml:space="preserve">Structured cabling</t>
  </si>
  <si>
    <t xml:space="preserve">Nurse call para</t>
  </si>
  <si>
    <t xml:space="preserve">"[CALL_TYPE] nurse call, zone [ZONE]."</t>
  </si>
  <si>
    <t xml:space="preserve">NCL_CALL_TYPE+NCL_ZONE+COM_C_DEV_TYPE</t>
  </si>
  <si>
    <t xml:space="preserve">NCL_Para.rfa</t>
  </si>
  <si>
    <t xml:space="preserve">Security para</t>
  </si>
  <si>
    <t xml:space="preserve">SEC_Para.rfa</t>
  </si>
  <si>
    <t xml:space="preserve">CCTV, access, intrusion</t>
  </si>
  <si>
    <t xml:space="preserve">BOQ AUTOMATION MAP v4.2  |  Natural-language BOQ descriptions assembled from Revit parameters using schedule calculated values</t>
  </si>
  <si>
    <t xml:space="preserve">Pattern: schedule calculated value = PREFIX + if(PARAM&lt;&gt;"", PARAM, "TBC") + SUFFIX. Assembles full BOQ item description without labels. Exported to Excel for QS pricing.</t>
  </si>
  <si>
    <t xml:space="preserve">BOQ bill</t>
  </si>
  <si>
    <t xml:space="preserve">BOQ element/section</t>
  </si>
  <si>
    <t xml:space="preserve">Revit category</t>
  </si>
  <si>
    <t xml:space="preserve">BOQ description pattern (natural language)</t>
  </si>
  <si>
    <t xml:space="preserve">Revit params -&gt; tokens</t>
  </si>
  <si>
    <t xml:space="preserve">Prefix text</t>
  </si>
  <si>
    <t xml:space="preserve">Suffix text</t>
  </si>
  <si>
    <t xml:space="preserve">Unit param</t>
  </si>
  <si>
    <t xml:space="preserve">Qty source</t>
  </si>
  <si>
    <t xml:space="preserve">Schedule name</t>
  </si>
  <si>
    <t xml:space="preserve">BOQ_DESC_FORMULA — Complete Revit Calculated Value (paste into Edit Label)</t>
  </si>
  <si>
    <t xml:space="preserve">BILL No.4 — ELECTRICAL INSTALLATIONS</t>
  </si>
  <si>
    <t xml:space="preserve">Bill 4</t>
  </si>
  <si>
    <t xml:space="preserve">Lighting points</t>
  </si>
  <si>
    <t xml:space="preserve">Lighting points wired by [CBL_TYPE] copper cables in [CDT_SZ]mm heavy gauge PVC conduit [METHOD] complete with [MFR] steel boxes and all accessories.</t>
  </si>
  <si>
    <t xml:space="preserve">ELC_CKT_CBL_TYPE_TXT, ELC_CDT_SZ_MM, ELC_CDT_INSTALL_METHOD_TXT, ASS_MANUFACTURER_TXT</t>
  </si>
  <si>
    <t xml:space="preserve">Lighting points wired by </t>
  </si>
  <si>
    <t xml:space="preserve"> complete with steel boxes and all accessories.</t>
  </si>
  <si>
    <t xml:space="preserve">NO</t>
  </si>
  <si>
    <t xml:space="preserve">Count</t>
  </si>
  <si>
    <t xml:space="preserve">BOQ-ELC-Lighting-Points</t>
  </si>
  <si>
    <t xml:space="preserve">Per floor element grouping</t>
  </si>
  <si>
    <t xml:space="preserve">"Lighting points wired by " + if(ELC_CKT_CBL_TYPE_TXT&lt;&gt;"",ELC_CKT_CBL_TYPE_TXT,"3x1.5mm² SC PVC") + " copper cables in " + if(ELC_CDT_SZ_MM&lt;&gt;"",ELC_CDT_SZ_MM+"mm","25mm") + " heavy gauge PVC " + if(ELC_CDT_INSTALL_METHOD_TXT&lt;&gt;"",ELC_CDT_INSTALL_METHOD_TXT,"concealed") + " conduit complete with " + if(ASS_MANUFACTURER_TXT&lt;&gt;"",ASS_MANUFACTURER_TXT,"MK") + " steel boxes and all accessories."</t>
  </si>
  <si>
    <t xml:space="preserve">Socket outlet points</t>
  </si>
  <si>
    <t xml:space="preserve">Socket outlet points wired as a ring by [CBL_TYPE] copper cables in [CDT_SZ]mm heavy gauge PVC [METHOD] conduit/trunking complete with boxes for sockets on trunking and all accessories.</t>
  </si>
  <si>
    <t xml:space="preserve">ELC_CKT_CBL_TYPE_TXT, ELC_CDT_SZ_MM, ELC_CDT_INSTALL_METHOD_TXT</t>
  </si>
  <si>
    <t xml:space="preserve">Socket outlet points wired as a ring by </t>
  </si>
  <si>
    <t xml:space="preserve"> complete with all accessories.</t>
  </si>
  <si>
    <t xml:space="preserve">BOQ-ELC-Socket-Points</t>
  </si>
  <si>
    <t xml:space="preserve">Ring/radial from circuit type</t>
  </si>
  <si>
    <t xml:space="preserve">"Socket outlet points wired as a ring by " + if(ELC_CKT_CBL_TYPE_TXT&lt;&gt;"",ELC_CKT_CBL_TYPE_TXT,"3x2.5mm² SC PVC") + " copper cables in " + if(ELC_CDT_SZ_MM&lt;&gt;"",ELC_CDT_SZ_MM+"mm","25mm") + " heavy gauge PVC " + if(ELC_CDT_INSTALL_METHOD_TXT&lt;&gt;"",ELC_CDT_INSTALL_METHOD_TXT,"concealed") + " conduit/trunking complete with all accessories."</t>
  </si>
  <si>
    <t xml:space="preserve">Lighting fittings</t>
  </si>
  <si>
    <t xml:space="preserve">[TYPE] [WATT]W LED [MOUNTING], [SIZE], with [CTRL] interface as [MFR] or equal approved. (Light Type [CODE])</t>
  </si>
  <si>
    <t xml:space="preserve">LTG_FIX_TYPE_CLASSIFICATION_TXT, LTG_FIX_LMP_WATTAGE_W, ASS_DESCRIPTION_TXT, ASS_MANUFACTURER_TXT</t>
  </si>
  <si>
    <t xml:space="preserve"> or equal approved.</t>
  </si>
  <si>
    <t xml:space="preserve">BOQ-ELC-Luminaires</t>
  </si>
  <si>
    <t xml:space="preserve">Group by type mark</t>
  </si>
  <si>
    <t xml:space="preserve">if(LTG_FIX_TYPE_CLASSIFICATION_TXT&lt;&gt;"",LTG_FIX_TYPE_CLASSIFICATION_TXT,"") + " " + if(LTG_FIX_LMP_WATTAGE_W&lt;&gt;"",LTG_FIX_LMP_WATTAGE_W+"W ","") + "LED luminaire " + if(ASS_DESCRIPTION_TXT&lt;&gt;"",ASS_DESCRIPTION_TXT,"") + " as " + if(ASS_MANUFACTURER_TXT&lt;&gt;"",ASS_MANUFACTURER_TXT,"approved mfr") + " or equal approved."</t>
  </si>
  <si>
    <t xml:space="preserve">Light switches</t>
  </si>
  <si>
    <t xml:space="preserve">[RATING]A [GANGS] gang [WAYS] way light switch as [MFR] or equal approved complete with all accessories.</t>
  </si>
  <si>
    <t xml:space="preserve">ELC_CKT_BRK_RATING_A, ASS_DESCRIPTION_TXT, ASS_MANUFACTURER_TXT</t>
  </si>
  <si>
    <t xml:space="preserve">BOQ-ELC-Switches</t>
  </si>
  <si>
    <t xml:space="preserve">if(ELC_CKT_BRK_RATING_A&lt;&gt;"",ELC_CKT_BRK_RATING_A+"A ","10A ") + if(ASS_DESCRIPTION_TXT&lt;&gt;"",ASS_DESCRIPTION_TXT,"1 gang 1 way ") + "light switch as " + if(ASS_MANUFACTURER_TXT&lt;&gt;"",ASS_MANUFACTURER_TXT,"MK or equal") + " complete with all accessories."</t>
  </si>
  <si>
    <t xml:space="preserve">Sockets</t>
  </si>
  <si>
    <t xml:space="preserve">[RATING]A [POLES]pin [CONFIG] switched socket outlets on wall/trunking as [MFR] or equal approved.</t>
  </si>
  <si>
    <t xml:space="preserve">ASS_DESCRIPTION_TXT, ASS_MANUFACTURER_TXT</t>
  </si>
  <si>
    <t xml:space="preserve">BOQ-ELC-Sockets</t>
  </si>
  <si>
    <t xml:space="preserve">Twin/single from type</t>
  </si>
  <si>
    <t xml:space="preserve">if(ELC_CKT_BRK_RATING_A&lt;&gt;"",ELC_CKT_BRK_RATING_A+"A ","13A ") + if(ASS_DESCRIPTION_TXT&lt;&gt;"",ASS_DESCRIPTION_TXT,"3-pin double ") + "switched socket outlet " + if(ASS_MANUFACTURER_TXT&lt;&gt;"",ASS_MANUFACTURER_TXT,"MK or equal") + " or equal approved."</t>
  </si>
  <si>
    <t xml:space="preserve">Cable trays</t>
  </si>
  <si>
    <t xml:space="preserve">Steel cable tray [WIDTH]x[DEPTH]mm fixed in cable duct complete with all accessories.</t>
  </si>
  <si>
    <t xml:space="preserve">ELC_CTR_WIDTH_MM, ELC_CTR_DEPTH_MM, ELC_CTR_MAT_TXT</t>
  </si>
  <si>
    <t xml:space="preserve">Steel cable tray </t>
  </si>
  <si>
    <t xml:space="preserve">LM</t>
  </si>
  <si>
    <t xml:space="preserve">Length</t>
  </si>
  <si>
    <t xml:space="preserve">BOQ-ELC-CableTrays</t>
  </si>
  <si>
    <t xml:space="preserve">Total length per size</t>
  </si>
  <si>
    <t xml:space="preserve">"Steel cable tray " + if(ELC_CTR_WIDTH_MM&lt;&gt;"",ELC_CTR_WIDTH_MM,"100") + "x" + if(ELC_CTR_DEPTH_MM&lt;&gt;"",ELC_CTR_DEPTH_MM,"50") + "mm complete with all fittings and accessories."</t>
  </si>
  <si>
    <t xml:space="preserve">[CDT_SZ]mm [CDT_MAT] conduit [METHOD] complete with all accessories.</t>
  </si>
  <si>
    <t xml:space="preserve">ELC_CDT_SZ_MM, ELC_CDT_MAT_TXT, ELC_CDT_INSTALL_METHOD_TXT</t>
  </si>
  <si>
    <t xml:space="preserve">BOQ-ELC-Conduits</t>
  </si>
  <si>
    <t xml:space="preserve">Group by size+material</t>
  </si>
  <si>
    <t xml:space="preserve">if(ELC_CDT_SZ_MM&lt;&gt;"",ELC_CDT_SZ_MM+"mm","25mm") + " heavy gauge PVC " + if(ELC_CDT_INSTALL_METHOD_TXT&lt;&gt;"",ELC_CDT_INSTALL_METHOD_TXT,"concealed") + " conduit complete with all accessories." + if(ELC_CDT_CBL_FILL_PCT&gt;40," [!FILL&gt;40%]","")</t>
  </si>
  <si>
    <t xml:space="preserve">DB panels</t>
  </si>
  <si>
    <t xml:space="preserve">[DESIGNATION] distribution board, [VLT]V [PHS]-phase, [WAYS] ways, [MAIN]A main breaker, [SC]kA fault level, complete with all MCBs, RCDs and accessories.</t>
  </si>
  <si>
    <t xml:space="preserve">ELC_PNL_DESIGNATION_NAME_TXT, ELC_PNL_VLT_V, ELC_PNL_PHS_COUNT_NR, ELC_PNL_NUM_OF_WAYS_NR, ELC_PNL_MAIN_BRK_A, ELC_PNL_SHORT_CIRCUIT_KA</t>
  </si>
  <si>
    <t xml:space="preserve"> complete with all MCBs, RCDs and accessories.</t>
  </si>
  <si>
    <t xml:space="preserve">BOQ-ELC-DBPanels</t>
  </si>
  <si>
    <t xml:space="preserve">1 per panel</t>
  </si>
  <si>
    <t xml:space="preserve">if(ELC_PNL_DESIGNATION_NAME_TXT&lt;&gt;"",ELC_PNL_DESIGNATION_NAME_TXT,"DB") + " distribution board, " + if(ELC_PNL_VLT_V&lt;&gt;"",ELC_PNL_VLT_V+"V ","230V ") + if(ELC_PNL_PHS_COUNT_NR&lt;&gt;"",ELC_PNL_PHS_COUNT_NR+"-phase, ","1-phase, ") + if(ELC_PNL_NUM_OF_WAYS_NR&lt;&gt;"",ELC_PNL_NUM_OF_WAYS_NR+" ways, ","? ways, ") + if(ELC_PNL_MAIN_BRK_A&lt;&gt;"",ELC_PNL_MAIN_BRK_A+"A main, ","?A main, ") + if(ELC_PNL_SHORT_CIRCUIT_KA&lt;&gt;"",ELC_PNL_SHORT_CIRCUIT_KA+"kA fault, ","") + "complete with all MCBs, RCDs and accessories." + if(ELC_PNL_CONNECTED_LOAD_KW&gt;ELC_PNL_RATED_KW*0.8," [!OVERLOADED]","") + if(ELC_PNL_SHORT_CIRCUIT_KA&lt;6," [!SC&lt;6kA]","")</t>
  </si>
  <si>
    <t xml:space="preserve">Fire alarm points</t>
  </si>
  <si>
    <t xml:space="preserve">Fire alarm [TYPE] points in [CDT_SZ]mm heavy gauge PVC [METHOD] conduit complete with all accessories.</t>
  </si>
  <si>
    <t xml:space="preserve">FLS_SFTY_DEV_TYPE_TXT, ELC_CDT_SZ_MM, ELC_CDT_INSTALL_METHOD_TXT</t>
  </si>
  <si>
    <t xml:space="preserve">Fire alarm </t>
  </si>
  <si>
    <t xml:space="preserve">BOQ-ELC-FireAlarm</t>
  </si>
  <si>
    <t xml:space="preserve">Detectors, MCPs, sounders</t>
  </si>
  <si>
    <t xml:space="preserve">"Fire alarm " + if(FLS_SFTY_DEV_TYPE_TXT&lt;&gt;"",FLS_SFTY_DEV_TYPE_TXT,"detector") + " in " + if(ELC_CDT_SZ_MM&lt;&gt;"",ELC_CDT_SZ_MM+"mm","20mm") + " PVC " + if(ELC_CDT_INSTALL_METHOD_TXT&lt;&gt;"",ELC_CDT_INSTALL_METHOD_TXT,"concealed") + " conduit complete with all accessories."</t>
  </si>
  <si>
    <t xml:space="preserve">CCTV / security</t>
  </si>
  <si>
    <t xml:space="preserve">[TYPE] points in [CDT_SZ]mm heavy gauge PVC concealed conduit/trunking complete with all accessories.</t>
  </si>
  <si>
    <t xml:space="preserve">SEC_DEV_TYPE_TXT, ELC_CDT_SZ_MM</t>
  </si>
  <si>
    <t xml:space="preserve">BOQ-ELC-Security</t>
  </si>
  <si>
    <t xml:space="preserve">CCTV, access control</t>
  </si>
  <si>
    <t xml:space="preserve">"CCTV " + if(SEC_DEV_TYPE_TXT&lt;&gt;"",SEC_DEV_TYPE_TXT,"dome camera") + " in " + if(ELC_CDT_SZ_MM&lt;&gt;"",ELC_CDT_SZ_MM+"mm","25mm") + " PVC concealed conduit, " + if(ASS_MANUFACTURER_TXT&lt;&gt;"",ASS_MANUFACTURER_TXT,"Hikvision or equal") + " complete with bracket and accessories."</t>
  </si>
  <si>
    <t xml:space="preserve">BILL No.5 — MECHANICAL INSTALLATIONS</t>
  </si>
  <si>
    <t xml:space="preserve">Bill 5</t>
  </si>
  <si>
    <t xml:space="preserve">Sanitary fittings (WC)</t>
  </si>
  <si>
    <t xml:space="preserve">[MFR_DESC] WC pan [TYPE], [COLOUR] colour, vitreous china to BS3402 with [OUTLET] outlet complete with flush valve, seat and cover and all accessories.</t>
  </si>
  <si>
    <t xml:space="preserve">ASS_DESCRIPTION_TXT, ASS_MANUFACTURER_TXT, ASS_MODEL_NR_TXT</t>
  </si>
  <si>
    <t xml:space="preserve"> and all accessories.</t>
  </si>
  <si>
    <t xml:space="preserve">BOQ-PLM-SanitaryWC</t>
  </si>
  <si>
    <t xml:space="preserve">if(ASS_MANUFACTURER_TXT&lt;&gt;"",ASS_MANUFACTURER_TXT,"Armitage Shanks or equal") + " WC pan " + if(ASS_MODEL_NR_TXT&lt;&gt;"",ASS_MODEL_NR_TXT,"") + ", " + if(ASS_DESCRIPTION_TXT&lt;&gt;"",ASS_DESCRIPTION_TXT,"white vitreous china") + ", complete with close coupled cistern, soft close seat and cover and all accessories."</t>
  </si>
  <si>
    <t xml:space="preserve">Sanitary fittings (WHB)</t>
  </si>
  <si>
    <t xml:space="preserve">[DIM] countertop vitreous china wash hand basin, with [TAPS] tap hole [WASTE] chrome plated waste, plastic bottle trap, complete with all accessories as [MFR] or equal approved.</t>
  </si>
  <si>
    <t xml:space="preserve">BOQ-PLM-SanitaryWHB</t>
  </si>
  <si>
    <t xml:space="preserve">if(ASS_DESCRIPTION_TXT&lt;&gt;"",ASS_DESCRIPTION_TXT,"600mm WHB") + " wash hand basin, " + if(ASS_MANUFACTURER_TXT&lt;&gt;"",ASS_MANUFACTURER_TXT,"or equal") + " complete with mixer tap, waste, trap and all accessories."</t>
  </si>
  <si>
    <t xml:space="preserve">PPR pipework</t>
  </si>
  <si>
    <t xml:space="preserve">[SZ]mm PPR pipe work [PN_RATING] complete with fittings.</t>
  </si>
  <si>
    <t xml:space="preserve">PLM_PPE_SZ_MM, PLM_PPE_PSR_RATING_BAR, PLM_PPE_MAT_TXT</t>
  </si>
  <si>
    <t xml:space="preserve"> complete with fittings.</t>
  </si>
  <si>
    <t xml:space="preserve">BOQ-PLM-Pipework</t>
  </si>
  <si>
    <t xml:space="preserve">Group by size + material</t>
  </si>
  <si>
    <t xml:space="preserve">if(PLM_PPE_SZ_MM&lt;&gt;"",PLM_PPE_SZ_MM+"mm ","") + if(PLM_PPE_MAT_TXT&lt;&gt;"",PLM_PPE_MAT_TXT+" ","PPR ") + "pipe " + if(PLM_PPE_PSR_RATING_BAR&lt;&gt;"",PLM_PPE_PSR_RATING_BAR+" bar rated ","") + "complete with fittings." + if(PLM_VEL_MPS&gt;2.0," [!VEL&gt;2.0]","") + if(or(PLM_PSR_KPA&lt;150,PLM_PSR_KPA&gt;600)," [!PSR]","")</t>
  </si>
  <si>
    <t xml:space="preserve">Globe valves</t>
  </si>
  <si>
    <t xml:space="preserve">[SZ]mm globe valves.</t>
  </si>
  <si>
    <t xml:space="preserve">PLM_VLV_SZ_NR</t>
  </si>
  <si>
    <t xml:space="preserve">BOQ-PLM-Valves</t>
  </si>
  <si>
    <t xml:space="preserve">Group by size + type</t>
  </si>
  <si>
    <t xml:space="preserve">if(PLM_VLV_SZ_NR&lt;&gt;"",PLM_VLV_SZ_NR+"mm ","") + if(PLM_VLV_TYPE_TXT&lt;&gt;"",PLM_VLV_TYPE_TXT,"globe valve") + "."</t>
  </si>
  <si>
    <t xml:space="preserve">Drainage pipework</t>
  </si>
  <si>
    <t xml:space="preserve">Pipes (drainage system)</t>
  </si>
  <si>
    <t xml:space="preserve">[SZ]mm PVC soil waste pipe on wall and/or in duct.</t>
  </si>
  <si>
    <t xml:space="preserve">PLM_PPE_SZ_MM, PLM_PPE_MAT_TXT</t>
  </si>
  <si>
    <t xml:space="preserve">BOQ-PLM-Drainage</t>
  </si>
  <si>
    <t xml:space="preserve">System type = drainage filter</t>
  </si>
  <si>
    <t xml:space="preserve">if(PLM_PPE_SZ_MM&lt;&gt;"",PLM_PPE_SZ_MM+"mm ","") + if(PLM_DRN_BODY_MAT_TXT&lt;&gt;"",PLM_DRN_BODY_MAT_TXT+" ","uPVC ") + "drainage pipe complete with fittings."</t>
  </si>
  <si>
    <t xml:space="preserve">Water heaters</t>
  </si>
  <si>
    <t xml:space="preserve">Pressure type under sink water heater [CAP]litres with glass lining complete with all accessories as [MFR] or equal approved.</t>
  </si>
  <si>
    <t xml:space="preserve">PLM_CAP_CU_M, ASS_MANUFACTURER_TXT</t>
  </si>
  <si>
    <t xml:space="preserve">BOQ-PLM-WaterHeater</t>
  </si>
  <si>
    <t xml:space="preserve">if(PLM_HOTWTR_CAPACITY_L&lt;&gt;"",PLM_HOTWTR_CAPACITY_L+"L ","") + if(PLM_HOTWTR_FUEL_TYPE_TXT&lt;&gt;"",PLM_HOTWTR_FUEL_TYPE_TXT+" ","electric ") + "water heater complete with PRV, thermostat and accessories as " + if(ASS_MANUFACTURER_TXT&lt;&gt;"",ASS_MANUFACTURER_TXT,"approved manufacturer") + " or equal."</t>
  </si>
  <si>
    <t xml:space="preserve">BILL No.6 — FIRE FIGHTING INSTALLATIONS</t>
  </si>
  <si>
    <t xml:space="preserve">Bill 6</t>
  </si>
  <si>
    <t xml:space="preserve">Fire extinguishers</t>
  </si>
  <si>
    <t xml:space="preserve">[TYPE] portable fire extinguisher [CAPACITY]kg as [MFR] model [MODEL] or equal approved.</t>
  </si>
  <si>
    <t xml:space="preserve">BOQ-FLS-Extinguishers</t>
  </si>
  <si>
    <t xml:space="preserve">CO2, powder, foam types</t>
  </si>
  <si>
    <t xml:space="preserve">Hose reels</t>
  </si>
  <si>
    <t xml:space="preserve">Swinging arm automatic semi-rigid hose reel [DIA]mm diameter and [LENGTH]m long to [STD] complete with all accessories as [MFR] or equal approved.</t>
  </si>
  <si>
    <t xml:space="preserve">ASS_DESCRIPTION_TXT, RGL_STD_TXT, ASS_MANUFACTURER_TXT, ASS_MODEL_NR_TXT</t>
  </si>
  <si>
    <t xml:space="preserve">BOQ-FLS-HoseReels</t>
  </si>
  <si>
    <t xml:space="preserve">Sprinkler pipework</t>
  </si>
  <si>
    <t xml:space="preserve">Pipes (sprinkler system)</t>
  </si>
  <si>
    <t xml:space="preserve">[SZ]mm Black Seamless Steel SCH40 pipe complete with all accessories.</t>
  </si>
  <si>
    <t xml:space="preserve">PLM_PPE_SZ_MM, PLM_PPE_MAT_TXT, PLM_PPE_PSR_RATING_BAR</t>
  </si>
  <si>
    <t xml:space="preserve">BOQ-FLS-Pipework</t>
  </si>
  <si>
    <t xml:space="preserve">System type = sprinkler filter</t>
  </si>
  <si>
    <t xml:space="preserve">if(PLM_PPE_SZ_MM&lt;&gt;"",PLM_PPE_SZ_MM+"mm ","") + if(PLM_PPE_MAT_TXT&lt;&gt;"",PLM_PPE_MAT_TXT+" ","black steel ") + "sprinkler distribution pipe complete with fittings."</t>
  </si>
  <si>
    <t xml:space="preserve">Sprinkler heads</t>
  </si>
  <si>
    <t xml:space="preserve">Sprinkler heads [TEMP] deg C resistant.</t>
  </si>
  <si>
    <t xml:space="preserve">Sprinkler heads </t>
  </si>
  <si>
    <t xml:space="preserve"> resistant.</t>
  </si>
  <si>
    <t xml:space="preserve">BOQ-FLS-Sprinklers</t>
  </si>
  <si>
    <t xml:space="preserve">if(FLS_SPK_TYPE_TXT&lt;&gt;"",FLS_SPK_TYPE_TXT,"Concealed pendant") + " sprinkler head " + if(FLS_SPK_ACTIVATION_TEMP_C&lt;&gt;"",FLS_SPK_ACTIVATION_TEMP_C+"°C ","68°C ") + if(FLS_SPK_COVERAGE_M2&lt;&gt;"",FLS_SPK_COVERAGE_M2+"m² coverage ","") + "complete with accessories."</t>
  </si>
  <si>
    <t xml:space="preserve">BILL No.7 — HVAC INSTALLATIONS</t>
  </si>
  <si>
    <t xml:space="preserve">Bill 7</t>
  </si>
  <si>
    <t xml:space="preserve">Indoor VRF units</t>
  </si>
  <si>
    <t xml:space="preserve">[CAP]kW ([BTU] Btu/hr) Model: [MODEL] [TYPE] AC units.</t>
  </si>
  <si>
    <t xml:space="preserve">HVC_CAP_KW, ASS_MODEL_NR_TXT, ASS_DESCRIPTION_TXT</t>
  </si>
  <si>
    <t xml:space="preserve">Supply, installation, testing and commissioning of </t>
  </si>
  <si>
    <t xml:space="preserve">BOQ-HVC-IndoorUnits</t>
  </si>
  <si>
    <t xml:space="preserve">if(ASS_MANUFACTURER_TXT&lt;&gt;"",ASS_MANUFACTURER_TXT,"VRF") + " indoor " + if(HVC_UNIT_TYPE_TXT&lt;&gt;"",HVC_UNIT_TYPE_TXT,"cassette") + " unit " + if(HVC_CAP_KW&lt;&gt;"",HVC_CAP_KW+"kW cooling, ","TBC kW, ") + "complete with drain, remote control and accessories."</t>
  </si>
  <si>
    <t xml:space="preserve">Outdoor condensing units</t>
  </si>
  <si>
    <t xml:space="preserve">Condensing unit of total cooling capacity [CAP]kW, [MODEL], Input: [PWR]kW ([PHS]Ph [VLT]V 50Hz).</t>
  </si>
  <si>
    <t xml:space="preserve">HVC_CAP_KW, ASS_MODEL_NR_TXT, HVC_PWR_KW, ELC_PNL_PHS_COUNT_NR, HVC_VLT_V</t>
  </si>
  <si>
    <t xml:space="preserve">BOQ-HVC-OutdoorUnits</t>
  </si>
  <si>
    <t xml:space="preserve">if(ASS_MANUFACTURER_TXT&lt;&gt;"",ASS_MANUFACTURER_TXT,"VRF") + " outdoor condensing unit " + if(HVC_CAP_KW&lt;&gt;"",HVC_CAP_KW+"kW cooling, ","TBC kW, ") + if(HVC_REFRIGERANT_TXT&lt;&gt;"",HVC_REFRIGERANT_TXT+" refrigerant, ","R410A, ") + if(HVC_EFF_RATIO_NR&lt;&gt;"",HVC_EFF_RATIO_NR+" COP, ","") + "complete with frame and vibration isolators."</t>
  </si>
  <si>
    <t xml:space="preserve">Refrigerant piping</t>
  </si>
  <si>
    <t xml:space="preserve">Pipes (refrigerant system)</t>
  </si>
  <si>
    <t xml:space="preserve">[SZ]mm refrigerant copper pipe.</t>
  </si>
  <si>
    <t xml:space="preserve">PLM_PPE_SZ_MM</t>
  </si>
  <si>
    <t xml:space="preserve">BOQ-HVC-RefrigPipework</t>
  </si>
  <si>
    <t xml:space="preserve">System type filter</t>
  </si>
  <si>
    <t xml:space="preserve">if(PLM_PPE_SZ_MM&lt;&gt;"",PLM_PPE_SZ_MM+"mm ","") + "copper refrigerant " + if(ASS_DESCRIPTION_TXT&lt;&gt;"",ASS_DESCRIPTION_TXT,"liquid/suction") + " pipe insulated, complete with fittings."</t>
  </si>
  <si>
    <t xml:space="preserve">Ductwork</t>
  </si>
  <si>
    <t xml:space="preserve">[CLASS]-class [MAT] duct [W]x[H]mm / DN[DIA]mm.</t>
  </si>
  <si>
    <t xml:space="preserve">HVC_DUCT_CLASS_TXT, HVC_DCT_MAT_TXT, Width, Height</t>
  </si>
  <si>
    <t xml:space="preserve">LM or SM</t>
  </si>
  <si>
    <t xml:space="preserve">Length or Area</t>
  </si>
  <si>
    <t xml:space="preserve">BOQ-HVC-Ducts</t>
  </si>
  <si>
    <t xml:space="preserve">GI, flexible, insulated</t>
  </si>
  <si>
    <t xml:space="preserve">"GMS " + if(HVC_DUCT_CLASS_TXT&lt;&gt;"",HVC_DUCT_CLASS_TXT,"Class B") + " duct " + if(HVC_DCT_SZ_W_MM&lt;&gt;"",HVC_DCT_SZ_W_MM+"W","?W") + "x" + if(HVC_DCT_SZ_H_MM&lt;&gt;"",HVC_DCT_SZ_H_MM+"H mm ","?H mm ") + "insulated complete with hangers." + if(HVC_VEL_MPS&gt;8.0," [!VEL&gt;8.0]","")</t>
  </si>
  <si>
    <t xml:space="preserve">Air terminals</t>
  </si>
  <si>
    <t xml:space="preserve">[TYPE] air terminal [SZ], [FLOW]m3/h.</t>
  </si>
  <si>
    <t xml:space="preserve">HVC_DCT_TERMINAL_TYPE_SD_RG_EG_VAV_TXT, HVC_DCT_TERMINAL_SZ_TXT, HVC_DUCT_FLOWRATE_M3H</t>
  </si>
  <si>
    <t xml:space="preserve">BOQ-HVC-AirTerminals</t>
  </si>
  <si>
    <t xml:space="preserve">Diffusers, grilles, VAV</t>
  </si>
  <si>
    <t xml:space="preserve">if(HVC_TERMINAL_TYPE_TXT&lt;&gt;"",HVC_TERMINAL_TYPE_TXT,"Supply grille") + " " + if(HVC_DCT_SZ_W_MM&lt;&gt;"",HVC_DCT_SZ_W_MM+"x","") + if(HVC_DCT_SZ_H_MM&lt;&gt;"",HVC_DCT_SZ_H_MM+"mm ","") + "complete with OBD and accessories." + if(HVC_DCT_TERMINAL_SOUND_DB_NR&gt;35," [!NOISE&gt;35dB]","")</t>
  </si>
  <si>
    <t xml:space="preserve">BILL No.3 — ARCHITECTURE / STRUCTURE</t>
  </si>
  <si>
    <t xml:space="preserve">Bill 3</t>
  </si>
  <si>
    <t xml:space="preserve">Walling</t>
  </si>
  <si>
    <t xml:space="preserve">[THK]mm thick [TYPE] wall in [MORTAR] mortar.</t>
  </si>
  <si>
    <t xml:space="preserve">BLE_WALL_THICKNESS_MM, BLE_WALL_CST_METHOD_TXT</t>
  </si>
  <si>
    <t xml:space="preserve">SM</t>
  </si>
  <si>
    <t xml:space="preserve">Area</t>
  </si>
  <si>
    <t xml:space="preserve">BOQ-ARCH-Walling</t>
  </si>
  <si>
    <t xml:space="preserve">Deduct openings separately</t>
  </si>
  <si>
    <t xml:space="preserve">if(BLE_WALL_THICKNESS_MM&lt;&gt;"",BLE_WALL_THICKNESS_MM+"mm ","") + if(BLE_WALL_TYPE_CLASSIFICATION_TXT&lt;&gt;"",BLE_WALL_TYPE_CLASSIFICATION_TXT+" ","") + if(BLE_WALL_PRIMARY_WALL_MAT_TXT&lt;&gt;"",BLE_WALL_PRIMARY_WALL_MAT_TXT+" walling ","walling ") + if(BLE_WALL_FUNCTION_TXT&lt;&gt;"","("+BLE_WALL_FUNCTION_TXT+")","") + "." + if(PER_THERM_U_VALUE_W_M2K_NR&gt;0.70," [!U&gt;0.70 W/m²K]","")</t>
  </si>
  <si>
    <t xml:space="preserve">Floor finishes</t>
  </si>
  <si>
    <t xml:space="preserve">[THK]mm [FINISH] floor finish.</t>
  </si>
  <si>
    <t xml:space="preserve">BLE_FLR_FINISH_TXT, BLE_FLR_THICKNESS_MM</t>
  </si>
  <si>
    <t xml:space="preserve">BOQ-ARCH-FloorFinishes</t>
  </si>
  <si>
    <t xml:space="preserve">By finish type</t>
  </si>
  <si>
    <t xml:space="preserve">if(BLE_FLR_MATERIAL_TXT&lt;&gt;"",BLE_FLR_MATERIAL_TXT+" ","") + if(BLE_FLR_TYPE_TXT&lt;&gt;"",BLE_FLR_TYPE_TXT+" ","") + "floor " + if(BLE_FLR_TILE_SZ_MM&lt;&gt;"",BLE_FLR_TILE_SZ_MM+"mm tile ","tiles") + "laid to falls where required."</t>
  </si>
  <si>
    <t xml:space="preserve">[W]x[H]mm [OP] door in [MAT] with [HW] hardware.</t>
  </si>
  <si>
    <t xml:space="preserve">BLE_DOOR_WIDTH_MM, BLE_DOOR_HEIGHT_MM, BLE_DOOR_OPERATION_TYPE, BLE_DOOR_MATERIAL_FINISH_TXT, BLE_DOOR_HARDWARE_SPECIFICATION_TXT</t>
  </si>
  <si>
    <t xml:space="preserve">BOQ-ARCH-Doors</t>
  </si>
  <si>
    <t xml:space="preserve">Include ironmongery set</t>
  </si>
  <si>
    <t xml:space="preserve">[W]x[H]mm [OP] [GLAZING] window.</t>
  </si>
  <si>
    <t xml:space="preserve">BLE_WINDOW_WIDTH_MM, BLE_WINDOW_HEIGHT_MM, BLE_WINDOW_OPERATION_TYPE_TXT, BLE_WINDOW_GLAZING_TYPE_TXT</t>
  </si>
  <si>
    <t xml:space="preserve">BOQ-ARCH-Windows</t>
  </si>
  <si>
    <t xml:space="preserve">Include glass spec</t>
  </si>
  <si>
    <t xml:space="preserve">if(BLE_WINDOW_OPERATION_TYPE_TXT&lt;&gt;"",BLE_WINDOW_OPERATION_TYPE_TXT+" ","") + "window " + if(BLE_WINDOW_WIDTH_MM&lt;&gt;"",BLE_WINDOW_WIDTH_MM+"W","?W") + "x" + if(BLE_WINDOW_HEIGHT_MM&lt;&gt;"",BLE_WINDOW_HEIGHT_MM+"H mm","?H mm") + ", " + if(BLE_WINDOW_GLAZING_TYPE_TXT&lt;&gt;"",BLE_WINDOW_GLAZING_TYPE_TXT+" glazed,","glazed,") + " frame: " + if(BLE_WINDOW_FRAME_MAT_TXT&lt;&gt;"",BLE_WINDOW_FRAME_MAT_TXT+",","TBC,") + " including ironmongery, mosquito screen, burglar bar." + if(BLE_WINDOW_U_VALUE_W_M_2K_NR&gt;3.0," [!U&gt;3.0]","") + if(BLE_WINDOW_SOLAR_HEAT_GAIN_COEFFICIENT_NR&gt;0.40," [!SHGC&gt;0.40]","")</t>
  </si>
  <si>
    <t xml:space="preserve">Roofing</t>
  </si>
  <si>
    <t xml:space="preserve">[TYPE] roofing complete with all accessories.</t>
  </si>
  <si>
    <t xml:space="preserve">ASS_DESCRIPTION_TXT</t>
  </si>
  <si>
    <t xml:space="preserve">BOQ-ARCH-Roofing</t>
  </si>
  <si>
    <t xml:space="preserve">Gauge, profile from type</t>
  </si>
  <si>
    <t xml:space="preserve">if(BLE_ROOF_TYPE_TXT&lt;&gt;"",BLE_ROOF_TYPE_TXT+" ","") + if(BLE_ROOF_MATERIAL_TXT&lt;&gt;"",BLE_ROOF_MATERIAL_TXT+" roofing ","roofing ") + "to " + if(BLE_ROOF_PITCH_DEG&lt;&gt;"",BLE_ROOF_PITCH_DEG+"° pitch.","as drawings.") + if(PER_THERM_U_VALUE_W_M2K_NR&gt;0.50," [!U&gt;0.50 W/m²K roof]","")</t>
  </si>
  <si>
    <t xml:space="preserve">Ceiling finishes</t>
  </si>
  <si>
    <t xml:space="preserve">[TYPE] ceiling.</t>
  </si>
  <si>
    <t xml:space="preserve">BOQ-ARCH-Ceilings</t>
  </si>
  <si>
    <t xml:space="preserve">Suspended, plastered, etc.</t>
  </si>
  <si>
    <t xml:space="preserve">[MAT] staircase [W]mm wide, [RISE]mm rise, [GOING]mm going, with [FINISH] tread finish and [HR_MAT] handrail.</t>
  </si>
  <si>
    <t xml:space="preserve">BLE_STAIR_MAT, BLE_STAIR_WIDTH_MM, BLE_STAIR_RISE_MM, BLE_STAIR_GOING_MM, BLE_STAIR_TREAD_FINISH, BLE_STAIR_HANDRAIL_MAT</t>
  </si>
  <si>
    <t xml:space="preserve">NR/FLIGHT</t>
  </si>
  <si>
    <t xml:space="preserve">BOQ-ARCH-Stairs</t>
  </si>
  <si>
    <t xml:space="preserve">RC columns</t>
  </si>
  <si>
    <t xml:space="preserve">[SZ] reinforced concrete column, [GRADE] grade.</t>
  </si>
  <si>
    <t xml:space="preserve">BLE_STRUCT_COLUMN_SZ_TXT, BLE_STRUCT_CONCRETE_GRADE_TXT</t>
  </si>
  <si>
    <t xml:space="preserve">NR</t>
  </si>
  <si>
    <t xml:space="preserve">BOQ-STR-Columns</t>
  </si>
  <si>
    <t xml:space="preserve">Links to rebar schedule</t>
  </si>
  <si>
    <t xml:space="preserve">"Grade " + if(BLE_STRUCT_CONCRETE_GRADE_TXT&lt;&gt;"",BLE_STRUCT_CONCRETE_GRADE_TXT,"C30") + " RC column " + if(ASS_DESCRIPTION_TXT&lt;&gt;"",ASS_DESCRIPTION_TXT,"as drawings") + " reinforced per BBS."</t>
  </si>
  <si>
    <t xml:space="preserve">RC beams</t>
  </si>
  <si>
    <t xml:space="preserve">[SZ] reinforced concrete beam, [GRADE] grade.</t>
  </si>
  <si>
    <t xml:space="preserve">BLE_STRUCT_BEAM_SZ_TXT, BLE_STRUCT_CONCRETE_GRADE_TXT</t>
  </si>
  <si>
    <t xml:space="preserve">BOQ-STR-Framing</t>
  </si>
  <si>
    <t xml:space="preserve">"Grade " + if(BLE_STRUCT_CONCRETE_GRADE_TXT&lt;&gt;"",BLE_STRUCT_CONCRETE_GRADE_TXT,"C30") + " RC beam " + if(ASS_DESCRIPTION_TXT&lt;&gt;"",ASS_DESCRIPTION_TXT,"as drawings") + " reinforced per BBS."</t>
  </si>
  <si>
    <t xml:space="preserve">Foundations</t>
  </si>
  <si>
    <t xml:space="preserve">[SZ] foundation in [GRADE] concrete with [REINF] reinforcement.</t>
  </si>
  <si>
    <t xml:space="preserve">BLE_STRUCT_FOUNDATION_SZ_TXT, BLE_STRUCT_CONCRETE_GRADE_TXT, BLE_STRUCT_REINFORCEMENT</t>
  </si>
  <si>
    <t xml:space="preserve">CM</t>
  </si>
  <si>
    <t xml:space="preserve">Volume</t>
  </si>
  <si>
    <t xml:space="preserve">BOQ-STR-Foundations</t>
  </si>
  <si>
    <t xml:space="preserve">Pad, strip, raft</t>
  </si>
  <si>
    <t xml:space="preserve">BILL No.9 — ICT INSTALLATIONS</t>
  </si>
  <si>
    <t xml:space="preserve">Bill 9</t>
  </si>
  <si>
    <t xml:space="preserve">Data outlets</t>
  </si>
  <si>
    <t xml:space="preserve">Cat[CAT] [TYPE] data outlet point in [CDT_SZ]mm PVC conduit complete with all accessories.</t>
  </si>
  <si>
    <t xml:space="preserve">ICT_OUTLET_TYPE_TXT, ELC_CDT_SZ_MM</t>
  </si>
  <si>
    <t xml:space="preserve">BOQ-ICT-DataOutlets</t>
  </si>
  <si>
    <t xml:space="preserve">Cat5e/Cat6/Cat6A</t>
  </si>
  <si>
    <t xml:space="preserve">"Cat " + if(ICT_CAT_RATING_TXT&lt;&gt;"",ICT_CAT_RATING_TXT,"6") + " data outlet in " + if(ELC_CDT_SZ_MM&lt;&gt;"",ELC_CDT_SZ_MM+"mm","25mm") + " PVC " + if(ELC_CDT_INSTALL_METHOD_TXT&lt;&gt;"",ELC_CDT_INSTALL_METHOD_TXT,"concealed") + " conduit, " + if(ASS_MANUFACTURER_TXT&lt;&gt;"",ASS_MANUFACTURER_TXT,"Panduit or equal") + " complete with faceplate and accessories."</t>
  </si>
  <si>
    <t xml:space="preserve">CCTV cameras</t>
  </si>
  <si>
    <t xml:space="preserve">[TYPE] CCTV camera point in [CDT_SZ]mm PVC conduit complete with all accessories.</t>
  </si>
  <si>
    <t xml:space="preserve">ASS_DESCRIPTION_TXT, ELC_CDT_SZ_MM</t>
  </si>
  <si>
    <t xml:space="preserve">[TYPE] BMS controller, [PROTOCOL], BACnet instance [ID].</t>
  </si>
  <si>
    <t xml:space="preserve">COM_C_DEV_TYPE_TXT, COM_C_NETWORK_ADDRESS_TXT, COM_C_DEV_BACNET_INSTANCE_INT</t>
  </si>
  <si>
    <t xml:space="preserve">BOQ-ICT-BMS</t>
  </si>
  <si>
    <t xml:space="preserve">if(COM_C_DEV_TYPE_TXT&lt;&gt;"",COM_C_DEV_TYPE_TXT,"BMS controller") + " BACnet/IP, instance " + if(COM_C_DEV_BACNET_INSTANCE_INT&lt;&gt;"",COM_C_DEV_BACNET_INSTANCE_INT,"?") + " complete with I/O, power supply and housing."</t>
  </si>
  <si>
    <t xml:space="preserve">[MATERIAL] [TYPE] ceiling system [MODULE]mm at [HEIGHT]mm FFL</t>
  </si>
  <si>
    <t xml:space="preserve">BLE_CEIL_MATERIAL_TXT, BLE_CEIL_TYPE_TXT, BLE_CEIL_MODULE_MM, BLE_CEIL_HEIGHT_MM</t>
  </si>
  <si>
    <t xml:space="preserve">complete with all accessories.</t>
  </si>
  <si>
    <t xml:space="preserve">m²</t>
  </si>
  <si>
    <t xml:space="preserve">Group by type mark. Acoustic warning if noise &gt; 40dB.</t>
  </si>
  <si>
    <t xml:space="preserve">[TYPE] [MATERIAL] roofing [GAUGE] to [PITCH]° pitch with all accessories</t>
  </si>
  <si>
    <t xml:space="preserve">BLE_ROOF_TYPE_TXT, BLE_ROOF_MATERIAL_TXT, BLE_ROOF_PITCH_DEG</t>
  </si>
  <si>
    <t xml:space="preserve">U-value warning for roof &gt; 0.50 W/m²K.</t>
  </si>
  <si>
    <t xml:space="preserve">RC Columns</t>
  </si>
  <si>
    <t xml:space="preserve">Grade [GRADE] RC columns [DESC], reinforced per BBS</t>
  </si>
  <si>
    <t xml:space="preserve">BLE_STRUCT_CONCRETE_GRADE_TXT, ASS_DESCRIPTION_TXT</t>
  </si>
  <si>
    <t xml:space="preserve">Grade</t>
  </si>
  <si>
    <t xml:space="preserve">reinforced per BBS.</t>
  </si>
  <si>
    <t xml:space="preserve">m³</t>
  </si>
  <si>
    <t xml:space="preserve">Group by column mark.</t>
  </si>
  <si>
    <t xml:space="preserve">Grade [GRADE] concrete foundations [THICKNESS]mm thick, reinforced per BBS</t>
  </si>
  <si>
    <t xml:space="preserve">BLE_STRUCT_CONCRETE_GRADE_TXT, BLE_STRUCT_THICKNESS_MM</t>
  </si>
  <si>
    <t xml:space="preserve">Pad, strip, raft — group by type.</t>
  </si>
  <si>
    <t xml:space="preserve">[MATERIAL] stair [RISE]R/[GOING]G mm, [WIDTH]mm wide, [TREAD] tread, [HANDRAIL] handrail</t>
  </si>
  <si>
    <t xml:space="preserve">BLE_STAIR_MAT_TXT, BLE_STAIR_RISE_MM, BLE_STAIR_GOING_MM, BLE_STAIR_WIDTH_MM, BLE_STAIR_TREAD_FINISH_TXT</t>
  </si>
  <si>
    <t xml:space="preserve">complete with handrail and balustrade.</t>
  </si>
  <si>
    <t xml:space="preserve">Flight</t>
  </si>
  <si>
    <t xml:space="preserve">Warning: rise &gt; 190 or width &lt; 1000mm.</t>
  </si>
  <si>
    <t xml:space="preserve">Access ramps</t>
  </si>
  <si>
    <t xml:space="preserve">Access ramp [SLOPE]% gradient, [SURFACE] surface, handrails both sides, [WIDTH]mm clear</t>
  </si>
  <si>
    <t xml:space="preserve">BLE_RAMP_SLOPE_PCT, BLE_RAMP_SURFACE_FINISH_TXT, RGL_ACCESS_CLEAR_WIDTH_MM</t>
  </si>
  <si>
    <t xml:space="preserve">Ramp at</t>
  </si>
  <si>
    <t xml:space="preserve">complete with handrails and nosings.</t>
  </si>
  <si>
    <t xml:space="preserve">BOQ-ARCH-Ramps</t>
  </si>
  <si>
    <t xml:space="preserve">Warning: slope &gt; 8.33%, width &lt; 900mm. Uganda PWD Act.</t>
  </si>
  <si>
    <t xml:space="preserve">Flex ducts</t>
  </si>
  <si>
    <t xml:space="preserve">[DIA]mm flexible duct [LENGTH]mm long connecting rigid duct to terminal</t>
  </si>
  <si>
    <t xml:space="preserve">HVC_DCT_FLEX_DIA_MM, HVC_DCT_FLEX_MAX_LEN_MM</t>
  </si>
  <si>
    <t xml:space="preserve">complete with clamps, max 1500mm per SMACNA.</t>
  </si>
  <si>
    <t xml:space="preserve">No.</t>
  </si>
  <si>
    <t xml:space="preserve">BOQ-HVC-FlexDucts</t>
  </si>
  <si>
    <t xml:space="preserve">Warning: length &gt; 1500mm.</t>
  </si>
  <si>
    <t xml:space="preserve">Duct accessories</t>
  </si>
  <si>
    <t xml:space="preserve">[TYPE] duct accessory [SIZE]mm including all fixings</t>
  </si>
  <si>
    <t xml:space="preserve">HVC_DCT_ACC_TYPE_TXT, HVC_DCT_SZ_W_MM</t>
  </si>
  <si>
    <t xml:space="preserve">complete with fixings and accessories.</t>
  </si>
  <si>
    <t xml:space="preserve">BOQ-HVC-DuctAcc</t>
  </si>
  <si>
    <t xml:space="preserve">Dampers, attenuators, fire dampers — group by type.</t>
  </si>
  <si>
    <t xml:space="preserve">Bill 8</t>
  </si>
  <si>
    <t xml:space="preserve">Passenger lifts</t>
  </si>
  <si>
    <t xml:space="preserve">[BRAND] [CAPACITY]kg [STOPS]-stop passenger lift [SPEED]m/s complete with all accessories</t>
  </si>
  <si>
    <t xml:space="preserve">ASS_MANUFACTURER_TXT, ASS_CAPACITY_TXT, ASS_DESCRIPTION_TXT</t>
  </si>
  <si>
    <t xml:space="preserve">complete with landing doors, controls, emergency phone.</t>
  </si>
  <si>
    <t xml:space="preserve">BOQ-LIFT-Equipment</t>
  </si>
  <si>
    <t xml:space="preserve">Uganda: BS EN 81-20. Govt lift inspector cert.</t>
  </si>
  <si>
    <t xml:space="preserve">Generator</t>
  </si>
  <si>
    <t xml:space="preserve">[BRAND] [CAPACITY]kVA diesel generator with canopy, ATS, complete with commissioning</t>
  </si>
  <si>
    <t xml:space="preserve">complete with base tank, ATS panel, wiring.</t>
  </si>
  <si>
    <t xml:space="preserve">BOQ-ELEC-Generator</t>
  </si>
  <si>
    <t xml:space="preserve">Uganda: essential for commercial/institutional buildings.</t>
  </si>
  <si>
    <t xml:space="preserve">Nurse call points</t>
  </si>
  <si>
    <t xml:space="preserve">[TYPE] nurse call point zone [ZONE] complete with pull cord, indicator, and accessories</t>
  </si>
  <si>
    <t xml:space="preserve">NCL_CALL_TYPE_TXT, NCL_ZONE_TXT</t>
  </si>
  <si>
    <t xml:space="preserve">connected to master panel.</t>
  </si>
  <si>
    <t xml:space="preserve">BOQ-ICT-NurseCall</t>
  </si>
  <si>
    <t xml:space="preserve">HTM 08-03. Healthcare projects only.</t>
  </si>
  <si>
    <t xml:space="preserve">Internal plaster / paint</t>
  </si>
  <si>
    <t xml:space="preserve">[FINISH] two coats on all internal plastered wall faces</t>
  </si>
  <si>
    <t xml:space="preserve">BLE_WALL_INTERIOR_FINISH_TXT</t>
  </si>
  <si>
    <t xml:space="preserve">to all internal faces.</t>
  </si>
  <si>
    <t xml:space="preserve">BOQ-ARCH-InternalPlaster</t>
  </si>
  <si>
    <t xml:space="preserve">Colour from room data sheet. Paint type from spec.</t>
  </si>
  <si>
    <t xml:space="preserve">if(BLE_WALL_INTERIOR_FINISH_TXT&lt;&gt;"",BLE_WALL_INTERIOR_FINISH_TXT,"[COLOUR]") + " paint two coats on internal plastered walls."</t>
  </si>
  <si>
    <t xml:space="preserve">HVAC equipment (combined)</t>
  </si>
  <si>
    <t xml:space="preserve">[TYPE] HVAC unit [CAPACITY]kW complete with all accessories</t>
  </si>
  <si>
    <t xml:space="preserve">HVC_CAP_KW, ASS_DESCRIPTION_TXT, ASS_MANUFACTURER_TXT</t>
  </si>
  <si>
    <t xml:space="preserve">BOQ-HVC-Equipment</t>
  </si>
  <si>
    <t xml:space="preserve">Covers VRF indoor+outdoor, splits, AHUs when grouped.</t>
  </si>
  <si>
    <t xml:space="preserve">if(ASS_MANUFACTURER_TXT&lt;&gt;"",ASS_MANUFACTURER_TXT,"HVAC") + " " + if(ASS_DESCRIPTION_TXT&lt;&gt;"",ASS_DESCRIPTION_TXT,"") + " " + if(HVC_CAP_KW&lt;&gt;"",HVC_CAP_KW+"kW ","") + "complete with all accessories."</t>
  </si>
  <si>
    <t xml:space="preserve">NEW PARAMETERS FOR v4.2  |  Paragraph containers for gap categories + warning threshold params + BOQ schedule params</t>
  </si>
  <si>
    <t xml:space="preserve">Type</t>
  </si>
  <si>
    <t xml:space="preserve">Group</t>
  </si>
  <si>
    <t xml:space="preserve">Binding</t>
  </si>
  <si>
    <t xml:space="preserve">Description</t>
  </si>
  <si>
    <t xml:space="preserve">Source</t>
  </si>
  <si>
    <t xml:space="preserve">v4.2 PARAGRAPH ENGINE — 3-state visibility (3 params)</t>
  </si>
  <si>
    <t xml:space="preserve">TAG_PARA_STATE_1_BOOL</t>
  </si>
  <si>
    <t xml:space="preserve">YESNO</t>
  </si>
  <si>
    <t xml:space="preserve">TAG_STYLE</t>
  </si>
  <si>
    <t xml:space="preserve">Compact mode (tier 1 only)</t>
  </si>
  <si>
    <t xml:space="preserve">v4.2 new</t>
  </si>
  <si>
    <t xml:space="preserve">TAG_PARA_STATE_2_BOOL</t>
  </si>
  <si>
    <t xml:space="preserve">Standard mode (tiers 1+2)</t>
  </si>
  <si>
    <t xml:space="preserve">TAG_PARA_STATE_3_BOOL</t>
  </si>
  <si>
    <t xml:space="preserve">Comprehensive mode (tiers 1+2+3)</t>
  </si>
  <si>
    <t xml:space="preserve">v4.2 GAP CATEGORY PARAGRAPH CONTAINERS (18 params)</t>
  </si>
  <si>
    <t xml:space="preserve">TEXT</t>
  </si>
  <si>
    <t xml:space="preserve">PLM_TAG</t>
  </si>
  <si>
    <t xml:space="preserve">PLUMBING</t>
  </si>
  <si>
    <t xml:space="preserve">Sanitary fixture paragraph</t>
  </si>
  <si>
    <t xml:space="preserve">Plumbing equipment paragraph</t>
  </si>
  <si>
    <t xml:space="preserve">Pipe accessory paragraph</t>
  </si>
  <si>
    <t xml:space="preserve">ELC_TAG</t>
  </si>
  <si>
    <t xml:space="preserve">Conduit paragraph</t>
  </si>
  <si>
    <t xml:space="preserve">Cable tray paragraph</t>
  </si>
  <si>
    <t xml:space="preserve">HVC_TAG</t>
  </si>
  <si>
    <t xml:space="preserve">Flex duct paragraph</t>
  </si>
  <si>
    <t xml:space="preserve">Duct accessory paragraph</t>
  </si>
  <si>
    <t xml:space="preserve">ARCH_TAG</t>
  </si>
  <si>
    <t xml:space="preserve">ARCHITECTURAL</t>
  </si>
  <si>
    <t xml:space="preserve">Curtain Panels, CW Mullions</t>
  </si>
  <si>
    <t xml:space="preserve">Facade/curtain wall paragraph</t>
  </si>
  <si>
    <t xml:space="preserve">Stair paragraph</t>
  </si>
  <si>
    <t xml:space="preserve">Ramp paragraph</t>
  </si>
  <si>
    <t xml:space="preserve">STR_TAG</t>
  </si>
  <si>
    <t xml:space="preserve">Foundation paragraph</t>
  </si>
  <si>
    <t xml:space="preserve">Casework paragraph</t>
  </si>
  <si>
    <t xml:space="preserve">Furniture paragraph</t>
  </si>
  <si>
    <t xml:space="preserve">ASS_TAG</t>
  </si>
  <si>
    <t xml:space="preserve">Specialty equipment paragraph</t>
  </si>
  <si>
    <t xml:space="preserve">COM_TAG</t>
  </si>
  <si>
    <t xml:space="preserve">BMS device paragraph</t>
  </si>
  <si>
    <t xml:space="preserve">ICT_TAG</t>
  </si>
  <si>
    <t xml:space="preserve">Data/telephone outlet paragraph</t>
  </si>
  <si>
    <t xml:space="preserve">NCL_TAG</t>
  </si>
  <si>
    <t xml:space="preserve">Nurse call paragraph</t>
  </si>
  <si>
    <t xml:space="preserve">SEC_TAG</t>
  </si>
  <si>
    <t xml:space="preserve">Security device paragraph</t>
  </si>
  <si>
    <t xml:space="preserve">v4.2 TIER-3 UNIVERSAL PARAGRAPH CONTAINERS — docx s6.2 (5 params)</t>
  </si>
  <si>
    <t xml:space="preserve">RGL_TAG_7_PARA_COMPLIANCE_TXT</t>
  </si>
  <si>
    <t xml:space="preserve">RGL_TAG</t>
  </si>
  <si>
    <t xml:space="preserve">All 53 (tier 3)</t>
  </si>
  <si>
    <t xml:space="preserve">Regulatory compliance paragraph (KCCA, UMEME, NWSC, NEMA approvals, QA)</t>
  </si>
  <si>
    <t xml:space="preserve">PER_TAG_7_PARA_ENVIRONMENT_TXT</t>
  </si>
  <si>
    <t xml:space="preserve">PER_TAG</t>
  </si>
  <si>
    <t xml:space="preserve">Environmental context paragraph (climate zone, humidity, altitude, rainfall, termite protection)</t>
  </si>
  <si>
    <t xml:space="preserve">CST_TAG_7_PARA_CONCRETE_TXT</t>
  </si>
  <si>
    <t xml:space="preserve">CST_TAG</t>
  </si>
  <si>
    <t xml:space="preserve">STR/ARCH</t>
  </si>
  <si>
    <t xml:space="preserve">Generic (structural)</t>
  </si>
  <si>
    <t xml:space="preserve">Concrete/masonry specification paragraph (grade, strength, admixture, mix ratio)</t>
  </si>
  <si>
    <t xml:space="preserve">PLM_TAG_7_PARA_DRAIN_TXT</t>
  </si>
  <si>
    <t xml:space="preserve">Pipes (drainage only)</t>
  </si>
  <si>
    <t xml:space="preserve">Drainage paragraph (trap type, cleanout, vent terminals, expansion joints, strainers)</t>
  </si>
  <si>
    <t xml:space="preserve">ELC_TAG_7_PARA_CABLE_TXT</t>
  </si>
  <si>
    <t xml:space="preserve">Cable Trays, Conduits</t>
  </si>
  <si>
    <t xml:space="preserve">Cable paragraph (destination, source, cores, size, insulation, install method, tray fill, load)</t>
  </si>
  <si>
    <t xml:space="preserve">v4.2 WARNING THRESHOLD REFERENCE PARAMS (3 new system params)</t>
  </si>
  <si>
    <t xml:space="preserve">TAG_WARN_VISIBLE_BOOL</t>
  </si>
  <si>
    <t xml:space="preserve">Enable/disable warning text in tags</t>
  </si>
  <si>
    <t xml:space="preserve">TAG_WARN_SEVERITY_FILTER_TXT</t>
  </si>
  <si>
    <t xml:space="preserve">Filter: CRITICAL, HIGH, MEDIUM, ALL</t>
  </si>
  <si>
    <t xml:space="preserve">ELC_PNL_RATED_KW</t>
  </si>
  <si>
    <t xml:space="preserve">NUMBER</t>
  </si>
  <si>
    <t xml:space="preserve">ELC_PWR</t>
  </si>
  <si>
    <t xml:space="preserve">Panel rated capacity kW (for overload check)</t>
  </si>
  <si>
    <t xml:space="preserve">TOTAL: 3 visibility + 18 paragraph containers + 5 tier-3 universal + 3 warning system = 29 new parameters</t>
  </si>
  <si>
    <t xml:space="preserve">v4.3 RE-REGISTERED v4.1 CONTAINERS + NEW v4.3 CONTAINERS (18 params)</t>
  </si>
  <si>
    <t xml:space="preserve">Wall paragraph container</t>
  </si>
  <si>
    <t xml:space="preserve">v4.1 + v4.3 unified</t>
  </si>
  <si>
    <t xml:space="preserve">Floor paragraph container</t>
  </si>
  <si>
    <t xml:space="preserve">Door paragraph container</t>
  </si>
  <si>
    <t xml:space="preserve">Window paragraph container</t>
  </si>
  <si>
    <t xml:space="preserve">Room/space paragraph container</t>
  </si>
  <si>
    <t xml:space="preserve">ARCH_TAG_7_PARA_CEIL_TXT</t>
  </si>
  <si>
    <t xml:space="preserve">Ceiling paragraph container — NEW v4.3</t>
  </si>
  <si>
    <t xml:space="preserve">v4.3 new</t>
  </si>
  <si>
    <t xml:space="preserve">ARCH_TAG_7_PARA_ROOF_TXT</t>
  </si>
  <si>
    <t xml:space="preserve">Roof paragraph container — NEW v4.3</t>
  </si>
  <si>
    <t xml:space="preserve">Column paragraph container</t>
  </si>
  <si>
    <t xml:space="preserve">Beam/framing paragraph container</t>
  </si>
  <si>
    <t xml:space="preserve">HVAC equipment paragraph container</t>
  </si>
  <si>
    <t xml:space="preserve">Ducts, Duct Fittings</t>
  </si>
  <si>
    <t xml:space="preserve">Duct paragraph container</t>
  </si>
  <si>
    <t xml:space="preserve">Air terminal paragraph container</t>
  </si>
  <si>
    <t xml:space="preserve">DB panel paragraph container</t>
  </si>
  <si>
    <t xml:space="preserve">LTG_TAG</t>
  </si>
  <si>
    <t xml:space="preserve">Lighting fixture paragraph container</t>
  </si>
  <si>
    <t xml:space="preserve">Circuit/point paragraph container</t>
  </si>
  <si>
    <t xml:space="preserve">Pipes, Pipe Fittings</t>
  </si>
  <si>
    <t xml:space="preserve">Pipe paragraph container — NEW v4.3</t>
  </si>
  <si>
    <t xml:space="preserve">FLS_TAG</t>
  </si>
  <si>
    <t xml:space="preserve">FIRE</t>
  </si>
  <si>
    <t xml:space="preserve">Fire alarm paragraph container — NEW v4.3</t>
  </si>
  <si>
    <t xml:space="preserve">Sprinkler paragraph container — NEW v4.3</t>
  </si>
  <si>
    <t xml:space="preserve">VALIDATION CHECKLIST v4.2</t>
  </si>
  <si>
    <t xml:space="preserve">Check</t>
  </si>
  <si>
    <t xml:space="preserve">Validation</t>
  </si>
  <si>
    <t xml:space="preserve">Automated?</t>
  </si>
  <si>
    <t xml:space="preserve">Sheet ref</t>
  </si>
  <si>
    <t xml:space="preserve">V-01</t>
  </si>
  <si>
    <t xml:space="preserve">All v4.2 paragraph params exist in MR_PARAMETERS.csv</t>
  </si>
  <si>
    <t xml:space="preserve">Yes</t>
  </si>
  <si>
    <t xml:space="preserve">05</t>
  </si>
  <si>
    <t xml:space="preserve">18 new containers</t>
  </si>
  <si>
    <t xml:space="preserve">V-02</t>
  </si>
  <si>
    <t xml:space="preserve">All v4.2 paragraph formula source params exist in MR_PARAMETERS</t>
  </si>
  <si>
    <t xml:space="preserve">03</t>
  </si>
  <si>
    <t xml:space="preserve">Cross-ref calculated value formulas</t>
  </si>
  <si>
    <t xml:space="preserve">V-03</t>
  </si>
  <si>
    <t xml:space="preserve">All v4.2 paragraph params have Data_Type = TEXT</t>
  </si>
  <si>
    <t xml:space="preserve">V-04</t>
  </si>
  <si>
    <t xml:space="preserve">3-state visibility booleans registered in MR_PARAMETERS</t>
  </si>
  <si>
    <t xml:space="preserve">TAG_PARA_STATE_1/2/3_BOOL</t>
  </si>
  <si>
    <t xml:space="preserve">V-05</t>
  </si>
  <si>
    <t xml:space="preserve">Warning threshold params exist for all CRITICAL/HIGH severity checks</t>
  </si>
  <si>
    <t xml:space="preserve">02</t>
  </si>
  <si>
    <t xml:space="preserve">34 threshold checks</t>
  </si>
  <si>
    <t xml:space="preserve">V-06</t>
  </si>
  <si>
    <t xml:space="preserve">Warning formula patterns valid in Revit calculated value syntax</t>
  </si>
  <si>
    <t xml:space="preserve">Manual</t>
  </si>
  <si>
    <t xml:space="preserve">Test in Revit 2025/2026/2027</t>
  </si>
  <si>
    <t xml:space="preserve">V-07</t>
  </si>
  <si>
    <t xml:space="preserve">All 47 categories have at least one Tag 7 paragraph or shared reference</t>
  </si>
  <si>
    <t xml:space="preserve">01</t>
  </si>
  <si>
    <t xml:space="preserve">47/47 target</t>
  </si>
  <si>
    <t xml:space="preserve">V-08</t>
  </si>
  <si>
    <t xml:space="preserve">BOQ schedule calculated values produce valid natural-language descriptions</t>
  </si>
  <si>
    <t xml:space="preserve">04</t>
  </si>
  <si>
    <t xml:space="preserve">Test with sample model export</t>
  </si>
  <si>
    <t xml:space="preserve">V-09</t>
  </si>
  <si>
    <t xml:space="preserve">No duplicate GUID in MR_PARAMETERS after adding 24 new params</t>
  </si>
  <si>
    <t xml:space="preserve">VALIDAT_BIM_TEMPLATE check G-01</t>
  </si>
  <si>
    <t xml:space="preserve">V-10</t>
  </si>
  <si>
    <t xml:space="preserve">CATEGORY_BINDINGS updated for all 18 new paragraph container params</t>
  </si>
  <si>
    <t xml:space="preserve">Each container bound to its category scope</t>
  </si>
  <si>
    <t xml:space="preserve">V-11</t>
  </si>
  <si>
    <t xml:space="preserve">Warning severity filter respects TAG_WARN_SEVERITY_FILTER_TXT setting</t>
  </si>
  <si>
    <t xml:space="preserve">CRITICAL/HIGH/MEDIUM/ALL</t>
  </si>
  <si>
    <t xml:space="preserve">V-12</t>
  </si>
  <si>
    <t xml:space="preserve">Backward compatibility: v4.1 projects load without errors</t>
  </si>
  <si>
    <t xml:space="preserve">STING Tools parameter sync adds defaults</t>
  </si>
  <si>
    <t xml:space="preserve">V-13</t>
  </si>
  <si>
    <t xml:space="preserve">Tag performance benchmark: 1000 elements with warnings &lt; 3 sec regen</t>
  </si>
  <si>
    <t xml:space="preserve">Profile in Revit journal</t>
  </si>
  <si>
    <t xml:space="preserve">V-14</t>
  </si>
  <si>
    <t xml:space="preserve">All BOQ schedules export cleanly to Excel with no formula errors</t>
  </si>
  <si>
    <t xml:space="preserve">Export + spot check</t>
  </si>
  <si>
    <t xml:space="preserve">V-15</t>
  </si>
  <si>
    <t xml:space="preserve">Sheet 07 unified paragraph engine replaces 3-paragraph plan in all 47 categories</t>
  </si>
  <si>
    <t xml:space="preserve">07</t>
  </si>
  <si>
    <t xml:space="preserve">v4.3 unified engine check</t>
  </si>
  <si>
    <t xml:space="preserve">V-16</t>
  </si>
  <si>
    <t xml:space="preserve">All 36 Tag 7 param names in Sheet 07 registered in Sheet 05</t>
  </si>
  <si>
    <t xml:space="preserve">36 params incl 18 re-registered v4.1</t>
  </si>
  <si>
    <t xml:space="preserve">V-17</t>
  </si>
  <si>
    <t xml:space="preserve">Sheet 04 and Sheet 08 schedule names fully aligned (no BOQ-HVAC- vs BOQ-HVC- mismatches)</t>
  </si>
  <si>
    <t xml:space="preserve">04,08</t>
  </si>
  <si>
    <t xml:space="preserve">Standardised to BOQ-HVC- prefix</t>
  </si>
  <si>
    <t xml:space="preserve">V-18</t>
  </si>
  <si>
    <t xml:space="preserve">Sheet 04 Col L (BOQ_DESC_FORMULA) provides paste-ready Revit formulas for all 28 automated elements</t>
  </si>
  <si>
    <t xml:space="preserve">Copy from Col L → Revit Edit Label</t>
  </si>
  <si>
    <t xml:space="preserve">V-19</t>
  </si>
  <si>
    <t xml:space="preserve">All Sheet 08 item rows with Revit category have matching schedule in Sheet 04</t>
  </si>
  <si>
    <t xml:space="preserve">Cross-ref by schedule name</t>
  </si>
  <si>
    <t xml:space="preserve">V-20</t>
  </si>
  <si>
    <t xml:space="preserve">Warning param formulas updated for ICT/Security/Specialty/NurseCall categories</t>
  </si>
  <si>
    <t xml:space="preserve">Previously had NO WARNING entries</t>
  </si>
  <si>
    <t xml:space="preserve">TAG 7 PARAGRAPH ENGINE — UNIFIED REFERENCE v4.3  |  Supersedes 3-paragraph plan  |  All categories  |  Source: advisory_v1_0.docx + v4.2 tag guide</t>
  </si>
  <si>
    <t xml:space="preserve">ARCHITECTURE: Tag 7 is the single paragraph container tier. The old "3-paragraph plan" (separate para per category type) is SUPERSEDED. v4.3 uses one unified paragraph tag per category class, with 3 additive DEPTH STATES gated by YES/NO params:
TAG_PARA_STATE_1_BOOL=compact (State 1 only) | TAG_PARA_STATE_2_BOOL=standard (States 1+2) | TAG_PARA_STATE_3_BOOL=comprehensive (States 1+2+3)
Each state adds a calculated-value label. Empty params collapse via if(PARAM&lt;&gt;"", PARAM, ""). Warning flags auto-append via if(PARAM &gt; MAX, " [!WARNING]", "").</t>
  </si>
  <si>
    <t xml:space="preserve">Disc.</t>
  </si>
  <si>
    <t xml:space="preserve">Tag 7 Param Name</t>
  </si>
  <si>
    <t xml:space="preserve">Tag Family</t>
  </si>
  <si>
    <t xml:space="preserve">STATE 1 — Compact formula (all states show this)</t>
  </si>
  <si>
    <t xml:space="preserve">STATE 2 — Standard formula (states 2+3 show this)</t>
  </si>
  <si>
    <t xml:space="preserve">STATE 3 — Comprehensive formula (state 3 only)</t>
  </si>
  <si>
    <t xml:space="preserve">S1 param pool</t>
  </si>
  <si>
    <t xml:space="preserve">S2 param pool</t>
  </si>
  <si>
    <t xml:space="preserve">S3 param pool</t>
  </si>
  <si>
    <t xml:space="preserve">Warning params + formula</t>
  </si>
  <si>
    <t xml:space="preserve">BOQ map ref</t>
  </si>
  <si>
    <t xml:space="preserve">Revit schedule name</t>
  </si>
  <si>
    <t xml:space="preserve">TIER 1/2 — UNIVERSAL CATEGORIES  |  Covered v4.1, paragraph engine adds S2 and S3 depth</t>
  </si>
  <si>
    <t xml:space="preserve">ARCH_Wall_Para.rfa</t>
  </si>
  <si>
    <t xml:space="preserve">if(BLE_WALL_FUNCTION_TXT&lt;&gt;"",BLE_WALL_FUNCTION_TXT,"This") + " wall is " + if(BLE_WALL_THICKNESS_MM&lt;&gt;"",BLE_WALL_THICKNESS_MM+"mm thick","of unspecified thickness") + ", constructed by " + if(BLE_WALL_CST_METHOD_TXT&lt;&gt;"",BLE_WALL_CST_METHOD_TXT,"unspecified method") + ". Primary material: " + if(BLE_WALL_PRIMARY_WALL_MAT_TXT&lt;&gt;"",BLE_WALL_PRIMARY_WALL_MAT_TXT,"TBC") + ". Type: " + if(BLE_WALL_TYPE_CLASSIFICATION_TXT&lt;&gt;"",BLE_WALL_TYPE_CLASSIFICATION_TXT,"unclassified") + "."</t>
  </si>
  <si>
    <t xml:space="preserve">"Thermal: U=" + if(PER_THERM_U_VALUE_W_M2K_NR&lt;&gt;"",PER_THERM_U_VALUE_W_M2K_NR+"W/m²K","TBC") + ", R=" + if(PER_THERM_R_VALUE_M2K_W&lt;&gt;"",PER_THERM_R_VALUE_M2K_W+"m²K/W","TBC") + ". Condensation: " + if(PER_THERM_CONDENSATION_RISK_TXT&lt;&gt;"",PER_THERM_CONDENSATION_RISK_TXT,"not assessed") + ". STC: " + if(BLE_WALL_SOUND_TRANSMISSION_CLASS_RATING_NR&lt;&gt;"",BLE_WALL_SOUND_TRANSMISSION_CLASS_RATING_NR,"TBC") + ". FRR: " + if(FLS_PROT_FLS_RESISTANCE_RATING_MINUTES_MIN&lt;&gt;"",FLS_PROT_FLS_RESISTANCE_RATING_MINUTES_MIN+"min","N/A") + "."</t>
  </si>
  <si>
    <t xml:space="preserve">"Recycled: " + if(PER_SUST_RECYCLED_CONTENT_PCT&lt;&gt;"",PER_SUST_RECYCLED_CONTENT_PCT+"%","N/A") + ". Carbon: " + if(PER_SUST_CARBON_FOOTPRINT_KG&lt;&gt;"",PER_SUST_CARBON_FOOTPRINT_KG+"kgCO2e","N/A") + ". Density: " + if(PROP_DENSITY_KG_M3&lt;&gt;"",PROP_DENSITY_KG_M3+"kg/m³","N/A") + ". Finish int: " + if(BLE_WALL_INTERIOR_FINISH_TXT&lt;&gt;"",BLE_WALL_INTERIOR_FINISH_TXT,"TBC") + ", ext: " + if(BLE_WALL_EXTERIOR_FINISH_TXT&lt;&gt;"",BLE_WALL_EXTERIOR_FINISH_TXT,"TBC") + ". Moisture barrier: " + if(BLE_WALL_MOISTURE_BARRIER_INCLUDED_TXT&lt;&gt;"",BLE_WALL_MOISTURE_BARRIER_INCLUDED_TXT,"TBC") + ". Standard: " + if(RGL_STD_TXT&lt;&gt;"",RGL_STD_TXT,"N/A") + "."</t>
  </si>
  <si>
    <t xml:space="preserve">BLE_WALL_FUNCTION_TXT, BLE_WALL_THICKNESS_MM, BLE_WALL_CST_METHOD_TXT, BLE_WALL_PRIMARY_WALL_MAT_TXT, BLE_WALL_TYPE_CLASSIFICATION_TXT</t>
  </si>
  <si>
    <t xml:space="preserve">PER_THERM_U_VALUE_W_M2K_NR, PER_THERM_R_VALUE_M2K_W, PER_THERM_CONDENSATION_RISK_TXT, BLE_WALL_SOUND_TRANSMISSION_CLASS_RATING_NR, FLS_PROT_FLS_RESISTANCE_RATING_MINUTES_MIN</t>
  </si>
  <si>
    <t xml:space="preserve">PER_SUST_RECYCLED_CONTENT_PCT, PER_SUST_CARBON_FOOTPRINT_KG, PROP_DENSITY_KG_M3, BLE_WALL_INTERIOR_FINISH_TXT, BLE_WALL_EXTERIOR_FINISH_TXT, BLE_WALL_MOISTURE_BARRIER_INCLUDED_TXT, RGL_STD_TXT</t>
  </si>
  <si>
    <t xml:space="preserve">PER_THERM_U_VALUE_W_M2K_NR &gt; 0.70 → [!U &gt; 0.70]
FLS_PROT...&lt; 30 → [!FRR &lt; 30]</t>
  </si>
  <si>
    <t xml:space="preserve">BOQ-ARCH-Walling (sh.08)
Bill No.3: [THK]mm [TYPE] wall</t>
  </si>
  <si>
    <t xml:space="preserve">ARCH_Floor_Para.rfa</t>
  </si>
  <si>
    <t xml:space="preserve">if(BLE_FLR_TYPE_TXT&lt;&gt;"",BLE_FLR_TYPE_TXT,"Floor") + ": " + if(BLE_FLR_FINISH_TXT&lt;&gt;"",BLE_FLR_FINISH_TXT,"finish TBC") + ", " + if(BLE_FLR_THICKNESS_MM&lt;&gt;"",BLE_FLR_THICKNESS_MM+"mm thick","thickness TBC") + ". Subfloor: " + if(BLE_FLR_SUBFLOOR_TXT&lt;&gt;"",BLE_FLR_SUBFLOOR_TXT,"TBC") + "."</t>
  </si>
  <si>
    <t xml:space="preserve">"Thermal: U=" + if(PER_THERM_U_VALUE_W_M2K_NR&lt;&gt;"",PER_THERM_U_VALUE_W_M2K_NR+"W/m²K","TBC") + ". DPM: " + if(BLE_FLR_MOISTURE_BARRIER_TXT&lt;&gt;"",BLE_FLR_MOISTURE_BARRIER_TXT,"TBC") + ". Structural rating: " + if(BLE_FLR_STRUCTURAL_RATING_TXT&lt;&gt;"",BLE_FLR_STRUCTURAL_RATING_TXT,"TBC") + "."</t>
  </si>
  <si>
    <t xml:space="preserve">"Procurement: " + if(CST_S_SUPPLIER_TXT&lt;&gt;"",CST_S_SUPPLIER_TXT,"TBC") + ". Unit rate: " + if(CST_S_UNIT_RATE_UGX_NR&lt;&gt;"",CST_S_UNIT_RATE_UGX_NR+" UGX/m²","TBC") + ". EPD: " + if(MAT_EPD_REF_TXT&lt;&gt;"",MAT_EPD_REF_TXT,"N/A") + ". RGL: " + if(RGL_STD_TXT&lt;&gt;"",RGL_STD_TXT,"N/A") + "."</t>
  </si>
  <si>
    <t xml:space="preserve">BLE_FLR_TYPE_TXT, BLE_FLR_FINISH_TXT, BLE_FLR_THICKNESS_MM, BLE_FLR_SUBFLOOR_TXT</t>
  </si>
  <si>
    <t xml:space="preserve">PER_THERM_U_VALUE_W_M2K_NR, BLE_FLR_MOISTURE_BARRIER_TXT, BLE_FLR_STRUCTURAL_RATING_TXT</t>
  </si>
  <si>
    <t xml:space="preserve">CST_S_SUPPLIER_TXT, CST_S_UNIT_RATE_UGX_NR, MAT_EPD_REF_TXT, RGL_STD_TXT</t>
  </si>
  <si>
    <t xml:space="preserve">PER_THERM_U_VALUE_W_M2K_NR &gt; 0.70 → [!U &gt; 0.70]</t>
  </si>
  <si>
    <t xml:space="preserve">BOQ-ARCH-FloorFinish (sh.08)
Bill No.3: [THK]mm [FINISH] floor</t>
  </si>
  <si>
    <t xml:space="preserve">BOQ-ARCH-FloorFinish</t>
  </si>
  <si>
    <t xml:space="preserve">ARCH_Ceil_Para.rfa</t>
  </si>
  <si>
    <t xml:space="preserve">if(ASS_DESCRIPTION_TXT&lt;&gt;"",ASS_DESCRIPTION_TXT,"Ceiling type TBC") + ". Suspension: " + if(BLE_CEIL_SUSPENSION_TXT&lt;&gt;"",BLE_CEIL_SUSPENSION_TXT,"TBC") + ". Grid: " + if(BLE_CEIL_GRID_MM&lt;&gt;"",BLE_CEIL_GRID_MM+"mm","TBC") + "."</t>
  </si>
  <si>
    <t xml:space="preserve">"Acoustic: NRC=" + if(PER_ACOUSTICS_NRC_NR&lt;&gt;"",PER_ACOUSTICS_NRC_NR,"TBC") + ", background noise=" + if(PER_ACOUSTICS_BACKGROUND_NOISE_DB&lt;&gt;"",PER_ACOUSTICS_BACKGROUND_NOISE_DB+"dB","TBC") + ". Thermal: U=" + if(PER_THERM_U_VALUE_W_M2K_NR&lt;&gt;"",PER_THERM_U_VALUE_W_M2K_NR+"W/m²K","TBC") + "."</t>
  </si>
  <si>
    <t xml:space="preserve">"Supplier: " + if(CST_S_SUPPLIER_TXT&lt;&gt;"",CST_S_SUPPLIER_TXT,"TBC") + ". FRR: " + if(FLS_PROT_FLS_RESISTANCE_RATING_MINUTES_MIN&lt;&gt;"",FLS_PROT_FLS_RESISTANCE_RATING_MINUTES_MIN+"min","N/A") + ". EPD: " + if(MAT_EPD_REF_TXT&lt;&gt;"",MAT_EPD_REF_TXT,"N/A") + "."</t>
  </si>
  <si>
    <t xml:space="preserve">ASS_DESCRIPTION_TXT, BLE_CEIL_SUSPENSION_TXT, BLE_CEIL_GRID_MM</t>
  </si>
  <si>
    <t xml:space="preserve">PER_ACOUSTICS_NRC_NR, PER_ACOUSTICS_BACKGROUND_NOISE_DB, PER_THERM_U_VALUE_W_M2K_NR</t>
  </si>
  <si>
    <t xml:space="preserve">CST_S_SUPPLIER_TXT, FLS_PROT_FLS_RESISTANCE_RATING_MINUTES_MIN, MAT_EPD_REF_TXT</t>
  </si>
  <si>
    <t xml:space="preserve">PER_ACOUSTICS_BACKGROUND_NOISE_DB &gt; 40 → [!NOISE &gt; 40dB]
[NEW v4.3 container]</t>
  </si>
  <si>
    <t xml:space="preserve">BOQ-ARCH-Ceilings (sh.08)
Bill No.3: [TYPE] ceiling</t>
  </si>
  <si>
    <t xml:space="preserve">ARCH_Roof_Para.rfa</t>
  </si>
  <si>
    <t xml:space="preserve">if(ASS_DESCRIPTION_TXT&lt;&gt;"",ASS_DESCRIPTION_TXT,"Roof type TBC") + ". Pitch: " + if(BLE_ROOF_PITCH_DEG&lt;&gt;"",BLE_ROOF_PITCH_DEG+"°","TBC") + ". Primary material: " + if(BLE_ROOF_PRIMARY_MAT_TXT&lt;&gt;"",BLE_ROOF_PRIMARY_MAT_TXT,"TBC") + "."</t>
  </si>
  <si>
    <t xml:space="preserve">"Thermal: U=" + if(PER_THERM_U_VALUE_W_M2K_NR&lt;&gt;"",PER_THERM_U_VALUE_W_M2K_NR+"W/m²K","TBC") + ". Insulation: " + if(BLE_ROOF_INSULATION_TXT&lt;&gt;"",BLE_ROOF_INSULATION_TXT,"TBC") + ". Waterproofing: " + if(BLE_ROOF_WATERPROOFING_TXT&lt;&gt;"",BLE_ROOF_WATERPROOFING_TXT,"TBC") + "."</t>
  </si>
  <si>
    <t xml:space="preserve">"Carbon: " + if(PER_SUST_CARBON_FOOTPRINT_KG&lt;&gt;"",PER_SUST_CARBON_FOOTPRINT_KG+"kgCO2e","N/A") + ". Standard: " + if(RGL_STD_TXT&lt;&gt;"",RGL_STD_TXT,"N/A") + ". Supplier: " + if(CST_S_SUPPLIER_TXT&lt;&gt;"",CST_S_SUPPLIER_TXT,"TBC") + "."</t>
  </si>
  <si>
    <t xml:space="preserve">ASS_DESCRIPTION_TXT, BLE_ROOF_PITCH_DEG, BLE_ROOF_PRIMARY_MAT_TXT</t>
  </si>
  <si>
    <t xml:space="preserve">PER_THERM_U_VALUE_W_M2K_NR, BLE_ROOF_INSULATION_TXT, BLE_ROOF_WATERPROOFING_TXT</t>
  </si>
  <si>
    <t xml:space="preserve">PER_SUST_CARBON_FOOTPRINT_KG, RGL_STD_TXT, CST_S_SUPPLIER_TXT</t>
  </si>
  <si>
    <t xml:space="preserve">PER_THERM_U_VALUE_W_M2K_NR &gt; 0.50 → [!U &gt; 0.50]
[NEW v4.3 container]</t>
  </si>
  <si>
    <t xml:space="preserve">BOQ-ARCH-Roofing (sh.08)
Bill No.3: [TYPE] roofing</t>
  </si>
  <si>
    <t xml:space="preserve">ARCH_Door_Para.rfa</t>
  </si>
  <si>
    <t xml:space="preserve">if(BLE_DOOR_WIDTH_MM&lt;&gt;"",BLE_DOOR_WIDTH_MM,"?") + "x" + if(BLE_DOOR_HEIGHT_MM&lt;&gt;"",BLE_DOOR_HEIGHT_MM,"?") + "mm " + if(BLE_DOOR_OPERATION_TYPE_TXT&lt;&gt;"",BLE_DOOR_OPERATION_TYPE_TXT,"") + " door, " + if(BLE_DOOR_MATERIAL_FINISH_TXT&lt;&gt;"",BLE_DOOR_MATERIAL_FINISH_TXT,"material TBC") + " frame and leaf."</t>
  </si>
  <si>
    <t xml:space="preserve">"Hardware: " + if(BLE_DOOR_HARDWARE_SPECIFICATION_TXT&lt;&gt;"",BLE_DOOR_HARDWARE_SPECIFICATION_TXT,"TBC") + ". FRR: " + if(FLS_PROT_FLS_RESISTANCE_RATING_MINUTES_MIN&lt;&gt;"",FLS_PROT_FLS_RESISTANCE_RATING_MINUTES_MIN+"min","N/A") + ". Security grade: " + if(BLE_DOOR_SECURITY_GRADE_TXT&lt;&gt;"",BLE_DOOR_SECURITY_GRADE_TXT,"N/A") + ". Glazing: " + if(BLE_DOOR_GLAZING_PCT&lt;&gt;"",BLE_DOOR_GLAZING_PCT+"%","N/A") + "."</t>
  </si>
  <si>
    <t xml:space="preserve">"Accessibility: " + if(RGL_ACCESS_CLEAR_WIDTH_MM&lt;&gt;"",RGL_ACCESS_CLEAR_WIDTH_MM+"mm clear","N/A") + ". Braille sign: " + if(RGL_ACCESS_BRAILLE_SIGN_BOOL&lt;&gt;"",RGL_ACCESS_BRAILLE_SIGN_BOOL,"N/A") + ". Unit cost: " + if(CST_S_UNIT_RATE_UGX_NR&lt;&gt;"",CST_S_UNIT_RATE_UGX_NR+" UGX","TBC") + ". Lead time: " + if(CST_S_LEAD_TIME_WEEKS_NR&lt;&gt;"",CST_S_LEAD_TIME_WEEKS_NR+"wks","TBC") + "."</t>
  </si>
  <si>
    <t xml:space="preserve">BLE_DOOR_WIDTH_MM, BLE_DOOR_HEIGHT_MM, BLE_DOOR_OPERATION_TYPE_TXT, BLE_DOOR_MATERIAL_FINISH_TXT</t>
  </si>
  <si>
    <t xml:space="preserve">BLE_DOOR_HARDWARE_SPECIFICATION_TXT, FLS_PROT_FLS_RESISTANCE_RATING_MINUTES_MIN, BLE_DOOR_SECURITY_GRADE_TXT, BLE_DOOR_GLAZING_PCT</t>
  </si>
  <si>
    <t xml:space="preserve">RGL_ACCESS_CLEAR_WIDTH_MM, RGL_ACCESS_BRAILLE_SIGN_BOOL, CST_S_UNIT_RATE_UGX_NR, CST_S_LEAD_TIME_WEEKS_NR</t>
  </si>
  <si>
    <t xml:space="preserve">BLE_DOOR_WIDTH_MM &lt; 900 → [!DOOR &lt; 900mm]
FLS_PROT...&lt; 30 → [!FRR &lt; 30]</t>
  </si>
  <si>
    <t xml:space="preserve">BOQ-ARCH-Doors (sh.08)
Bill No.3: [W]x[H]mm [OP] door</t>
  </si>
  <si>
    <t xml:space="preserve">ARCH_Win_Para.rfa</t>
  </si>
  <si>
    <t xml:space="preserve">if(BLE_WINDOW_WIDTH_MM&lt;&gt;"",BLE_WINDOW_WIDTH_MM,"?") + "x" + if(BLE_WINDOW_HEIGHT_MM&lt;&gt;"",BLE_WINDOW_HEIGHT_MM,"?") + "mm " + if(BLE_WINDOW_OPERATION_TYPE_TXT&lt;&gt;"",BLE_WINDOW_OPERATION_TYPE_TXT,"") + " window. Frame: " + if(BLE_WINDOW_FRAME_MAT_TXT&lt;&gt;"",BLE_WINDOW_FRAME_MAT_TXT,"TBC") + ". Glazing: " + if(BLE_WINDOW_GLAZING_TYPE_TXT&lt;&gt;"",BLE_WINDOW_GLAZING_TYPE_TXT,"TBC") + "."</t>
  </si>
  <si>
    <t xml:space="preserve">"Thermal: U=" + if(PER_THERM_U_VALUE_W_M2K_NR&lt;&gt;"",PER_THERM_U_VALUE_W_M2K_NR+"W/m²K","TBC") + ". SHGC=" + if(BLE_WINDOW_SOLAR_HEAT_GAIN_COEFFICIENT_NR&lt;&gt;"",BLE_WINDOW_SOLAR_HEAT_GAIN_COEFFICIENT_NR,"TBC") + ". VLT=" + if(BLE_WINDOW_VLT_PCT&lt;&gt;"",BLE_WINDOW_VLT_PCT+"%","TBC") + ". Mosquito screen: " + if(BLE_WINDOW_MOSQUITO_SCREEN_BOOL&lt;&gt;"",BLE_WINDOW_MOSQUITO_SCREEN_BOOL,"N/A") + ". Burglar bars: " + if(BLE_WINDOW_BURGLAR_BARS_BOOL&lt;&gt;"",BLE_WINDOW_BURGLAR_BARS_BOOL,"N/A") + "."</t>
  </si>
  <si>
    <t xml:space="preserve">"Climate zone: " + if(PER_ENV_CLIMATE_ZONE_TXT&lt;&gt;"",PER_ENV_CLIMATE_ZONE_TXT,"TBC") + ". Shading: " + if(BLE_WINDOW_SHADING_DEVICE_TXT&lt;&gt;"",BLE_WINDOW_SHADING_DEVICE_TXT,"none") + ". Energy rating: " + if(PER_THERM_ENERGY_RATING_TXT&lt;&gt;"",PER_THERM_ENERGY_RATING_TXT,"TBC") + ". KCCA approval: " + if(RGL_KCCA_APPROVAL_TXT&lt;&gt;"",RGL_KCCA_APPROVAL_TXT,"N/A") + "."</t>
  </si>
  <si>
    <t xml:space="preserve">BLE_WINDOW_WIDTH_MM, BLE_WINDOW_HEIGHT_MM, BLE_WINDOW_OPERATION_TYPE_TXT, BLE_WINDOW_FRAME_MAT_TXT, BLE_WINDOW_GLAZING_TYPE_TXT</t>
  </si>
  <si>
    <t xml:space="preserve">PER_THERM_U_VALUE_W_M2K_NR, BLE_WINDOW_SOLAR_HEAT_GAIN_COEFFICIENT_NR, BLE_WINDOW_VLT_PCT, BLE_WINDOW_MOSQUITO_SCREEN_BOOL, BLE_WINDOW_BURGLAR_BARS_BOOL</t>
  </si>
  <si>
    <t xml:space="preserve">PER_ENV_CLIMATE_ZONE_TXT, BLE_WINDOW_SHADING_DEVICE_TXT, PER_THERM_ENERGY_RATING_TXT, RGL_KCCA_APPROVAL_TXT</t>
  </si>
  <si>
    <t xml:space="preserve">BLE_WINDOW_U_VALUE &gt; 3.00 → [!U &gt; 3.00]
BLE_WINDOW_SHGC &gt; 0.40 → [!SHGC &gt; 0.40]</t>
  </si>
  <si>
    <t xml:space="preserve">BOQ-ARCH-Windows (sh.08)
Bill No.3: [W]x[H]mm [OP] window</t>
  </si>
  <si>
    <t xml:space="preserve">Rooms/Spaces</t>
  </si>
  <si>
    <t xml:space="preserve">ARCH_Room_Para.rfa</t>
  </si>
  <si>
    <t xml:space="preserve">if(BLE_ROOM_NAME_TXT&lt;&gt;"",BLE_ROOM_NAME_TXT,"Room") + " " + if(ASS_ROOM_NUMBER_TXT&lt;&gt;"",ASS_ROOM_NUMBER_TXT,"") + " | Dept: " + if(ASS_ROOM_DEPARTMENT_TXT&lt;&gt;"",ASS_ROOM_DEPARTMENT_TXT,"TBC") + " | Area: " + if(ASS_ROOM_AREA_SQ_M&lt;&gt;"",ASS_ROOM_AREA_SQ_M+"m²","TBC") + " | Occupancy: " + if(BLE_ROOM_OCCUPANCY_NR&lt;&gt;"",BLE_ROOM_OCCUPANCY_NR+" persons","TBC") + "."</t>
  </si>
  <si>
    <t xml:space="preserve">"Design lux: " + if(ASS_DESIGN_LTG_LVL_LUX_NR&lt;&gt;"",ASS_DESIGN_LTG_LVL_LUX_NR+"lux","TBC") + ". Ventilation: " + if(ASS_DESIGN_VENT_RATE_L_S_P&lt;&gt;"",ASS_DESIGN_VENT_RATE_L_S_P+"L/s/person","TBC") + ". Background noise: " + if(PER_ACOUSTICS_BACKGROUND_NOISE_DB&lt;&gt;"",PER_ACOUSTICS_BACKGROUND_NOISE_DB+"dB","TBC") + ". Thermal zone: " + if(BLE_ROOM_THERMAL_ZONE_TXT&lt;&gt;"",BLE_ROOM_THERMAL_ZONE_TXT,"TBC") + "."</t>
  </si>
  <si>
    <t xml:space="preserve">"Accessibility: " + if(RGL_ACCESS_CLEAR_WIDTH_MM&lt;&gt;"",RGL_ACCESS_CLEAR_WIDTH_MM+"mm","TBC") + ". Hearing loop: " + if(RGL_ACCESS_HEARING_LOOP_BOOL&lt;&gt;"",RGL_ACCESS_HEARING_LOOP_BOOL,"N/A") + ". Refuge area: " + if(FLS_PROT_REFUGE_AREA_BOOL&lt;&gt;"",FLS_PROT_REFUGE_AREA_BOOL,"N/A") + ". Humidity: " + if(PER_ENV_HUMIDITY_PCT&lt;&gt;"",PER_ENV_HUMIDITY_PCT+"%","TBC") + ". Termite protection: " + if(PER_ENV_TERMITE_PROTECTION_TXT&lt;&gt;"",PER_ENV_TERMITE_PROTECTION_TXT,"N/A") + "."</t>
  </si>
  <si>
    <t xml:space="preserve">BLE_ROOM_NAME_TXT, ASS_ROOM_NUMBER_TXT, ASS_ROOM_DEPARTMENT_TXT, ASS_ROOM_AREA_SQ_M, BLE_ROOM_OCCUPANCY_NR</t>
  </si>
  <si>
    <t xml:space="preserve">ASS_DESIGN_LTG_LVL_LUX_NR, ASS_DESIGN_VENT_RATE_L_S_P, PER_ACOUSTICS_BACKGROUND_NOISE_DB, BLE_ROOM_THERMAL_ZONE_TXT</t>
  </si>
  <si>
    <t xml:space="preserve">RGL_ACCESS_CLEAR_WIDTH_MM, RGL_ACCESS_HEARING_LOOP_BOOL, FLS_PROT_REFUGE_AREA_BOOL, PER_ENV_HUMIDITY_PCT, PER_ENV_TERMITE_PROTECTION_TXT</t>
  </si>
  <si>
    <t xml:space="preserve">ASS_DESIGN_LTG_LVL_LUX_NR &lt; 300 → [!LUX &lt; 300]
PER_ACOUSTICS_BACKGROUND_NOISE_DB &gt; 40 → [!NOISE &gt; 40dB]</t>
  </si>
  <si>
    <t xml:space="preserve">N/A (space, not BOQ item)
Room schedule export</t>
  </si>
  <si>
    <t xml:space="preserve">BOQ-ARCH-Rooms (space schedule)</t>
  </si>
  <si>
    <t xml:space="preserve">STRUCTURAL CATEGORIES</t>
  </si>
  <si>
    <t xml:space="preserve">Str. Foundations</t>
  </si>
  <si>
    <t xml:space="preserve">if(BLE_STRUCT_FOUNDATION_TYPE_TXT&lt;&gt;"",BLE_STRUCT_FOUNDATION_TYPE_TXT,"Foundation") + " " + if(BLE_STRUCT_FOUNDATION_SZ_TXT&lt;&gt;"",BLE_STRUCT_FOUNDATION_SZ_TXT,"(size TBC)") + ". Concrete: " + if(BLE_STRUCT_CONCRETE_GRADE_TXT&lt;&gt;"",BLE_STRUCT_CONCRETE_GRADE_TXT,"grade TBC") + ". Reinforcement: " + if(BLE_STRUCT_REINFORCEMENT_TXT&lt;&gt;"",BLE_STRUCT_REINFORCEMENT_TXT,"TBC") + "."</t>
  </si>
  <si>
    <t xml:space="preserve">"Bearing capacity: " + if(BLE_STRUCT_BEARING_KPA&lt;&gt;"",BLE_STRUCT_BEARING_KPA+"kPa","TBC") + ". Admixture: " + if(CST_TAG_7_PARA_CONCRETE_TXT&lt;&gt;"",CST_TAG_7_PARA_CONCRETE_TXT,"none specified") + ". DPC: " + if(BLE_STRUCT_DPC_TXT&lt;&gt;"",BLE_STRUCT_DPC_TXT,"TBC") + "."</t>
  </si>
  <si>
    <t xml:space="preserve">"Insecticide: " + if(PER_ENV_INSECTICIDE_TXT&lt;&gt;"",PER_ENV_INSECTICIDE_TXT,"N/A") + ". Standard: " + if(RGL_STD_TXT&lt;&gt;"",RGL_STD_TXT,"N/A") + ". QA: " + if(ASS_QA_CERT_TXT&lt;&gt;"",ASS_QA_CERT_TXT,"TBC") + "."</t>
  </si>
  <si>
    <t xml:space="preserve">BLE_STRUCT_FOUNDATION_TYPE_TXT, BLE_STRUCT_FOUNDATION_SZ_TXT, BLE_STRUCT_CONCRETE_GRADE_TXT, BLE_STRUCT_REINFORCEMENT_TXT</t>
  </si>
  <si>
    <t xml:space="preserve">BLE_STRUCT_BEARING_KPA, CST_TAG_7_PARA_CONCRETE_TXT, BLE_STRUCT_DPC_TXT</t>
  </si>
  <si>
    <t xml:space="preserve">PER_ENV_INSECTICIDE_TXT, RGL_STD_TXT, ASS_QA_CERT_TXT</t>
  </si>
  <si>
    <t xml:space="preserve">BLE_STRUCT_CONCRETE_GRADE_TXT check vs exposure class → [!CHECK GRADE]</t>
  </si>
  <si>
    <t xml:space="preserve">BOQ-STR-Foundations (sh.08)
Bill No.2/3: [SZ] foundation [GRADE]</t>
  </si>
  <si>
    <t xml:space="preserve">Str. Columns</t>
  </si>
  <si>
    <t xml:space="preserve">STR_Col_Para.rfa</t>
  </si>
  <si>
    <t xml:space="preserve">if(BLE_STRUCT_COLUMN_SZ_TXT&lt;&gt;"",BLE_STRUCT_COLUMN_SZ_TXT,"(size TBC)") + " RC column. Concrete: " + if(BLE_STRUCT_CONCRETE_GRADE_TXT&lt;&gt;"",BLE_STRUCT_CONCRETE_GRADE_TXT,"grade TBC") + ". Rebar: " + if(BLE_STRUCT_REINFORCEMENT_TXT&lt;&gt;"",BLE_STRUCT_REINFORCEMENT_TXT,"TBC") + "."</t>
  </si>
  <si>
    <t xml:space="preserve">"Cover: " + if(BLE_STRUCT_COVER_MM&lt;&gt;"",BLE_STRUCT_COVER_MM+"mm","TBC") + ". Formwork: " + if(BLE_STRUCT_FORMWORK_TXT&lt;&gt;"",BLE_STRUCT_FORMWORK_TXT,"TBC") + ". Fire protection: " + if(FLS_PROT_FLS_RESISTANCE_RATING_MINUTES_MIN&lt;&gt;"",FLS_PROT_FLS_RESISTANCE_RATING_MINUTES_MIN+"min","N/A") + "."</t>
  </si>
  <si>
    <t xml:space="preserve">"Standard: " + if(RGL_STD_TXT&lt;&gt;"",RGL_STD_TXT,"N/A") + ". Cube test: " + if(ASS_QA_CUBE_TEST_TXT&lt;&gt;"",ASS_QA_CUBE_TEST_TXT,"TBC") + "."</t>
  </si>
  <si>
    <t xml:space="preserve">BLE_STRUCT_COLUMN_SZ_TXT, BLE_STRUCT_CONCRETE_GRADE_TXT, BLE_STRUCT_REINFORCEMENT_TXT</t>
  </si>
  <si>
    <t xml:space="preserve">BLE_STRUCT_COVER_MM, BLE_STRUCT_FORMWORK_TXT, FLS_PROT_FLS_RESISTANCE_RATING_MINUTES_MIN</t>
  </si>
  <si>
    <t xml:space="preserve">RGL_STD_TXT, ASS_QA_CUBE_TEST_TXT</t>
  </si>
  <si>
    <t xml:space="preserve">BLE_STRUCT_CONCRETE_GRADE_TXT check → [!CHECK GRADE vs EXPOSURE]</t>
  </si>
  <si>
    <t xml:space="preserve">BOQ-STR-Columns (sh.08)
Bill No.3: [SZ] RC column [GRADE]</t>
  </si>
  <si>
    <t xml:space="preserve">Str. Framing</t>
  </si>
  <si>
    <t xml:space="preserve">STR_Beam_Para.rfa</t>
  </si>
  <si>
    <t xml:space="preserve">if(BLE_STRUCT_BEAM_SZ_TXT&lt;&gt;"",BLE_STRUCT_BEAM_SZ_TXT,"(size TBC)") + " " + if(BLE_STRUCT_STEEL_GRADE_TXT&lt;&gt;"",BLE_STRUCT_STEEL_GRADE_TXT,"RC") + " beam/slab. Grade: " + if(BLE_STRUCT_CONCRETE_GRADE_TXT&lt;&gt;"",BLE_STRUCT_CONCRETE_GRADE_TXT,"TBC") + "."</t>
  </si>
  <si>
    <t xml:space="preserve">"Cover: " + if(BLE_STRUCT_COVER_MM&lt;&gt;"",BLE_STRUCT_COVER_MM+"mm","TBC") + ". Rebar: " + if(BLE_STRUCT_REINFORCEMENT_TXT&lt;&gt;"",BLE_STRUCT_REINFORCEMENT_TXT,"TBC") + ". Steel section: " + if(BLE_STRUCT_STEEL_SECTION_TXT&lt;&gt;"",BLE_STRUCT_STEEL_SECTION_TXT,"N/A") + "."</t>
  </si>
  <si>
    <t xml:space="preserve">"FRR: " + if(FLS_PROT_FLS_RESISTANCE_RATING_MINUTES_MIN&lt;&gt;"",FLS_PROT_FLS_RESISTANCE_RATING_MINUTES_MIN+"min","N/A") + ". Standard: " + if(RGL_STD_TXT&lt;&gt;"",RGL_STD_TXT,"N/A") + "."</t>
  </si>
  <si>
    <t xml:space="preserve">BLE_STRUCT_BEAM_SZ_TXT, BLE_STRUCT_STEEL_GRADE_TXT, BLE_STRUCT_CONCRETE_GRADE_TXT</t>
  </si>
  <si>
    <t xml:space="preserve">BLE_STRUCT_COVER_MM, BLE_STRUCT_REINFORCEMENT_TXT, BLE_STRUCT_STEEL_SECTION_TXT</t>
  </si>
  <si>
    <t xml:space="preserve">FLS_PROT_FLS_RESISTANCE_RATING_MINUTES_MIN, RGL_STD_TXT</t>
  </si>
  <si>
    <t xml:space="preserve">BLE_STRUCT_CONCRETE_GRADE_TXT check → [!CHECK GRADE]</t>
  </si>
  <si>
    <t xml:space="preserve">BOQ-STR-Beams (sh.08)
Bill No.3: [SZ] RC/steel beam</t>
  </si>
  <si>
    <t xml:space="preserve">BOQ-STR-Beams</t>
  </si>
  <si>
    <t xml:space="preserve">if(BLE_STAIR_MAT_TXT&lt;&gt;"",BLE_STAIR_MAT_TXT,"") + " stair, " + if(BLE_STAIR_RISE_MM&lt;&gt;"",BLE_STAIR_RISE_MM+"mm","?mm") + " rise, " + if(BLE_STAIR_GOING_MM&lt;&gt;"",BLE_STAIR_GOING_MM+"mm","?mm") + " going, " + if(BLE_STAIR_WIDTH_MM&lt;&gt;"",BLE_STAIR_WIDTH_MM+"mm","?mm") + " wide. Tread: " + if(BLE_STAIR_TREAD_FINISH_TXT&lt;&gt;"",BLE_STAIR_TREAD_FINISH_TXT,"TBC") + ". Handrail: " + if(BLE_STAIR_HANDRAIL_MAT_TXT&lt;&gt;"",BLE_STAIR_HANDRAIL_MAT_TXT,"TBC") + "."</t>
  </si>
  <si>
    <t xml:space="preserve">"Nosing: " + if(BLE_STAIR_NOSING_TXT&lt;&gt;"",BLE_STAIR_NOSING_TXT,"TBC") + ". Balustrade: " + if(BLE_STAIR_BALUSTRADE_SPEC_TXT&lt;&gt;"",BLE_STAIR_BALUSTRADE_SPEC_TXT,"TBC") + ". FRR: " + if(FLS_PROT_FLS_RESISTANCE_RATING_MINUTES_MIN&lt;&gt;"",FLS_PROT_FLS_RESISTANCE_RATING_MINUTES_MIN+"min","N/A") + "."</t>
  </si>
  <si>
    <t xml:space="preserve">"Reg: " + if(RGL_STD_TXT&lt;&gt;"",RGL_STD_TXT,"N/A") + ". PWD compliant: " + if(RGL_ACCESS_CLEAR_WIDTH_MM&lt;&gt;"",RGL_ACCESS_CLEAR_WIDTH_MM+"mm clear","N/A") + ". Cost: " + if(CST_S_UNIT_RATE_UGX_NR&lt;&gt;"",CST_S_UNIT_RATE_UGX_NR+" UGX/flight","TBC") + "."</t>
  </si>
  <si>
    <t xml:space="preserve">BLE_STAIR_MAT_TXT, BLE_STAIR_RISE_MM, BLE_STAIR_GOING_MM, BLE_STAIR_WIDTH_MM, BLE_STAIR_TREAD_FINISH_TXT, BLE_STAIR_HANDRAIL_MAT_TXT</t>
  </si>
  <si>
    <t xml:space="preserve">BLE_STAIR_NOSING_TXT, BLE_STAIR_BALUSTRADE_SPEC_TXT, FLS_PROT_FLS_RESISTANCE_RATING_MINUTES_MIN</t>
  </si>
  <si>
    <t xml:space="preserve">RGL_STD_TXT, RGL_ACCESS_CLEAR_WIDTH_MM, CST_S_UNIT_RATE_UGX_NR</t>
  </si>
  <si>
    <t xml:space="preserve">RISE &lt; 150 or &gt; 190 → [!RISE]
GOING &lt; 250 or &gt; 400 → [!GOING]
WIDTH &lt; 1000 → [!WIDTH &lt; 1000]</t>
  </si>
  <si>
    <t xml:space="preserve">BOQ-ARCH-Stairs (sh.08)
Bill No.3: [MAT] stair [W]mm wide</t>
  </si>
  <si>
    <t xml:space="preserve">"Ramp at " + if(BLE_RAMP_SLOPE_PCT&lt;&gt;"",BLE_RAMP_SLOPE_PCT+"%","?%") + " gradient, " + if(BLE_RAMP_SURFACE_FINISH_TXT&lt;&gt;"",BLE_RAMP_SURFACE_FINISH_TXT,"surface TBC") + " finish. Handrails: " + if(BLE_RAMP_HANDRAIL_BOTH_SIDES_BOOL&lt;&gt;"",BLE_RAMP_HANDRAIL_BOTH_SIDES_BOOL,"TBC") + ". Clear width: " + if(RGL_ACCESS_CLEAR_WIDTH_MM&lt;&gt;"",RGL_ACCESS_CLEAR_WIDTH_MM+"mm","TBC") + "."</t>
  </si>
  <si>
    <t xml:space="preserve">"Landing: " + if(BLE_RAMP_LANDING_DIM_TXT&lt;&gt;"",BLE_RAMP_LANDING_DIM_TXT,"TBC") + ". Handrail height: " + if(BLE_RAMP_HANDRAIL_HGT_MM&lt;&gt;"",BLE_RAMP_HANDRAIL_HGT_MM+"mm","TBC") + ". Non-slip: " + if(BLE_RAMP_NONSLIP_TREATMENT_TXT&lt;&gt;"",BLE_RAMP_NONSLIP_TREATMENT_TXT,"TBC") + "."</t>
  </si>
  <si>
    <t xml:space="preserve">"Uganda PWD Act 2020 compliance. Max gradient 1:12 (8.33%). Max run 9m. Approval: " + if(RGL_KCCA_APPROVAL_TXT&lt;&gt;"",RGL_KCCA_APPROVAL_TXT,"pending") + "."</t>
  </si>
  <si>
    <t xml:space="preserve">BLE_RAMP_SLOPE_PCT, BLE_RAMP_SURFACE_FINISH_TXT, BLE_RAMP_HANDRAIL_BOTH_SIDES_BOOL, RGL_ACCESS_CLEAR_WIDTH_MM</t>
  </si>
  <si>
    <t xml:space="preserve">BLE_RAMP_LANDING_DIM_TXT, BLE_RAMP_HANDRAIL_HGT_MM, BLE_RAMP_NONSLIP_TREATMENT_TXT</t>
  </si>
  <si>
    <t xml:space="preserve">RGL_KCCA_APPROVAL_TXT</t>
  </si>
  <si>
    <t xml:space="preserve">SLOPE &gt; 8.33 → [!SLOPE &gt; 1:12]
WIDTH &lt; 900 → [!WIDTH &lt; 900mm]</t>
  </si>
  <si>
    <t xml:space="preserve">BOQ-ARCH-Ramps (sh.08)
Bill No.3: Ramp at [SLOPE]%</t>
  </si>
  <si>
    <t xml:space="preserve">if(BLE_FACADE_CLR_TXT&lt;&gt;"",BLE_FACADE_CLR_TXT,"") + " " + if(BLE_FACADE_FINISH_TXT&lt;&gt;"",BLE_FACADE_FINISH_TXT,"") + " curtain panel, " + if(BLE_FACADE_FIX_SYSTEM_TXT&lt;&gt;"",BLE_FACADE_FIX_SYSTEM_TXT,"fixing TBC") + " fixing. Glass: " + if(BLE_FACADE_GLASS_TYPE_TXT&lt;&gt;"",BLE_FACADE_GLASS_TYPE_TXT,"TBC") + ". U: " + if(PER_THERM_U_VALUE_W_M2K_NR&lt;&gt;"",PER_THERM_U_VALUE_W_M2K_NR+"W/m²K","TBC") + "."</t>
  </si>
  <si>
    <t xml:space="preserve">"Panel size: " + if(BLE_FACADE_PANEL_WIDTH_MM&lt;&gt;"",BLE_FACADE_PANEL_WIDTH_MM+"x","?x") + if(BLE_FACADE_PANEL_HEIGHT_MM&lt;&gt;"",BLE_FACADE_PANEL_HEIGHT_MM+"mm","?mm") + ". Insulation: " + if(BLE_FACADE_INSULATION_TXT&lt;&gt;"",BLE_FACADE_INSULATION_TXT,"TBC") + ". Water penetration: " + if(BLE_FACADE_WTR_PENETRATION_TXT&lt;&gt;"",BLE_FACADE_WTR_PENETRATION_TXT,"TBC") + "."</t>
  </si>
  <si>
    <t xml:space="preserve">"Energy rating: " + if(PER_THERM_ENERGY_RATING_TXT&lt;&gt;"",PER_THERM_ENERGY_RATING_TXT,"TBC") + ". KCCA/UNBS approval: " + if(RGL_KCCA_APPROVAL_TXT&lt;&gt;"",RGL_KCCA_APPROVAL_TXT,"pending") + ". EPD: " + if(MAT_EPD_REF_TXT&lt;&gt;"",MAT_EPD_REF_TXT,"N/A") + "."</t>
  </si>
  <si>
    <t xml:space="preserve">BLE_FACADE_CLR_TXT, BLE_FACADE_FINISH_TXT, BLE_FACADE_FIX_SYSTEM_TXT, BLE_FACADE_GLASS_TYPE_TXT, PER_THERM_U_VALUE_W_M2K_NR</t>
  </si>
  <si>
    <t xml:space="preserve">BLE_FACADE_PANEL_WIDTH_MM, BLE_FACADE_PANEL_HEIGHT_MM, BLE_FACADE_INSULATION_TXT, BLE_FACADE_WTR_PENETRATION_TXT</t>
  </si>
  <si>
    <t xml:space="preserve">PER_THERM_ENERGY_RATING_TXT, RGL_KCCA_APPROVAL_TXT, MAT_EPD_REF_TXT</t>
  </si>
  <si>
    <t xml:space="preserve">PER_THERM_U_VALUE &gt; 2.20 → [!U &gt; 2.20 FACADE]</t>
  </si>
  <si>
    <t xml:space="preserve">BOQ-ARCH-CurtainWall (sh.08)
Bill No.3: [CLR] [FINISH] panel [W]x[H]</t>
  </si>
  <si>
    <t xml:space="preserve">BOQ-ARCH-CurtainWall</t>
  </si>
  <si>
    <t xml:space="preserve">"This " + if(ASS_DESCRIPTION_TXT&lt;&gt;"",ASS_DESCRIPTION_TXT,"casework unit") + ". By " + if(ASS_MANUFACTURER_TXT&lt;&gt;"",ASS_MANUFACTURER_TXT,"TBC") + " model " + if(ASS_MODEL_NR_TXT&lt;&gt;"",ASS_MODEL_NR_TXT,"TBC") + "."</t>
  </si>
  <si>
    <t xml:space="preserve">"Material: " + if(BLE_CASE_MAT_TXT&lt;&gt;"",BLE_CASE_MAT_TXT,"TBC") + ". Finish: " + if(BLE_CASE_FINISH_TXT&lt;&gt;"",BLE_CASE_FINISH_TXT,"TBC") + ". FRR: " + if(FLS_PROT_FLS_RESISTANCE_RATING_MINUTES_MIN&lt;&gt;"",FLS_PROT_FLS_RESISTANCE_RATING_MINUTES_MIN+"min","N/A") + "."</t>
  </si>
  <si>
    <t xml:space="preserve">"Material spec: " + if(BLE_CSWORK_MAT_TXT&lt;&gt;"",BLE_CSWORK_MAT_TXT,"TBC") + ". Finish: " + if(ASS_DESCRIPTION_TXT&lt;&gt;"",ASS_DESCRIPTION_TXT,"TBC") + ". Lead time: " + if(ASS_LEAD_TIME_TXT&lt;&gt;"",ASS_LEAD_TIME_TXT,"TBC") + ". Standard: " + if(RGL_STD_TXT&lt;&gt;"",RGL_STD_TXT,"N/A") + "."</t>
  </si>
  <si>
    <t xml:space="preserve">BLE_CASE_MAT_TXT, BLE_CASE_FINISH_TXT, FLS_PROT_FLS_RESISTANCE_RATING_MINUTES_MIN</t>
  </si>
  <si>
    <t xml:space="preserve">BLE_CSWORK_MAT_TXT, ASS_LEAD_TIME_TXT, RGL_STD_TXT</t>
  </si>
  <si>
    <t xml:space="preserve">ASS_MANUFACTURER_TXT absent → flag for procurement review</t>
  </si>
  <si>
    <t xml:space="preserve">BOQ-ARCH-Casework (sh.08)
Bill No.3: [DESC] casework</t>
  </si>
  <si>
    <t xml:space="preserve">BOQ-ARCH-Casework</t>
  </si>
  <si>
    <t xml:space="preserve">"This " + if(ASS_DESCRIPTION_TXT&lt;&gt;"",ASS_DESCRIPTION_TXT,"furniture item") + ". By " + if(ASS_MANUFACTURER_TXT&lt;&gt;"",ASS_MANUFACTURER_TXT,"TBC") + " model " + if(ASS_MODEL_NR_TXT&lt;&gt;"",ASS_MODEL_NR_TXT,"TBC") + ". Status: " + if(ASS_STATUS_TXT&lt;&gt;"",ASS_STATUS_TXT,"TBC") + "."</t>
  </si>
  <si>
    <t xml:space="preserve">"Qty: " + if(ASS_DESCRIPTION_TXT&lt;&gt;"",ASS_DESCRIPTION_TXT,"TBC") + ". Material: " + if(BLE_FURN_MAT_TXT&lt;&gt;"",BLE_FURN_MAT_TXT,"TBC") + ". Finish: " + if(BLE_FURN_FINISH_TXT&lt;&gt;"",BLE_FURN_FINISH_TXT,"TBC") + ". By: " + if(ASS_MANUFACTURER_TXT&lt;&gt;"",ASS_MANUFACTURER_TXT,"TBC") + "."</t>
  </si>
  <si>
    <t xml:space="preserve">"Cost: " + if(ASS_CST_TOTAL_UGX_NR&lt;&gt;"",ASS_CST_TOTAL_UGX_NR+" UGX","TBC") + ". Warranty: " + if(ASS_WARRANTY_TXT&lt;&gt;"",ASS_WARRANTY_TXT,"TBC") + "."</t>
  </si>
  <si>
    <t xml:space="preserve">ASS_DESCRIPTION_TXT, ASS_MANUFACTURER_TXT, ASS_MODEL_NR_TXT, ASS_STATUS_TXT</t>
  </si>
  <si>
    <t xml:space="preserve">BLE_ROOM_NAME_TXT, ASS_QTY_NR</t>
  </si>
  <si>
    <t xml:space="preserve">ASS_CST_TOTAL_UGX_NR, ASS_WARRANTY_TXT</t>
  </si>
  <si>
    <t xml:space="preserve">No automated threshold — furniture is non-performance element</t>
  </si>
  <si>
    <t xml:space="preserve">N/A (FF&amp;E schedule)
Export to FF&amp;E schedule</t>
  </si>
  <si>
    <t xml:space="preserve">FF&amp;E-Schedule</t>
  </si>
  <si>
    <t xml:space="preserve">MEP — HVAC</t>
  </si>
  <si>
    <t xml:space="preserve">Mech. Equipment</t>
  </si>
  <si>
    <t xml:space="preserve">HVAC_Eqp_Para.rfa</t>
  </si>
  <si>
    <t xml:space="preserve">"" + if(ASS_DESCRIPTION_TXT&lt;&gt;"",ASS_DESCRIPTION_TXT,"HVAC equipment") + ". Capacity: " + if(HVC_CAP_KW&lt;&gt;"",HVC_CAP_KW+"kW","TBC") + ". Refrigerant: " + if(HVC_REFRIGERANT_TXT&lt;&gt;"",HVC_REFRIGERANT_TXT,"TBC") + ". Power: " + if(HVC_PWR_KW&lt;&gt;"",HVC_PWR_KW+"kW","TBC") + ". COP/EER: " + if(HVC_EFF_RATIO_NR&lt;&gt;"",HVC_EFF_RATIO_NR,"TBC") + ". " + if(ASS_MANUFACTURER_TXT&lt;&gt;"",ASS_MANUFACTURER_TXT,"") + " " + if(ASS_MODEL_NR_TXT&lt;&gt;"",ASS_MODEL_NR_TXT,"") + "."</t>
  </si>
  <si>
    <t xml:space="preserve">"BMS control: " + if(HVC_BMS_CONTROL_TYPE_TXT&lt;&gt;"",HVC_BMS_CONTROL_TYPE_TXT,"TBC") + ". Mount height: " + if(MNT_HGT_MM&lt;&gt;"",MNT_HGT_MM+"mm","TBC") + ". Voltage: " + if(HVC_VLT_V&lt;&gt;"",HVC_VLT_V+"V","TBC") + ". Phases: " + if(ELC_PNL_PHS_COUNT_NR&lt;&gt;"",ELC_PNL_PHS_COUNT_NR+"Ph","TBC") + "."</t>
  </si>
  <si>
    <t xml:space="preserve">"Install detail: " + if(ASS_INST_DETAIL_NUM_TXT&lt;&gt;"",ASS_INST_DETAIL_NUM_TXT,"TBC") + ". Commissioning: " + if(ASS_COMMISSION_REQ_TXT&lt;&gt;"",ASS_COMMISSION_REQ_TXT,"TBC") + ". QA cert: " + if(ASS_QA_CERT_TXT&lt;&gt;"",ASS_QA_CERT_TXT,"TBC") + ". Inspect freq: " + if(ASS_INSPECT_FREQ_TXT&lt;&gt;"",ASS_INSPECT_FREQ_TXT,"TBC") + "."</t>
  </si>
  <si>
    <t xml:space="preserve">ASS_DESCRIPTION_TXT, HVC_CAP_KW, HVC_REFRIGERANT_TXT, HVC_PWR_KW, HVC_EFF_RATIO_NR, ASS_MANUFACTURER_TXT, ASS_MODEL_NR_TXT</t>
  </si>
  <si>
    <t xml:space="preserve">HVC_BMS_CONTROL_TYPE_TXT, MNT_HGT_MM, HVC_VLT_V, ELC_PNL_PHS_COUNT_NR</t>
  </si>
  <si>
    <t xml:space="preserve">ASS_INST_DETAIL_NUM_TXT, ASS_COMMISSION_REQ_TXT, ASS_QA_CERT_TXT, ASS_INSPECT_FREQ_TXT</t>
  </si>
  <si>
    <t xml:space="preserve">HVC_EFF_RATIO_NR &lt; 3.0 → [!EFF &lt; 3.0 COP]</t>
  </si>
  <si>
    <t xml:space="preserve">BOQ-HVC-Equipment (sh.08) (sh.08)
Bill No.7: [CAP]kW [MODEL] [TYPE] AC</t>
  </si>
  <si>
    <t xml:space="preserve">BOQ-HVAC-Equipment</t>
  </si>
  <si>
    <t xml:space="preserve">HVAC_Duct_Para.rfa</t>
  </si>
  <si>
    <t xml:space="preserve">if(HVC_DUCT_CLASS_TXT&lt;&gt;"",HVC_DUCT_CLASS_TXT,"") + "-class " + if(HVC_DCT_MAT_TXT&lt;&gt;"",HVC_DCT_MAT_TXT,"GI") + " duct " + if(HVC_DCT_WIDTH_MM&lt;&gt;"",HVC_DCT_WIDTH_MM+"x","") + if(HVC_DCT_HEIGHT_MM&lt;&gt;"",HVC_DCT_HEIGHT_MM+"mm ","") + if(HVC_DCT_DIA_MM&lt;&gt;"","DN"+HVC_DCT_DIA_MM+" ","") + ". Lining: " + if(HVC_DUCT_LINING_TXT&lt;&gt;"",HVC_DUCT_LINING_TXT,"none") + ". Flow: " + if(HVC_DCT_FLW_CFM&lt;&gt;"",HVC_DCT_FLW_CFM+"CFM","TBC") + "."</t>
  </si>
  <si>
    <t xml:space="preserve">"Velocity: " + if(HVC_VEL_MPS&lt;&gt;"",HVC_VEL_MPS+"m/s","TBC") + ". Insulation: " + if(HVC_DCT_INSULATION_TXT&lt;&gt;"",HVC_DCT_INSULATION_TXT,"TBC") + ". Leakage class: " + if(HVC_DUCT_LEAKAGE_CLASS_TXT&lt;&gt;"",HVC_DUCT_LEAKAGE_CLASS_TXT,"TBC") + "."</t>
  </si>
  <si>
    <t xml:space="preserve">"System: " + if(ASS_SYSTEM_TYPE_TXT&lt;&gt;"",ASS_SYSTEM_TYPE_TXT,"TBC") + ". Zone: " + if(ASS_ZONE_TXT&lt;&gt;"",ASS_ZONE_TXT,"TBC") + ". Hangers at: " + if(HVC_DCT_HANGER_SPACING_MM&lt;&gt;"",HVC_DCT_HANGER_SPACING_MM+"mm","TBC") + "."</t>
  </si>
  <si>
    <t xml:space="preserve">HVC_DUCT_CLASS_TXT, HVC_DCT_MAT_TXT, HVC_DCT_WIDTH_MM, HVC_DCT_HEIGHT_MM, HVC_DCT_DIA_MM, HVC_DUCT_LINING_TXT, HVC_DCT_FLW_CFM</t>
  </si>
  <si>
    <t xml:space="preserve">HVC_VEL_MPS, HVC_DCT_INSULATION_TXT, HVC_DUCT_LEAKAGE_CLASS_TXT</t>
  </si>
  <si>
    <t xml:space="preserve">ASS_SYSTEM_TYPE_TXT, ASS_ZONE_TXT, HVC_DCT_HANGER_SPACING_MM</t>
  </si>
  <si>
    <t xml:space="preserve">HVC_VEL_MPS &gt; 6.0 → [!VEL &gt; 6.0m/s]</t>
  </si>
  <si>
    <t xml:space="preserve">BOQ-HVAC-Ductwork (sh.08)
Bill No.7: [CLASS]-class [MAT] duct [W]x[H]</t>
  </si>
  <si>
    <t xml:space="preserve">BOQ-HVAC-Ductwork</t>
  </si>
  <si>
    <t xml:space="preserve">"Flexible " + if(HVC_DCT_MAT_TXT&lt;&gt;"",HVC_DCT_MAT_TXT,"") + " duct " + if(HVC_DCT_DIA_MM&lt;&gt;"","DN"+HVC_DCT_DIA_MM,"size TBC") + ", " + if(HVC_DUCT_LINING_TXT&lt;&gt;"",HVC_DUCT_LINING_TXT,"") + " lining. Velocity: " + if(HVC_VEL_MPS&lt;&gt;"",HVC_VEL_MPS+"m/s","TBC") + "."</t>
  </si>
  <si>
    <t xml:space="preserve">"Flow: " + if(HVC_DCT_FLW_CFM&lt;&gt;"",HVC_DCT_FLW_CFM+"CFM","TBC") + ". Connection: " + if(HVC_DCT_CONNECTION_TXT&lt;&gt;"",HVC_DCT_CONNECTION_TXT,"TBC") + "."</t>
  </si>
  <si>
    <t xml:space="preserve">"Standard: SMACNA max 1500mm. Install leak class: " + if(HVC_DUCT_CLASS_TXT&lt;&gt;"",HVC_DUCT_CLASS_TXT,"Class B") + ". Commissioning test date: " + if(ASS_QA_CERT_TXT&lt;&gt;"",ASS_QA_CERT_TXT,"TBC") + ". Lining: " + if(HVC_DCT_LINING_TXT&lt;&gt;"",HVC_DCT_LINING_TXT,"acoustic") + "."</t>
  </si>
  <si>
    <t xml:space="preserve">HVC_DCT_MAT_TXT, HVC_DCT_DIA_MM, HVC_DUCT_LINING_TXT, HVC_VEL_MPS</t>
  </si>
  <si>
    <t xml:space="preserve">HVC_DCT_FLW_CFM, HVC_DCT_CONNECTION_TXT</t>
  </si>
  <si>
    <t xml:space="preserve">HVC_DUCT_CLASS_TXT, ASS_QA_CERT_TXT, HVC_DCT_LINING_TXT</t>
  </si>
  <si>
    <t xml:space="preserve">HVC_VEL_MPS &gt; 4.0 → [!FLEX VEL &gt; 4.0m/s]
(stricter than rigid)</t>
  </si>
  <si>
    <t xml:space="preserve">BOQ-HVC-FlexDucts (sh.08) (sh.08)
Bill No.7: [DIA]mm flexible duct</t>
  </si>
  <si>
    <t xml:space="preserve">BOQ-HVAC-FlexDucts</t>
  </si>
  <si>
    <t xml:space="preserve">HVAC_AT_Para.rfa</t>
  </si>
  <si>
    <t xml:space="preserve">if(HVC_TERMINAL_TYPE_TXT&lt;&gt;"",HVC_TERMINAL_TYPE_TXT,"Air terminal") + " " + if(HVC_DCT_TERMINAL_SZ_TXT&lt;&gt;"",HVC_DCT_TERMINAL_SZ_TXT,"(size TBC)") + ". Flow: " + if(HVC_DCT_FLW_CFM&lt;&gt;"",HVC_DCT_FLW_CFM+"CFM","TBC") + ". Sound: " + if(HVC_DCT_TERMINAL_SOUND_DB_NR&lt;&gt;"",HVC_DCT_TERMINAL_SOUND_DB_NR+"dB","TBC") + "."</t>
  </si>
  <si>
    <t xml:space="preserve">"Neck: " + if(HVC_DCT_NECK_SZ_TXT&lt;&gt;"",HVC_DCT_NECK_SZ_TXT,"TBC") + ". Pressure drop: " + if(HVC_TERMINAL_PD_PA&lt;&gt;"",HVC_TERMINAL_PD_PA+"Pa","TBC") + ". Damper: " + if(HVC_TERMINAL_DAMPER_BOOL&lt;&gt;"",HVC_TERMINAL_DAMPER_BOOL,"TBC") + "."</t>
  </si>
  <si>
    <t xml:space="preserve">"By " + if(ASS_MANUFACTURER_TXT&lt;&gt;"",ASS_MANUFACTURER_TXT,"TBC") + ". System: " + if(ASS_SYSTEM_TYPE_TXT&lt;&gt;"",ASS_SYSTEM_TYPE_TXT,"TBC") + "."</t>
  </si>
  <si>
    <t xml:space="preserve">HVC_TERMINAL_TYPE_TXT, HVC_DCT_TERMINAL_SZ_TXT, HVC_DCT_FLW_CFM, HVC_DCT_TERMINAL_SOUND_DB_NR</t>
  </si>
  <si>
    <t xml:space="preserve">HVC_DCT_NECK_SZ_TXT, HVC_TERMINAL_PD_PA, HVC_TERMINAL_DAMPER_BOOL</t>
  </si>
  <si>
    <t xml:space="preserve">ASS_MANUFACTURER_TXT, ASS_SYSTEM_TYPE_TXT</t>
  </si>
  <si>
    <t xml:space="preserve">HVC_DCT_TERMINAL_SOUND_DB_NR &gt; 35 → [!NOISE &gt; 35dB]</t>
  </si>
  <si>
    <t xml:space="preserve">BOQ-HVAC-AirTerminals (sh.08)
Bill No.7: [TYPE] terminal [SZ] [FLOW]m³/h</t>
  </si>
  <si>
    <t xml:space="preserve">BOQ-HVAC-AirTerminals</t>
  </si>
  <si>
    <t xml:space="preserve">"This " + if(ASS_DESCRIPTION_TXT&lt;&gt;"",ASS_DESCRIPTION_TXT,"duct accessory") + ", " + if(HVC_DCT_MAT_TXT&lt;&gt;"",HVC_DCT_MAT_TXT,"TBC") + " body. Control: " + if(HVC_CONTROL_TYPE_TXT&lt;&gt;"",HVC_CONTROL_TYPE_TXT,"none") + ". By " + if(ASS_MANUFACTURER_TXT&lt;&gt;"",ASS_MANUFACTURER_TXT,"TBC") + "."</t>
  </si>
  <si>
    <t xml:space="preserve">"Actuator: " + if(HVC_ACTUATOR_TXT&lt;&gt;"",HVC_ACTUATOR_TXT,"TBC") + ". FRR: " + if(FLS_PROT_FLS_RESISTANCE_RATING_MINUTES_MIN&lt;&gt;"",FLS_PROT_FLS_RESISTANCE_RATING_MINUTES_MIN+"min","N/A") + "."</t>
  </si>
  <si>
    <t xml:space="preserve">"Test cert: " + if(ASS_QA_CERT_TXT&lt;&gt;"",ASS_QA_CERT_TXT,"pending") + ". Standard: " + if(RGL_STD_TXT&lt;&gt;"",RGL_STD_TXT,"SMACNA/CIBSE") + ". Inspection interval: " + if(ASS_INSPECT_FREQ_TXT&lt;&gt;"",ASS_INSPECT_FREQ_TXT,"annual") + "."</t>
  </si>
  <si>
    <t xml:space="preserve">ASS_DESCRIPTION_TXT, HVC_DCT_MAT_TXT, HVC_CONTROL_TYPE_TXT, ASS_MANUFACTURER_TXT</t>
  </si>
  <si>
    <t xml:space="preserve">HVC_ACTUATOR_TXT, FLS_PROT_FLS_RESISTANCE_RATING_MINUTES_MIN</t>
  </si>
  <si>
    <t xml:space="preserve">ASS_QA_CERT_TXT, RGL_STD_TXT, ASS_INSPECT_FREQ_TXT</t>
  </si>
  <si>
    <t xml:space="preserve">FRR &lt; 30 on fire dampers → [!FRR &lt; 30]</t>
  </si>
  <si>
    <t xml:space="preserve">BOQ-HVC-DuctAcc (sh.08) (sh.08)
Bill No.7: [DESC] accessory</t>
  </si>
  <si>
    <t xml:space="preserve">BOQ-HVAC-DuctAcc</t>
  </si>
  <si>
    <t xml:space="preserve">MEP — ELECTRICAL</t>
  </si>
  <si>
    <t xml:space="preserve">Elec. Equipment
(DB Panels)</t>
  </si>
  <si>
    <t xml:space="preserve">ELC_Panel_Para.rfa</t>
  </si>
  <si>
    <t xml:space="preserve">if(ELC_PNL_DESIGNATION_NAME_TXT&lt;&gt;"",ELC_PNL_DESIGNATION_NAME_TXT,"DB") + " distribution board. " + if(ELC_PNL_VLT_V&lt;&gt;"",ELC_PNL_VLT_V+"V","") + " " + if(ELC_PNL_PHS_COUNT_NR&lt;&gt;"",ELC_PNL_PHS_COUNT_NR+"-phase","") + ", " + if(ELC_PNL_NUM_OF_WAYS_NR&lt;&gt;"",ELC_PNL_NUM_OF_WAYS_NR+" ways","?W") + ". Main: " + if(ELC_PNL_MAIN_BRK_A&lt;&gt;"",ELC_PNL_MAIN_BRK_A+"A","TBC") + ". Fault: " + if(ELC_PNL_SHORT_CIRCUIT_KA&lt;&gt;"",ELC_PNL_SHORT_CIRCUIT_KA+"kA","TBC") + "."</t>
  </si>
  <si>
    <t xml:space="preserve">"Load: " + if(ELC_PNL_CONNECTED_LOAD_KW&lt;&gt;"",ELC_PNL_CONNECTED_LOAD_KW+"kW","TBC") + "/" + if(ELC_PNL_RATED_KW&lt;&gt;"",ELC_PNL_RATED_KW+"kW rated","TBC") + ". Spare ways: " + if(ELC_PNL_SPARE_WAYS_NR&lt;&gt;"",ELC_PNL_SPARE_WAYS_NR,"TBC") + ". IP rating: " + if(ELC_PNL_IP_RATING_TXT&lt;&gt;"",ELC_PNL_IP_RATING_TXT,"TBC") + ". Feeder cable: " + if(ELC_CBL_FEEDER_SZ_MM2&lt;&gt;"",ELC_CBL_FEEDER_SZ_MM2+"mm²","TBC") + "."</t>
  </si>
  <si>
    <t xml:space="preserve">"UMEME approval: " + if(RGL_UMEME_APPROVAL_TXT&lt;&gt;"",RGL_UMEME_APPROVAL_TXT,"pending") + ". KCCA: " + if(RGL_KCCA_APPROVAL_TXT&lt;&gt;"",RGL_KCCA_APPROVAL_TXT,"pending") + ". NEMA: " + if(RGL_NEMA_APPROVAL_TXT&lt;&gt;"",RGL_NEMA_APPROVAL_TXT,"N/A") + ". Test report: " + if(ASS_QA_TEST_REPORT_TXT&lt;&gt;"",ASS_QA_TEST_REPORT_TXT,"TBC") + "."</t>
  </si>
  <si>
    <t xml:space="preserve">ELC_PNL_CONNECTED_LOAD_KW, ELC_PNL_RATED_KW, ELC_PNL_SPARE_WAYS_NR, ELC_PNL_IP_RATING_TXT, ELC_CBL_FEEDER_SZ_MM2</t>
  </si>
  <si>
    <t xml:space="preserve">RGL_UMEME_APPROVAL_TXT, RGL_KCCA_APPROVAL_TXT, RGL_NEMA_APPROVAL_TXT, ASS_QA_TEST_REPORT_TXT</t>
  </si>
  <si>
    <t xml:space="preserve">ELC_VLT_DROP_PCT &gt; 4.0 → [!VD &gt; 4%]
ELC_PNL_CONNECTED_LOAD &gt; 80% rated → [!OVERLOADED]
ELC_PNL_SC &lt; 6kA → [!SC &lt; 6kA]</t>
  </si>
  <si>
    <t xml:space="preserve">BOQ-ELC-DBPanels (sh.08)
Bill No.4: [DESIGN] DB [V][PH] [WAYS]W</t>
  </si>
  <si>
    <t xml:space="preserve">LTG_Fix_Para.rfa</t>
  </si>
  <si>
    <t xml:space="preserve">if(LTG_FIX_TYPE_CLASSIFICATION_TXT&lt;&gt;"",LTG_FIX_TYPE_CLASSIFICATION_TXT,"Luminaire") + " " + if(LTG_FIX_LMP_WATTAGE_W&lt;&gt;"",LTG_FIX_LMP_WATTAGE_W+"W","?W") + " LED, " + if(ASS_DESCRIPTION_TXT&lt;&gt;"",ASS_DESCRIPTION_TXT,"") + ". Mounting: " + if(LTG_FIX_MOUNTING_TXT&lt;&gt;"",LTG_FIX_MOUNTING_TXT,"TBC") + ". By " + if(ASS_MANUFACTURER_TXT&lt;&gt;"",ASS_MANUFACTURER_TXT,"TBC") + " (Type " + if(ASS_EQUIPMENT_TAG_TXT&lt;&gt;"",ASS_EQUIPMENT_TAG_TXT,"?") + ")."</t>
  </si>
  <si>
    <t xml:space="preserve">"Efficacy: " + if(LTG_EFFICACY_LM_W&lt;&gt;"",LTG_EFFICACY_LM_W+"lm/W","TBC") + ". CRI: " + if(LTG_CLR_CRI_NR&lt;&gt;"",LTG_CLR_CRI_NR,"TBC") + ". CCT: " + if(LTG_CLR_CCT_K_NR&lt;&gt;"",LTG_CLR_CCT_K_NR+"K","TBC") + ". IP: " + if(LTG_FIX_IP_RATING_TXT&lt;&gt;"",LTG_FIX_IP_RATING_TXT,"TBC") + ". Control: " + if(LTG_FIX_CTRL_INTERFACE_TXT&lt;&gt;"",LTG_FIX_CTRL_INTERFACE_TXT,"TBC") + "."</t>
  </si>
  <si>
    <t xml:space="preserve">"Emergency: " + if(LTG_FIX_EMERGENCY_BOOL&lt;&gt;"",LTG_FIX_EMERGENCY_BOOL,"N/A") + ". DALI: " + if(LTG_FIX_DALI_BOOL&lt;&gt;"",LTG_FIX_DALI_BOOL,"N/A") + ". Luminaire schedule ref: " + if(ASS_EQUIPMENT_TAG_TXT&lt;&gt;"",ASS_EQUIPMENT_TAG_TXT,"TBC") + ". ELC approved: " + if(RGL_UMEME_APPROVAL_TXT&lt;&gt;"",RGL_UMEME_APPROVAL_TXT,"pending") + "."</t>
  </si>
  <si>
    <t xml:space="preserve">LTG_FIX_TYPE_CLASSIFICATION_TXT, LTG_FIX_LMP_WATTAGE_W, ASS_DESCRIPTION_TXT, LTG_FIX_MOUNTING_TXT, ASS_MANUFACTURER_TXT, ASS_EQUIPMENT_TAG_TXT</t>
  </si>
  <si>
    <t xml:space="preserve">LTG_EFFICACY_LM_W, LTG_CLR_CRI_NR, LTG_CLR_CCT_K_NR, LTG_FIX_IP_RATING_TXT, LTG_FIX_CTRL_INTERFACE_TXT</t>
  </si>
  <si>
    <t xml:space="preserve">LTG_FIX_EMERGENCY_BOOL, LTG_FIX_DALI_BOOL, RGL_UMEME_APPROVAL_TXT</t>
  </si>
  <si>
    <t xml:space="preserve">ASS_DESIGN_LTG_LVL_LUX_NR &lt; 300 (room) → [!LUX &lt; 300]</t>
  </si>
  <si>
    <t xml:space="preserve">BOQ-ELC-Luminaires (sh.08)
Bill No.4: [TYPE] [W]W LED luminaire</t>
  </si>
  <si>
    <t xml:space="preserve">Elec. Fixtures
(Points &amp; Sockets)</t>
  </si>
  <si>
    <t xml:space="preserve">ELC_Fix_Para.rfa</t>
  </si>
  <si>
    <t xml:space="preserve">if(ASS_DESCRIPTION_TXT&lt;&gt;"",ASS_DESCRIPTION_TXT,"Electrical fixture") + ". Circuit: " + if(ELC_CKT_CBL_TYPE_TXT&lt;&gt;"",ELC_CKT_CBL_TYPE_TXT,"TBC") + " cable, " + if(ELC_CDT_SZ_MM&lt;&gt;"",ELC_CDT_SZ_MM+"mm","?mm") + " PVC conduit " + if(ELC_CDT_INSTALL_METHOD_TXT&lt;&gt;"",ELC_CDT_INSTALL_METHOD_TXT,"") + "."</t>
  </si>
  <si>
    <t xml:space="preserve">"VD: " + if(ELC_VLT_DROP_PCT&lt;&gt;"",ELC_VLT_DROP_PCT+"%","TBC") + ". Rating: " + if(ELC_CKT_BRK_RATING_A&lt;&gt;"",ELC_CKT_BRK_RATING_A+"A","TBC") + ". DB: " + if(ELC_PNL_DESIGNATION_NAME_TXT&lt;&gt;"",ELC_PNL_DESIGNATION_NAME_TXT,"TBC") + ". By " + if(ASS_MANUFACTURER_TXT&lt;&gt;"",ASS_MANUFACTURER_TXT,"TBC") + "."</t>
  </si>
  <si>
    <t xml:space="preserve">"Test cert: " + if(ASS_QA_CERT_TXT&lt;&gt;"",ASS_QA_CERT_TXT,"TBC") + ". UMEME: " + if(RGL_UMEME_APPROVAL_TXT&lt;&gt;"",RGL_UMEME_APPROVAL_TXT,"pending") + "."</t>
  </si>
  <si>
    <t xml:space="preserve">ASS_DESCRIPTION_TXT, ELC_CKT_CBL_TYPE_TXT, ELC_CDT_SZ_MM, ELC_CDT_INSTALL_METHOD_TXT</t>
  </si>
  <si>
    <t xml:space="preserve">ELC_VLT_DROP_PCT, ELC_CKT_BRK_RATING_A, ELC_PNL_DESIGNATION_NAME_TXT, ASS_MANUFACTURER_TXT</t>
  </si>
  <si>
    <t xml:space="preserve">ASS_QA_CERT_TXT, RGL_UMEME_APPROVAL_TXT</t>
  </si>
  <si>
    <t xml:space="preserve">ELC_VLT_DROP_PCT &gt; 4.0 → [!VD &gt; 4%]</t>
  </si>
  <si>
    <t xml:space="preserve">BOQ-ELC-Lighting-Points / BOQ-ELC-Socket-Points (sh.08) (sh.08)
Bill No.4: Lighting/socket/TV/FA/CCTV points</t>
  </si>
  <si>
    <t xml:space="preserve">BOQ-ELC-Points</t>
  </si>
  <si>
    <t xml:space="preserve">if(ELC_CDT_SZ_MM&lt;&gt;"",ELC_CDT_SZ_MM+"mm","?mm") + " " + if(ELC_CDT_MAT_TXT&lt;&gt;"",ELC_CDT_MAT_TXT,"PVC") + " conduit, " + if(ELC_CDT_INSTALL_METHOD_TXT&lt;&gt;"",ELC_CDT_INSTALL_METHOD_TXT,"") + " installation. Fill: " + if(ELC_CDT_CBL_FILL_PCT&lt;&gt;"",ELC_CDT_CBL_FILL_PCT+"%","TBC") + "."</t>
  </si>
  <si>
    <t xml:space="preserve">"Cable: " + if(ELC_CBL_TYPE_TXT&lt;&gt;"",ELC_CBL_TYPE_TXT,"TBC") + " " + if(ELC_CBL_CORES_NR&lt;&gt;"",ELC_CBL_CORES_NR+"c×","") + if(ELC_CBL_SZ_MM2&lt;&gt;"",ELC_CBL_SZ_MM2+"mm²","TBC") + ". Load current: " + if(ELC_CBL_LOAD_A&lt;&gt;"",ELC_CBL_LOAD_A+"A","TBC") + ". From: " + if(ELC_CBL_SOURCE_TXT&lt;&gt;"",ELC_CBL_SOURCE_TXT,"TBC") + " → " + if(ELC_CBL_DEST_TXT&lt;&gt;"",ELC_CBL_DEST_TXT,"TBC") + "."</t>
  </si>
  <si>
    <t xml:space="preserve">"As-installed cert: " + if(ASS_QA_CERT_TXT&lt;&gt;"",ASS_QA_CERT_TXT,"TBC") + ". RGL: " + if(RGL_STD_TXT&lt;&gt;"",RGL_STD_TXT,"IEC 60364") + "."</t>
  </si>
  <si>
    <t xml:space="preserve">ELC_CDT_SZ_MM, ELC_CDT_MAT_TXT, ELC_CDT_INSTALL_METHOD_TXT, ELC_CDT_CBL_FILL_PCT</t>
  </si>
  <si>
    <t xml:space="preserve">ELC_CBL_TYPE_TXT, ELC_CBL_CORES_NR, ELC_CBL_SZ_MM2, ELC_CBL_LOAD_A, ELC_CBL_SOURCE_TXT, ELC_CBL_DEST_TXT</t>
  </si>
  <si>
    <t xml:space="preserve">ASS_QA_CERT_TXT, RGL_STD_TXT</t>
  </si>
  <si>
    <t xml:space="preserve">ELC_CDT_CBL_FILL_PCT &gt; 40 → [!CONDUIT FILL &gt; 40%]</t>
  </si>
  <si>
    <t xml:space="preserve">BOQ-ELC-Conduits (sh.08)
Bill No.4: [SZ]mm [MAT] conduit</t>
  </si>
  <si>
    <t xml:space="preserve">if(ELC_CTR_WIDTH_MM&lt;&gt;"",ELC_CTR_WIDTH_MM+"x","?x") + if(ELC_CTR_DEPTH_MM&lt;&gt;"",ELC_CTR_DEPTH_MM+"mm","?mm") + " " + if(ELC_CTR_MAT_TXT&lt;&gt;"",ELC_CTR_MAT_TXT,"steel") + " cable tray. Fill: " + if(ELC_CTR_FILL_PCT&lt;&gt;"",ELC_CTR_FILL_PCT+"%","TBC") + "."</t>
  </si>
  <si>
    <t xml:space="preserve">"Cable: " + if(ELC_CBL_TYPE_TXT&lt;&gt;"",ELC_CBL_TYPE_TXT,"TBC") + ". Load: " + if(ELC_CBL_LOAD_A&lt;&gt;"",ELC_CBL_LOAD_A+"A","TBC") + ". Support spacing: " + if(ELC_CTR_SUPPORT_SPACING_MM&lt;&gt;"",ELC_CTR_SUPPORT_SPACING_MM+"mm","TBC") + "."</t>
  </si>
  <si>
    <t xml:space="preserve">"Standard: IEC 61537. Cert: " + if(ASS_QA_CERT_TXT&lt;&gt;"",ASS_QA_CERT_TXT,"pending") + ". Earthing: " + if(ELC_EARTH_TXT&lt;&gt;"",ELC_EARTH_TXT,"continuous earth bond required") + ". Inspection: " + if(ASS_INSPECT_FREQ_TXT&lt;&gt;"",ASS_INSPECT_FREQ_TXT,"annual") + "."</t>
  </si>
  <si>
    <t xml:space="preserve">ELC_CTR_WIDTH_MM, ELC_CTR_DEPTH_MM, ELC_CTR_MAT_TXT, ELC_CTR_FILL_PCT</t>
  </si>
  <si>
    <t xml:space="preserve">ELC_CBL_TYPE_TXT, ELC_CBL_LOAD_A, ELC_CTR_SUPPORT_SPACING_MM</t>
  </si>
  <si>
    <t xml:space="preserve">ASS_QA_CERT_TXT, ELC_EARTH_TXT, ASS_INSPECT_FREQ_TXT</t>
  </si>
  <si>
    <t xml:space="preserve">ELC_CTR_FILL_PCT &gt; 45 → [!TRAY FILL &gt; 45%]</t>
  </si>
  <si>
    <t xml:space="preserve">BOQ-ELC-CableTrays (sh.08)
Bill No.4: Steel cable tray [W]x[D]mm</t>
  </si>
  <si>
    <t xml:space="preserve">MEP — PLUMBING &amp; DRAINAGE</t>
  </si>
  <si>
    <t xml:space="preserve">PLM_Pipe_Para.rfa</t>
  </si>
  <si>
    <t xml:space="preserve">if(PLM_PPE_SZ_MM&lt;&gt;"",PLM_PPE_SZ_MM+"mm","?mm") + " " + if(PLM_PPE_MAT_TXT&lt;&gt;"",PLM_PPE_MAT_TXT,"pipe") + " pipe " + if(PLM_PPE_PSR_RATING_BAR&lt;&gt;"","PN"+PLM_PPE_PSR_RATING_BAR,"") + " complete with fittings. System: " + if(ASS_SYSTEM_TYPE_TXT&lt;&gt;"",ASS_SYSTEM_TYPE_TXT,"TBC") + "."</t>
  </si>
  <si>
    <t xml:space="preserve">"Flow: " + if(PLM_PPE_FLW_LPS&lt;&gt;"",PLM_PPE_FLW_LPS+"L/s","TBC") + ". Velocity: " + if(PLM_VEL_MPS&lt;&gt;"",PLM_VEL_MPS+"m/s","TBC") + ". Pressure: " + if(PLM_PSR_KPA&lt;&gt;"",PLM_PSR_KPA+"kPa","TBC") + ". Insulation: " + if(PLM_PPE_INSULATION_TXT&lt;&gt;"",PLM_PPE_INSULATION_TXT,"none") + "."</t>
  </si>
  <si>
    <t xml:space="preserve">"NWSC approval: " + if(RGL_NWSC_APPROVAL_TXT&lt;&gt;"",RGL_NWSC_APPROVAL_TXT,"pending") + ". Test pressure: " + if(PLM_PPE_TEST_PSR_BAR&lt;&gt;"",PLM_PPE_TEST_PSR_BAR+"bar","TBC") + ". Tracer wire: " + if(PLM_PPE_TRACER_WIRE_BOOL&lt;&gt;"",PLM_PPE_TRACER_WIRE_BOOL,"N/A") + "."</t>
  </si>
  <si>
    <t xml:space="preserve">PLM_PPE_SZ_MM, PLM_PPE_MAT_TXT, PLM_PPE_PSR_RATING_BAR, ASS_SYSTEM_TYPE_TXT</t>
  </si>
  <si>
    <t xml:space="preserve">PLM_PPE_FLW_LPS, PLM_VEL_MPS, PLM_PSR_KPA, PLM_PPE_INSULATION_TXT</t>
  </si>
  <si>
    <t xml:space="preserve">RGL_NWSC_APPROVAL_TXT, PLM_PPE_TEST_PSR_BAR, PLM_PPE_TRACER_WIRE_BOOL</t>
  </si>
  <si>
    <t xml:space="preserve">PLM_PPE_FLW_LPS &gt; 2.0 → [!FLOW &gt; 2.0]
PLM_VEL_MPS &gt; 2.0 → [!VEL &gt; 2.0]
PLM_PSR_KPA &lt; 150 or &gt; 600 → [!PSR]</t>
  </si>
  <si>
    <t xml:space="preserve">BOQ-PLM-Pipework (sh.08)
Bill No.5: [SZ]mm [MAT] pipework</t>
  </si>
  <si>
    <t xml:space="preserve">"This " + if(ASS_DESCRIPTION_TXT&lt;&gt;"",ASS_DESCRIPTION_TXT,"sanitary fixture") + ". " + if(PLM_PPE_MAT_TXT&lt;&gt;"",PLM_PPE_MAT_TXT,"") + " body, DN" + if(PLM_PPE_SZ_MM&lt;&gt;"",PLM_PPE_SZ_MM,"?") + ". Drain: " + if(PLM_DRN_BODY_MAT_TXT&lt;&gt;"",PLM_DRN_BODY_MAT_TXT,"TBC") + " with " + if(PLM_DRN_TRAP_TYPE_TXT&lt;&gt;"",PLM_DRN_TRAP_TYPE_TXT,"trap TBC") + ". By " + if(ASS_MANUFACTURER_TXT&lt;&gt;"",ASS_MANUFACTURER_TXT,"TBC") + " model " + if(ASS_MODEL_NR_TXT&lt;&gt;"",ASS_MODEL_NR_TXT,"TBC") + "."</t>
  </si>
  <si>
    <t xml:space="preserve">"Hot water: " + if(PLM_HOTWTR_TEMP_C&lt;&gt;"",PLM_HOTWTR_TEMP_C+"°C","TBC") + ". Recovery: " + if(PLM_HOTWTR_RECOVERY_L_H&lt;&gt;"",PLM_HOTWTR_RECOVERY_L_H+"L/h","TBC") + ". Flow: " + if(PLM_PPE_FLW_LPS&lt;&gt;"",PLM_PPE_FLW_LPS+"L/s","TBC") + ". Pressure: " + if(PLM_PSR_KPA&lt;&gt;"",PLM_PSR_KPA+"kPa","TBC") + "."</t>
  </si>
  <si>
    <t xml:space="preserve">"NWSC approval: " + if(RGL_NWSC_APPROVAL_TXT&lt;&gt;"",RGL_NWSC_APPROVAL_TXT,"pending") + ". Accessibility: " + if(RGL_ACCESS_CLEAR_WIDTH_MM&lt;&gt;"",RGL_ACCESS_CLEAR_WIDTH_MM+"mm clear","N/A") + ". Inspect interval: " + if(ASS_INSPECT_FREQ_TXT&lt;&gt;"",ASS_INSPECT_FREQ_TXT,"TBC") + ". Warranty: " + if(ASS_WARRANTY_TXT&lt;&gt;"",ASS_WARRANTY_TXT,"TBC") + "."</t>
  </si>
  <si>
    <t xml:space="preserve">ASS_DESCRIPTION_TXT, PLM_PPE_MAT_TXT, PLM_PPE_SZ_MM, PLM_DRN_BODY_MAT_TXT, PLM_DRN_TRAP_TYPE_TXT, ASS_MANUFACTURER_TXT, ASS_MODEL_NR_TXT</t>
  </si>
  <si>
    <t xml:space="preserve">PLM_HOTWTR_TEMP_C, PLM_HOTWTR_RECOVERY_L_H, PLM_PPE_FLW_LPS, PLM_PSR_KPA</t>
  </si>
  <si>
    <t xml:space="preserve">RGL_NWSC_APPROVAL_TXT, RGL_ACCESS_CLEAR_WIDTH_MM, ASS_INSPECT_FREQ_TXT, ASS_WARRANTY_TXT</t>
  </si>
  <si>
    <t xml:space="preserve">PLM_PPE_FLW_LPS &gt; 0.15 (fixture) → [!FLOW]
PLM_PSR_KPA out of range → [!PSR]</t>
  </si>
  <si>
    <t xml:space="preserve">BOQ-PLM-SanitaryWC / BOQ-PLM-SanitaryWHB (sh.08) (sh.08)
Bill No.5: WC/WHB/Urinal/Sink/Cleaner</t>
  </si>
  <si>
    <t xml:space="preserve">BOQ-PLM-Sanitary</t>
  </si>
  <si>
    <t xml:space="preserve">"This " + if(ASS_DESCRIPTION_TXT&lt;&gt;"",ASS_DESCRIPTION_TXT,"plumbing equipment") + ", " + if(PLM_CAP_CU_M&lt;&gt;"",PLM_CAP_CU_M+"m³","?m³") + " capacity, " + if(PLM_PWR_KW&lt;&gt;"",PLM_PWR_KW+"kW","?kW") + ", " + if(PLM_HED_M&lt;&gt;"",PLM_HED_M+"m head","?m head") + ". By " + if(ASS_MANUFACTURER_TXT&lt;&gt;"",ASS_MANUFACTURER_TXT,"TBC") + " model " + if(ASS_MODEL_NR_TXT&lt;&gt;"",ASS_MODEL_NR_TXT,"TBC") + "."</t>
  </si>
  <si>
    <t xml:space="preserve">"Fuel: " + if(PLM_HOTWTR_FUEL_TXT&lt;&gt;"",PLM_HOTWTR_FUEL_TXT,"TBC") + ". Control: " + if(HVC_CONTROL_TYPE_TXT&lt;&gt;"",HVC_CONTROL_TYPE_TXT,"TBC") + ". Power: " + if(ELC_PNL_VLT_V&lt;&gt;"",ELC_PNL_VLT_V+"V","TBC") + "."</t>
  </si>
  <si>
    <t xml:space="preserve">"NWSC approval: " + if(RGL_NWSC_APPROVAL_TXT&lt;&gt;"",RGL_NWSC_APPROVAL_TXT,"pending") + ". Inspect freq: " + if(ASS_INSPECT_FREQ_TXT&lt;&gt;"",ASS_INSPECT_FREQ_TXT,"TBC") + ". Warranty: " + if(ASS_WARRANTY_TXT&lt;&gt;"",ASS_WARRANTY_TXT,"TBC") + "."</t>
  </si>
  <si>
    <t xml:space="preserve">ASS_DESCRIPTION_TXT, PLM_CAP_CU_M, PLM_PWR_KW, PLM_HED_M, ASS_MANUFACTURER_TXT, ASS_MODEL_NR_TXT</t>
  </si>
  <si>
    <t xml:space="preserve">PLM_HOTWTR_FUEL_TXT, HVC_CONTROL_TYPE_TXT, ELC_PNL_VLT_V</t>
  </si>
  <si>
    <t xml:space="preserve">RGL_NWSC_APPROVAL_TXT, ASS_INSPECT_FREQ_TXT, ASS_WARRANTY_TXT</t>
  </si>
  <si>
    <t xml:space="preserve">PLM_PWR_KW, PLM_HED_M — no threshold</t>
  </si>
  <si>
    <t xml:space="preserve">BOQ-PLM-WaterHeater (sh.08) (sh.08)
Bill No.5: [DESC] [CAP]m³ pump/tank/heater</t>
  </si>
  <si>
    <t xml:space="preserve">BOQ-PLM-Equipment</t>
  </si>
  <si>
    <t xml:space="preserve">"This " + if(ASS_DESCRIPTION_TXT&lt;&gt;"",ASS_DESCRIPTION_TXT,"pipe accessory") + ", " + if(PLM_VLV_BODY_MAT_TXT&lt;&gt;"",PLM_VLV_BODY_MAT_TXT,"") + " body, DN" + if(PLM_VLV_SZ_NR&lt;&gt;"",PLM_VLV_SZ_NR,"?") + ", Cv " + if(PLM_VLV_CV_NR&lt;&gt;"",PLM_VLV_CV_NR,"TBC") + ", PN" + if(PLM_PSR_KPA&lt;&gt;"",PLM_PSR_KPA,"?") + "bar."</t>
  </si>
  <si>
    <t xml:space="preserve">"Type: " + if(PLM_VLV_TYPE_TXT&lt;&gt;"",PLM_VLV_TYPE_TXT,"TBC") + ". Actuator: " + if(PLM_VLV_ACTUATOR_TXT&lt;&gt;"",PLM_VLV_ACTUATOR_TXT,"manual") + ". End connection: " + if(PLM_VLV_END_CONN_TXT&lt;&gt;"",PLM_VLV_END_CONN_TXT,"TBC") + "."</t>
  </si>
  <si>
    <t xml:space="preserve">"Standard: " + if(RGL_STD_TXT&lt;&gt;"",RGL_STD_TXT,"BS EN 806") + ". Cert: " + if(ASS_QA_CERT_TXT&lt;&gt;"",ASS_QA_CERT_TXT,"WRAS approved") + ". Service life: " + if(ASS_WARRANTY_TXT&lt;&gt;"",ASS_WARRANTY_TXT,"TBC") + ". Inspect interval: " + if(ASS_INSPECT_FREQ_TXT&lt;&gt;"",ASS_INSPECT_FREQ_TXT,"annual") + "."</t>
  </si>
  <si>
    <t xml:space="preserve">ASS_DESCRIPTION_TXT, PLM_VLV_BODY_MAT_TXT, PLM_VLV_SZ_NR, PLM_VLV_CV_NR, PLM_PSR_KPA</t>
  </si>
  <si>
    <t xml:space="preserve">PLM_VLV_TYPE_TXT, PLM_VLV_ACTUATOR_TXT, PLM_VLV_END_CONN_TXT</t>
  </si>
  <si>
    <t xml:space="preserve">RGL_STD_TXT, ASS_QA_CERT_TXT, ASS_WARRANTY_TXT, ASS_INSPECT_FREQ_TXT</t>
  </si>
  <si>
    <t xml:space="preserve">PLM_PSR_KPA out of range → [!PSR]</t>
  </si>
  <si>
    <t xml:space="preserve">BOQ-PLM-Valves (sh.08)
Bill No.5: [SZ]mm [TYPE] valve</t>
  </si>
  <si>
    <t xml:space="preserve">MEP — FIRE LIFE SAFETY</t>
  </si>
  <si>
    <t xml:space="preserve">FLS_FA_Para.rfa</t>
  </si>
  <si>
    <t xml:space="preserve">if(FLS_SFTY_DEV_TYPE_TXT&lt;&gt;"",FLS_SFTY_DEV_TYPE_TXT,"Fire alarm device") + " point, " + if(ELC_CDT_SZ_MM&lt;&gt;"",ELC_CDT_SZ_MM+"mm","?mm") + " heavy gauge PVC " + if(ELC_CDT_INSTALL_METHOD_TXT&lt;&gt;"",ELC_CDT_INSTALL_METHOD_TXT,"") + " conduit complete with all accessories."</t>
  </si>
  <si>
    <t xml:space="preserve">"Coverage: " + if(FLS_SFTY_COVERAGE_AREA_SQ_M&lt;&gt;"",FLS_SFTY_COVERAGE_AREA_SQ_M+"m²","TBC") + ". Zone: " + if(FLS_SFTY_ZONE_NR&lt;&gt;"",FLS_SFTY_ZONE_NR,"TBC") + ". Loop: " + if(FLS_SFTY_LOOP_NR&lt;&gt;"",FLS_SFTY_LOOP_NR,"TBC") + ". Panel: " + if(ELC_PNL_DESIGNATION_NAME_TXT&lt;&gt;"",ELC_PNL_DESIGNATION_NAME_TXT,"TBC") + "."</t>
  </si>
  <si>
    <t xml:space="preserve">"Standard: BS 5839. Approval: " + if(RGL_KCCA_APPROVAL_TXT&lt;&gt;"",RGL_KCCA_APPROVAL_TXT,"pending") + ". Commissioning cert: " + if(ASS_QA_CERT_TXT&lt;&gt;"",ASS_QA_CERT_TXT,"TBC") + "."</t>
  </si>
  <si>
    <t xml:space="preserve">FLS_SFTY_COVERAGE_AREA_SQ_M, FLS_SFTY_ZONE_NR, FLS_SFTY_LOOP_NR, ELC_PNL_DESIGNATION_NAME_TXT</t>
  </si>
  <si>
    <t xml:space="preserve">RGL_KCCA_APPROVAL_TXT, ASS_QA_CERT_TXT</t>
  </si>
  <si>
    <t xml:space="preserve">FLS_SFTY_COVERAGE_AREA_SQ_M &gt; 21 → [!COVERAGE &gt; 21m²]</t>
  </si>
  <si>
    <t xml:space="preserve">BOQ-ELC-FireAlarm (sh.08)
Bill No.4: FA points (detectors/MCP/sounders)</t>
  </si>
  <si>
    <t xml:space="preserve">FLS_Spr_Para.rfa</t>
  </si>
  <si>
    <t xml:space="preserve">"Sprinkler head " + if(FLS_SFTY_TEMP_RATING_C&lt;&gt;"",FLS_SFTY_TEMP_RATING_C+"°C","?°C") + " resistant. Flow: " + if(FLS_SFTY_FLW_RATE_LPM_NR&lt;&gt;"",FLS_SFTY_FLW_RATE_LPM_NR+"L/min","TBC") + ". Coverage: " + if(FLS_SFTY_COVERAGE_AREA_SQ_M&lt;&gt;"",FLS_SFTY_COVERAGE_AREA_SQ_M+"m²","TBC") + "."</t>
  </si>
  <si>
    <t xml:space="preserve">"Type: " + if(FLS_SFTY_DEV_TYPE_TXT&lt;&gt;"",FLS_SFTY_DEV_TYPE_TXT,"TBC") + ". K-factor: " + if(FLS_SFTY_K_FACTOR_NR&lt;&gt;"",FLS_SFTY_K_FACTOR_NR,"TBC") + ". RTI: " + if(FLS_SFTY_RTI_TXT&lt;&gt;"",FLS_SFTY_RTI_TXT,"TBC") + ". Zone: " + if(FLS_SFTY_ZONE_NR&lt;&gt;"",FLS_SFTY_ZONE_NR,"TBC") + "."</t>
  </si>
  <si>
    <t xml:space="preserve">"Standard: BS EN 12845 / NFPA 13. Hazard class: " + if(FLS_SFTY_HAZARD_CLASS_TXT&lt;&gt;"",FLS_SFTY_HAZARD_CLASS_TXT,"TBC") + ". Commissioning: " + if(ASS_QA_CERT_TXT&lt;&gt;"",ASS_QA_CERT_TXT,"TBC") + "."</t>
  </si>
  <si>
    <t xml:space="preserve">FLS_SFTY_TEMP_RATING_C, FLS_SFTY_FLW_RATE_LPM_NR, FLS_SFTY_COVERAGE_AREA_SQ_M</t>
  </si>
  <si>
    <t xml:space="preserve">FLS_SFTY_DEV_TYPE_TXT, FLS_SFTY_K_FACTOR_NR, FLS_SFTY_RTI_TXT, FLS_SFTY_ZONE_NR</t>
  </si>
  <si>
    <t xml:space="preserve">FLS_SFTY_HAZARD_CLASS_TXT, ASS_QA_CERT_TXT</t>
  </si>
  <si>
    <t xml:space="preserve">TEMP &lt; 57 or &gt; 79 → [!TEMP OUT OF RANGE]
COVERAGE &gt; 21 → [!COVERAGE &gt; 21m²]</t>
  </si>
  <si>
    <t xml:space="preserve">BOQ-FLS-Sprinklers (sh.08) (sh.08)
Bill No.6: Sprinkler heads [TEMP]°C</t>
  </si>
  <si>
    <t xml:space="preserve">ICT, SECURITY &amp; SPECIALTY</t>
  </si>
  <si>
    <t xml:space="preserve">Communication Devices
(BMS)</t>
  </si>
  <si>
    <t xml:space="preserve">"This " + if(COM_C_DEV_TYPE_TXT&lt;&gt;"",COM_C_DEV_TYPE_TXT,"BMS device") + ", network " + if(COM_C_NETWORK_ADDRESS_TXT&lt;&gt;"",COM_C_NETWORK_ADDRESS_TXT,"TBC") + ", BACnet instance " + if(COM_C_DEV_BACNET_INSTANCE_INT&lt;&gt;"",COM_C_DEV_BACNET_INSTANCE_INT,"?") + ". Controller: " + if(COM_C_DEV_CONTROLLER_NAME_TXT&lt;&gt;"",COM_C_DEV_CONTROLLER_NAME_TXT,"TBC") + "."</t>
  </si>
  <si>
    <t xml:space="preserve">"Protocol: " + if(COM_C_PROTOCOL_TXT&lt;&gt;"",COM_C_PROTOCOL_TXT,"BACnet/IP") + ". Range: " + if(COM_C_MEAS_RANGE_TXT&lt;&gt;"",COM_C_MEAS_RANGE_TXT,"TBC") + ". Power: " + if(ELC_PNL_VLT_V&lt;&gt;"",ELC_PNL_VLT_V+"V","TBC") + ". Cable: " + if(ELC_CBL_TYPE_TXT&lt;&gt;"",ELC_CBL_TYPE_TXT,"TBC") + "."</t>
  </si>
  <si>
    <t xml:space="preserve">"BACnet cert: " + if(ASS_QA_CERT_TXT&lt;&gt;"",ASS_QA_CERT_TXT,"pending") + ". Controller map: " + if(ASS_INST_DETAIL_NUM_TXT&lt;&gt;"",ASS_INST_DETAIL_NUM_TXT,"TBC") + ". Inspect freq: " + if(ASS_INSPECT_FREQ_TXT&lt;&gt;"",ASS_INSPECT_FREQ_TXT,"TBC") + "."</t>
  </si>
  <si>
    <t xml:space="preserve">COM_C_DEV_TYPE_TXT, COM_C_NETWORK_ADDRESS_TXT, COM_C_DEV_BACNET_INSTANCE_INT, COM_C_DEV_CONTROLLER_NAME_TXT</t>
  </si>
  <si>
    <t xml:space="preserve">COM_C_PROTOCOL_TXT, COM_C_MEAS_RANGE_TXT, ELC_PNL_VLT_V, ELC_CBL_TYPE_TXT</t>
  </si>
  <si>
    <t xml:space="preserve">ASS_QA_CERT_TXT, ASS_INST_DETAIL_NUM_TXT, ASS_INSPECT_FREQ_TXT</t>
  </si>
  <si>
    <t xml:space="preserve">COM_C_DEV_BACNET_INSTANCE_INT duplicate → [!BACNET_ID CONFLICT]
if(COM_C_MEAS_RANGE_TXT="","[!RANGE NOT SET]","")</t>
  </si>
  <si>
    <t xml:space="preserve">BOQ-ICT-BMS (sh.08)
Bill No.9: [TYPE] BMS controller</t>
  </si>
  <si>
    <t xml:space="preserve">Data / Telephone Devices</t>
  </si>
  <si>
    <t xml:space="preserve">if(ICT_OUTLET_TYPE_TXT&lt;&gt;"",ICT_OUTLET_TYPE_TXT,"Data") + " outlet, port " + if(ICT_PORT_NR&lt;&gt;"",ICT_PORT_NR,"?") + ", patch panel " + if(ICT_PATCH_PANEL_TXT&lt;&gt;"",ICT_PATCH_PANEL_TXT,"TBC") + ". Type: " + if(COM_C_DEV_TYPE_TXT&lt;&gt;"",COM_C_DEV_TYPE_TXT,"TBC") + "."</t>
  </si>
  <si>
    <t xml:space="preserve">"Cable: " + if(ELC_CBL_SZ_MM2&lt;&gt;"",ELC_CBL_SZ_MM2+"mm² Cat","TBC Cat") + if(ICT_CAT_RATING_TXT&lt;&gt;"",ICT_CAT_RATING_TXT,"?") + ". Conduit: " + if(ELC_CDT_SZ_MM&lt;&gt;"",ELC_CDT_SZ_MM+"mm PVC","TBC") + "."</t>
  </si>
  <si>
    <t xml:space="preserve">"Tested to: TIA-568-C.2 Cat " + if(ICT_CAT_RATING_TXT&lt;&gt;"",ICT_CAT_RATING_TXT,"6") + ". Test cert: " + if(ASS_QA_CERT_TXT&lt;&gt;"",ASS_QA_CERT_TXT,"pending") + ". Standard: TIA/EIA-568."</t>
  </si>
  <si>
    <t xml:space="preserve">ICT_OUTLET_TYPE_TXT, ICT_PORT_NR, ICT_PATCH_PANEL_TXT, COM_C_DEV_TYPE_TXT</t>
  </si>
  <si>
    <t xml:space="preserve">ELC_CBL_SZ_MM2, ICT_CAT_RATING_TXT, ELC_CDT_SZ_MM</t>
  </si>
  <si>
    <t xml:space="preserve">ICT_CAT_RATING_TXT, ASS_QA_CERT_TXT</t>
  </si>
  <si>
    <t xml:space="preserve">ICT_CAT_RATING_TXT &lt; 6 → [!CAT &lt; 6]
ELC_CDT_CBL_FILL_PCT &gt; 40 → [!FILL &gt; 40%]</t>
  </si>
  <si>
    <t xml:space="preserve">BOQ-ICT-DataOutlets (sh.08)
Bill No.9: Cat[X] data/telephone outlet</t>
  </si>
  <si>
    <t xml:space="preserve">if(ASS_DESCRIPTION_TXT&lt;&gt;"",ASS_DESCRIPTION_TXT,"Security device") + " zone " + if(SEC_DEV_ZONE_TXT&lt;&gt;"",SEC_DEV_ZONE_TXT,"?") + ". Cable: " + if(SEC_CBL_NR&lt;&gt;"",SEC_CBL_NR,"TBC") + ". Type: " + if(COM_C_DEV_TYPE_TXT&lt;&gt;"",COM_C_DEV_TYPE_TXT,"TBC") + "."</t>
  </si>
  <si>
    <t xml:space="preserve">"Connection: " + if(ELC_CDT_SZ_MM&lt;&gt;"",ELC_CDT_SZ_MM+"mm PVC conduit","TBC") + ". Power: " + if(ELC_PNL_VLT_V&lt;&gt;"",ELC_PNL_VLT_V+"V","TBC") + "."</t>
  </si>
  <si>
    <t xml:space="preserve">"Access policy: " + if(ASS_DESCRIPTION_TXT&lt;&gt;"",ASS_DESCRIPTION_TXT,"TBC") + ". Cert: " + if(ASS_QA_CERT_TXT&lt;&gt;"",ASS_QA_CERT_TXT,"TBC") + "."</t>
  </si>
  <si>
    <t xml:space="preserve">ASS_DESCRIPTION_TXT, SEC_DEV_ZONE_TXT, SEC_CBL_NR, COM_C_DEV_TYPE_TXT</t>
  </si>
  <si>
    <t xml:space="preserve">ELC_CDT_SZ_MM, ELC_PNL_VLT_V</t>
  </si>
  <si>
    <t xml:space="preserve">ASS_QA_CERT_TXT</t>
  </si>
  <si>
    <t xml:space="preserve">ELC_VLT_DROP_PCT &gt; 4.0 → [!VD &gt; 4%]
if(SEC_DEV_ZONE_TXT="","[!NO ZONE ASSIGNED]","")</t>
  </si>
  <si>
    <t xml:space="preserve">BOQ-ELC-Security (sh.08)
Bill No.4: CCTV/access control points</t>
  </si>
  <si>
    <t xml:space="preserve">Specialty Equipment
(Lifts/Gen/ATS)</t>
  </si>
  <si>
    <t xml:space="preserve">"This " + if(ASS_DESCRIPTION_TXT&lt;&gt;"",ASS_DESCRIPTION_TXT,"specialty equipment") + " (" + if(ASS_SYSTEM_TYPE_TXT&lt;&gt;"",ASS_SYSTEM_TYPE_TXT,"system TBC") + "). By " + if(ASS_MANUFACTURER_TXT&lt;&gt;"",ASS_MANUFACTURER_TXT,"TBC") + " model " + if(ASS_MODEL_NR_TXT&lt;&gt;"",ASS_MODEL_NR_TXT,"TBC") + ". Tag: " + if(ASS_EQUIPMENT_TAG_TXT&lt;&gt;"",ASS_EQUIPMENT_TAG_TXT,"TBC") + "."</t>
  </si>
  <si>
    <t xml:space="preserve">"Capacity: " + if(ASS_CAPACITY_TXT&lt;&gt;"",ASS_CAPACITY_TXT,"TBC") + ". Power: " + if(HVC_PWR_KW&lt;&gt;"",HVC_PWR_KW+"kW","TBC") + ". Drive: " + if(ASS_DRIVE_TXT&lt;&gt;"",ASS_DRIVE_TXT,"TBC") + "."</t>
  </si>
  <si>
    <t xml:space="preserve">"Commissioning cert: " + if(ASS_QA_CERT_TXT&lt;&gt;"",ASS_QA_CERT_TXT,"TBC") + ". Govt lift inspector cert (lifts): " + if(RGL_KCCA_APPROVAL_TXT&lt;&gt;"",RGL_KCCA_APPROVAL_TXT,"pending") + ". Warranty: " + if(ASS_WARRANTY_TXT&lt;&gt;"",ASS_WARRANTY_TXT,"TBC") + "."</t>
  </si>
  <si>
    <t xml:space="preserve">ASS_DESCRIPTION_TXT, ASS_SYSTEM_TYPE_TXT, ASS_MANUFACTURER_TXT, ASS_MODEL_NR_TXT, ASS_EQUIPMENT_TAG_TXT</t>
  </si>
  <si>
    <t xml:space="preserve">ASS_CAPACITY_TXT, HVC_PWR_KW, ASS_DRIVE_TXT</t>
  </si>
  <si>
    <t xml:space="preserve">ASS_QA_CERT_TXT, RGL_KCCA_APPROVAL_TXT, ASS_WARRANTY_TXT</t>
  </si>
  <si>
    <t xml:space="preserve">HVC_PWR_KW &gt; rated_KW*1.05 → [!OVERPOWER]
RGL_KCCA_APPROVAL_TXT absent (lifts) → [!NO KCCA APPROVAL]</t>
  </si>
  <si>
    <t xml:space="preserve">BOQ-LIFT-Equipment (sh.08) (sh.08)
Bill No.8: [DESC] lift [CAP]kg [STOPS]stops</t>
  </si>
  <si>
    <t xml:space="preserve">if(NCL_CALL_TYPE_TXT&lt;&gt;"",NCL_CALL_TYPE_TXT,"Nurse call") + " device, zone " + if(NCL_ZONE_TXT&lt;&gt;"",NCL_ZONE_TXT,"?") + ". Type: " + if(COM_C_DEV_TYPE_TXT&lt;&gt;"",COM_C_DEV_TYPE_TXT,"TBC") + "."</t>
  </si>
  <si>
    <t xml:space="preserve">"Protocol: " + if(COM_C_PROTOCOL_TXT&lt;&gt;"",COM_C_PROTOCOL_TXT,"TBC") + ". Cable: " + if(ELC_CBL_TYPE_TXT&lt;&gt;"",ELC_CBL_TYPE_TXT,"TBC") + "."</t>
  </si>
  <si>
    <t xml:space="preserve">"Standard: HTM 08-03. Zone test: " + if(NCL_ZONE_TXT&lt;&gt;"",NCL_ZONE_TXT,"TBC") + ". Cert: " + if(ASS_QA_CERT_TXT&lt;&gt;"",ASS_QA_CERT_TXT,"pending") + ". Response time standard: 3 min."</t>
  </si>
  <si>
    <t xml:space="preserve">NCL_CALL_TYPE_TXT, NCL_ZONE_TXT, COM_C_DEV_TYPE_TXT</t>
  </si>
  <si>
    <t xml:space="preserve">COM_C_PROTOCOL_TXT, ELC_CBL_TYPE_TXT</t>
  </si>
  <si>
    <t xml:space="preserve">NCL_ZONE_TXT, ASS_QA_CERT_TXT</t>
  </si>
  <si>
    <t xml:space="preserve">if(NCL_ZONE_TXT="","[!NO ZONE]","") + if(COM_C_PROTOCOL_TXT="","[!NO PROTOCOL]","")</t>
  </si>
  <si>
    <t xml:space="preserve">BOQ-ICT-NurseCall (sh.08) (sh.08)
Bill No.9: Nurse call points (healthcare)</t>
  </si>
  <si>
    <t xml:space="preserve">BOQ TEMPLATE SCHEDULES v4.3  |  Uganda PPDA Structure  |  9 Bills  |  Revit schedule definitions for automated BOQ export</t>
  </si>
  <si>
    <t xml:space="preserve">USAGE: Each named schedule (Column H) is a Revit Schedule/Quantities view. Calculated value in "BOQ_DESC" field assembles the item description from parameter tokens (Column K). Export schedule to Excel → paste Unit/Qty columns into priced BOQ template. Rate and Amount columns are filled by QS.</t>
  </si>
  <si>
    <t xml:space="preserve">Item</t>
  </si>
  <si>
    <t xml:space="preserve">Description (BOQ item — assembled from Revit params)</t>
  </si>
  <si>
    <t xml:space="preserve">Qty</t>
  </si>
  <si>
    <t xml:space="preserve">Rate
(UGX)</t>
  </si>
  <si>
    <t xml:space="preserve">Amount
(UGX)</t>
  </si>
  <si>
    <t xml:space="preserve">Revit Category</t>
  </si>
  <si>
    <t xml:space="preserve">Revit Schedule Name</t>
  </si>
  <si>
    <t xml:space="preserve">Qty Source</t>
  </si>
  <si>
    <t xml:space="preserve">Calculated Value Formula (Edit Label / Schedule)</t>
  </si>
  <si>
    <t xml:space="preserve">Parameter Tokens used</t>
  </si>
  <si>
    <t xml:space="preserve">BOQ Map ref
(sh.04)</t>
  </si>
  <si>
    <t xml:space="preserve">Warning params</t>
  </si>
  <si>
    <t xml:space="preserve">Notes / Uganda-specific</t>
  </si>
  <si>
    <t xml:space="preserve">BILL No.1  —  PRELIMINARIES</t>
  </si>
  <si>
    <t xml:space="preserve">1.1  Contractor Obligations &amp; Project Setup</t>
  </si>
  <si>
    <t xml:space="preserve">1.1.1</t>
  </si>
  <si>
    <t xml:space="preserve">Allow for temporary water supply for construction purposes including piping from source to works and all necessary connections</t>
  </si>
  <si>
    <t xml:space="preserve">Manual entry</t>
  </si>
  <si>
    <t xml:space="preserve">N/A — manual item</t>
  </si>
  <si>
    <t xml:space="preserve">Bill1-Prelim</t>
  </si>
  <si>
    <t xml:space="preserve">Uganda: NWSC connection required. Allow plumber fees.</t>
  </si>
  <si>
    <t xml:space="preserve">1.1.2</t>
  </si>
  <si>
    <t xml:space="preserve">Allow for providing and maintaining a weatherproof lockable store for materials and plant for the duration of the contract</t>
  </si>
  <si>
    <t xml:space="preserve">1.1.3</t>
  </si>
  <si>
    <t xml:space="preserve">Allow for temporary electrical power supply including generator, wiring, and distribution for the duration of the contract</t>
  </si>
  <si>
    <t xml:space="preserve">Uganda: UMEME connection or diesel gen.</t>
  </si>
  <si>
    <t xml:space="preserve">1.1.4</t>
  </si>
  <si>
    <t xml:space="preserve">Allow for provision of security to protect the works and materials for the duration of the contract</t>
  </si>
  <si>
    <t xml:space="preserve">1.1.5</t>
  </si>
  <si>
    <t xml:space="preserve">Allow for setting out the works including survey equipment and all associated costs</t>
  </si>
  <si>
    <t xml:space="preserve">1.1.6</t>
  </si>
  <si>
    <t xml:space="preserve">Allow for insurance of the works, public liability insurance, and workmen's compensation for the duration of the contract</t>
  </si>
  <si>
    <t xml:space="preserve">PPDA requires evidence of insurance.</t>
  </si>
  <si>
    <t xml:space="preserve">1.1.7</t>
  </si>
  <si>
    <t xml:space="preserve">Allow for all health and safety requirements including personal protective equipment, first aid, and site signage</t>
  </si>
  <si>
    <t xml:space="preserve">Uganda OSH Act compliance.</t>
  </si>
  <si>
    <t xml:space="preserve">1.1.8</t>
  </si>
  <si>
    <t xml:space="preserve">Allow for demobilisation, clearing site, and removal of all temporary works on completion</t>
  </si>
  <si>
    <t xml:space="preserve">BILL No.2  —  TOOLS &amp; EQUIPMENT</t>
  </si>
  <si>
    <t xml:space="preserve">2.1  Plant &amp; Tools for Construction Use</t>
  </si>
  <si>
    <t xml:space="preserve">2.1.1</t>
  </si>
  <si>
    <t xml:space="preserve">Provide wheelbarrows of approved design for the duration of the works</t>
  </si>
  <si>
    <t xml:space="preserve">Bill2-Tools</t>
  </si>
  <si>
    <t xml:space="preserve">Standard PPDA prelim item.</t>
  </si>
  <si>
    <t xml:space="preserve">2.1.2</t>
  </si>
  <si>
    <t xml:space="preserve">Provide spades, shovels, hoes, and hand tools for the duration of the works</t>
  </si>
  <si>
    <t xml:space="preserve">Set</t>
  </si>
  <si>
    <t xml:space="preserve">2.1.3</t>
  </si>
  <si>
    <t xml:space="preserve">Provide concrete mixer (0.5 bag) for the duration of the works</t>
  </si>
  <si>
    <t xml:space="preserve">2.1.4</t>
  </si>
  <si>
    <t xml:space="preserve">Provide pulley / chain block hoist (1 tonne minimum) for the duration of the works</t>
  </si>
  <si>
    <t xml:space="preserve">Required for MEP equipment lifts.</t>
  </si>
  <si>
    <t xml:space="preserve">2.1.5</t>
  </si>
  <si>
    <t xml:space="preserve">Provide scaffolding and access equipment for all works above 2m height for the duration of the works</t>
  </si>
  <si>
    <t xml:space="preserve">2.1.6</t>
  </si>
  <si>
    <t xml:space="preserve">Provide vibrator for concrete compaction for the duration of the works</t>
  </si>
  <si>
    <t xml:space="preserve">BILL No.3  —  ARCHITECTURAL / STRUCTURAL WORKS</t>
  </si>
  <si>
    <t xml:space="preserve">3.1  SUBSTRUCTURE</t>
  </si>
  <si>
    <t xml:space="preserve">3.1.1</t>
  </si>
  <si>
    <t xml:space="preserve">Excavation in soft / medium ground for foundations as shown on drawings to required depth</t>
  </si>
  <si>
    <t xml:space="preserve">Rooms/Spaces model volume or manual</t>
  </si>
  <si>
    <t xml:space="preserve">"Excavation: " + if(BLE_ROOM_VOLUME_M3&lt;&gt;"",BLE_ROOM_VOLUME_M3+"m³","TBC")</t>
  </si>
  <si>
    <t xml:space="preserve">BLE_ROOM_VOLUME_M3</t>
  </si>
  <si>
    <t xml:space="preserve">Bill3-Excavation</t>
  </si>
  <si>
    <t xml:space="preserve">Soil classification by geotech report.</t>
  </si>
  <si>
    <t xml:space="preserve">3.1.2</t>
  </si>
  <si>
    <t xml:space="preserve">[GRADE] concrete grade strip / pad / raft foundations [THICKNESS]mm thick as structural drawings. Reinf. per BBS.</t>
  </si>
  <si>
    <t xml:space="preserve">Structural Foundations count/volume</t>
  </si>
  <si>
    <t xml:space="preserve">"Grade " + if(BLE_STRUCT_CONCRETE_GRADE_TXT&lt;&gt;"",BLE_STRUCT_CONCRETE_GRADE_TXT,"C25") + " concrete foundations " + if(BLE_STRUCT_THICKNESS_MM&lt;&gt;"",BLE_STRUCT_THICKNESS_MM+"mm thick","as drawings") + " reinforced per BBS."</t>
  </si>
  <si>
    <t xml:space="preserve">BOQ-ARCH-Foundations schedule. Qty=volume from model.</t>
  </si>
  <si>
    <t xml:space="preserve">3.1.3</t>
  </si>
  <si>
    <t xml:space="preserve">Blinding concrete [GRADE], [THICKNESS]mm thick below foundations</t>
  </si>
  <si>
    <t xml:space="preserve">Area x thickness</t>
  </si>
  <si>
    <t xml:space="preserve">"Grade " + if(BLE_STRUCT_CONCRETE_GRADE_TXT&lt;&gt;"",BLE_STRUCT_CONCRETE_GRADE_TXT,"C15") + " blinding " + if(BLE_STRUCT_THICKNESS_MM&lt;&gt;"",BLE_STRUCT_THICKNESS_MM+"mm","75mm") + " thick."</t>
  </si>
  <si>
    <t xml:space="preserve">BOQ-STR-Blinding</t>
  </si>
  <si>
    <t xml:space="preserve">3.1.4</t>
  </si>
  <si>
    <t xml:space="preserve">[SZ]mm dia. reinforcement bars [GRADE] to foundations, columns, and ground beams as BBS</t>
  </si>
  <si>
    <t xml:space="preserve">Ton</t>
  </si>
  <si>
    <t xml:space="preserve">Rebar schedule / manual</t>
  </si>
  <si>
    <t xml:space="preserve">"Y" + if(BLE_STRUCT_REBAR_DIA_MM&lt;&gt;"",BLE_STRUCT_REBAR_DIA_MM,"TBC") + " Grade " + if(BLE_STRUCT_STEEL_GRADE_TXT&lt;&gt;"",BLE_STRUCT_STEEL_GRADE_TXT,"Fe500") + " reinforcement bars to foundations."</t>
  </si>
  <si>
    <t xml:space="preserve">BLE_STRUCT_REBAR_DIA_MM, BLE_STRUCT_STEEL_GRADE_TXT</t>
  </si>
  <si>
    <t xml:space="preserve">BOQ-STR-Rebar</t>
  </si>
  <si>
    <t xml:space="preserve">3.1.5</t>
  </si>
  <si>
    <t xml:space="preserve">[THICKNESS]mm thick [GRADE] reinforced concrete slab on grade with [MESH] BRC mesh, surface power-floated</t>
  </si>
  <si>
    <t xml:space="preserve">Floor area from model</t>
  </si>
  <si>
    <t xml:space="preserve">"Grade " + if(BLE_STRUCT_CONCRETE_GRADE_TXT&lt;&gt;"",BLE_STRUCT_CONCRETE_GRADE_TXT,"C25") + " slab " + if(BLE_STRUCT_THICKNESS_MM&lt;&gt;"",BLE_STRUCT_THICKNESS_MM+"mm thick","TBC thick") + " with BRC mesh, power-floated."</t>
  </si>
  <si>
    <t xml:space="preserve">BOQ-STR-Slab</t>
  </si>
  <si>
    <t xml:space="preserve">3.1.6</t>
  </si>
  <si>
    <t xml:space="preserve">[DEPTH]mm thick hardcore filling well consolidated in layers not exceeding 150mm, blinded with 50mm sand</t>
  </si>
  <si>
    <t xml:space="preserve">Volume from model</t>
  </si>
  <si>
    <t xml:space="preserve">"Hardcore fill " + if(BLE_STRUCT_THICKNESS_MM&lt;&gt;"",BLE_STRUCT_THICKNESS_MM+"mm deep","as drawings") + " consolidated in 150mm layers, blinded 50mm sand."</t>
  </si>
  <si>
    <t xml:space="preserve">BLE_STRUCT_THICKNESS_MM</t>
  </si>
  <si>
    <t xml:space="preserve">BOQ-STR-Hardcore</t>
  </si>
  <si>
    <t xml:space="preserve">3.1.7</t>
  </si>
  <si>
    <t xml:space="preserve">Damp proof membrane 1000 gauge polythene sheet with 150mm laps welded and turned up walls</t>
  </si>
  <si>
    <t xml:space="preserve">Floor area</t>
  </si>
  <si>
    <t xml:space="preserve">"1000g polythene DPM lapped 150mm and turned up walls."</t>
  </si>
  <si>
    <t xml:space="preserve">BOQ-STR-DPM</t>
  </si>
  <si>
    <t xml:space="preserve">3.2  WALLING</t>
  </si>
  <si>
    <t xml:space="preserve">3.2.1</t>
  </si>
  <si>
    <t xml:space="preserve">[THICKNESS]mm thick [TYPE] [MATERIAL] walling as drawings — [FUNCTION] wall</t>
  </si>
  <si>
    <t xml:space="preserve">Walls schedule — Area param</t>
  </si>
  <si>
    <t xml:space="preserve">"if(BLE_WALL_THICKNESS_MM&lt;&gt;"",BLE_WALL_THICKNESS_MM+"mm ","") + if(BLE_WALL_TYPE_CLASSIFICATION_TXT&lt;&gt;"",BLE_WALL_TYPE_CLASSIFICATION_TXT+" ","") + if(BLE_WALL_PRIMARY_WALL_MAT_TXT&lt;&gt;"",BLE_WALL_PRIMARY_WALL_MAT_TXT+" walling ","walling ") + if(BLE_WALL_FUNCTION_TXT&lt;&gt;"","("+BLE_WALL_FUNCTION_TXT+")","") + "."</t>
  </si>
  <si>
    <t xml:space="preserve">BLE_WALL_THICKNESS_MM, BLE_WALL_TYPE_CLASSIFICATION_TXT, BLE_WALL_PRIMARY_WALL_MAT_TXT, BLE_WALL_FUNCTION_TXT</t>
  </si>
  <si>
    <t xml:space="preserve">BOQ-ARCH-Walling schedule. Group by type mark. U-value warning for external walls.</t>
  </si>
  <si>
    <t xml:space="preserve">3.2.2</t>
  </si>
  <si>
    <t xml:space="preserve">[THICKNESS]mm thick internal partition walls [MATERIAL] as room data sheets</t>
  </si>
  <si>
    <t xml:space="preserve">Walls schedule — internal filter</t>
  </si>
  <si>
    <t xml:space="preserve">"if(BLE_WALL_THICKNESS_MM&lt;&gt;"",BLE_WALL_THICKNESS_MM+"mm ","") + if(BLE_WALL_PRIMARY_WALL_MAT_TXT&lt;&gt;"",BLE_WALL_PRIMARY_WALL_MAT_TXT+" ","") + "internal partition wall."</t>
  </si>
  <si>
    <t xml:space="preserve">BLE_WALL_THICKNESS_MM, BLE_WALL_PRIMARY_WALL_MAT_TXT</t>
  </si>
  <si>
    <t xml:space="preserve">BOQ-ARCH-Partitions</t>
  </si>
  <si>
    <t xml:space="preserve">3.2.3</t>
  </si>
  <si>
    <t xml:space="preserve">External [MATERIAL] plaster/render finish [THICKNESS]mm thick to all external faces of walling</t>
  </si>
  <si>
    <t xml:space="preserve">Wall face area (exterior finish)</t>
  </si>
  <si>
    <t xml:space="preserve">"if(BLE_WALL_EXTERIOR_FINISH_TXT&lt;&gt;"",BLE_WALL_EXTERIOR_FINISH_TXT+" finish ","External plaster ") + "to all external faces."</t>
  </si>
  <si>
    <t xml:space="preserve">BLE_WALL_EXTERIOR_FINISH_TXT</t>
  </si>
  <si>
    <t xml:space="preserve">BOQ-ARCH-ExternalPlaster</t>
  </si>
  <si>
    <t xml:space="preserve">3.2.4</t>
  </si>
  <si>
    <t xml:space="preserve">Internal plaster/skim coat [MATERIAL] finish to all internal faces of walling</t>
  </si>
  <si>
    <t xml:space="preserve">Wall face area (interior finish)</t>
  </si>
  <si>
    <t xml:space="preserve">"if(BLE_WALL_INTERIOR_FINISH_TXT&lt;&gt;"",BLE_WALL_INTERIOR_FINISH_TXT+" finish ","Internal plaster ") + "to all internal faces."</t>
  </si>
  <si>
    <t xml:space="preserve">3.2.5</t>
  </si>
  <si>
    <t xml:space="preserve">[COLOUR] paint [TYPE] two coats on internal plastered walls</t>
  </si>
  <si>
    <t xml:space="preserve">BOQ-ARCH-Paint — Area</t>
  </si>
  <si>
    <t xml:space="preserve">"if(BLE_WALL_INTERIOR_FINISH_TXT&lt;&gt;\"\",BLE_WALL_INTERIOR_FINISH_TXT,\"[COLOUR]\")" + " paint two coats on internal plastered walls."</t>
  </si>
  <si>
    <t xml:space="preserve">BOQ-ARCH-Paint</t>
  </si>
  <si>
    <t xml:space="preserve">3.3  STRUCTURAL FRAME</t>
  </si>
  <si>
    <t xml:space="preserve">3.3.1</t>
  </si>
  <si>
    <t xml:space="preserve">[GRADE] reinforced concrete columns [SZ]mm x [SZ]mm or [DIA]mm dia. as structural drawings</t>
  </si>
  <si>
    <t xml:space="preserve">Structural Columns schedule — volume</t>
  </si>
  <si>
    <t xml:space="preserve">"Grade " + if(BLE_STRUCT_CONCRETE_GRADE_TXT&lt;&gt;"",BLE_STRUCT_CONCRETE_GRADE_TXT,"C30") + " RC columns " + if(ASS_DESCRIPTION_TXT&lt;&gt;"",ASS_DESCRIPTION_TXT,"as drawings") + ", reinforced per BBS."</t>
  </si>
  <si>
    <t xml:space="preserve">3.3.2</t>
  </si>
  <si>
    <t xml:space="preserve">[GRADE] reinforced concrete ground / suspended beams [SZ]mm wide x [DEPTH]mm deep as structural drawings</t>
  </si>
  <si>
    <t xml:space="preserve">Structural Framing schedule — volume</t>
  </si>
  <si>
    <t xml:space="preserve">3.3.3</t>
  </si>
  <si>
    <t xml:space="preserve">[GRADE] reinforced concrete suspended floor/roof slab [THICKNESS]mm thick including formwork</t>
  </si>
  <si>
    <t xml:space="preserve">Floors schedule — area</t>
  </si>
  <si>
    <t xml:space="preserve">"Grade " + if(BLE_STRUCT_CONCRETE_GRADE_TXT&lt;&gt;"",BLE_STRUCT_CONCRETE_GRADE_TXT,"C30") + " suspended slab " + if(BLE_STRUCT_THICKNESS_MM&lt;&gt;"",BLE_STRUCT_THICKNESS_MM+"mm thick,","as drawings,") + " including formwork."</t>
  </si>
  <si>
    <t xml:space="preserve">3.3.4</t>
  </si>
  <si>
    <t xml:space="preserve">[GRADE] [SECTION] structural steel columns/frames/trusses including connections, bolts, and protective paint as structural drawings</t>
  </si>
  <si>
    <t xml:space="preserve">Structural Framing — manual or weight param</t>
  </si>
  <si>
    <t xml:space="preserve">"Grade " + if(BLE_STRUCT_STEEL_GRADE_TXT&lt;&gt;"",BLE_STRUCT_STEEL_GRADE_TXT,"S275") + " structural steel " + if(ASS_DESCRIPTION_TXT&lt;&gt;"",ASS_DESCRIPTION_TXT,"sections as drawings") + " with connections."</t>
  </si>
  <si>
    <t xml:space="preserve">BLE_STRUCT_STEEL_GRADE_TXT, ASS_DESCRIPTION_TXT</t>
  </si>
  <si>
    <t xml:space="preserve">BOQ-STR-SteelFrame</t>
  </si>
  <si>
    <t xml:space="preserve">Used where steel frame specified.</t>
  </si>
  <si>
    <t xml:space="preserve">3.4  ROOFING</t>
  </si>
  <si>
    <t xml:space="preserve">3.4.1</t>
  </si>
  <si>
    <t xml:space="preserve">[TYPE] roofing sheet [MATERIAL] [GAUGE] fixed to [PURLINS] purlin structure including all accessories</t>
  </si>
  <si>
    <t xml:space="preserve">Roofs schedule — area</t>
  </si>
  <si>
    <t xml:space="preserve">"if(BLE_ROOF_TYPE_TXT&lt;&gt;"",BLE_ROOF_TYPE_TXT+" ","") + if(BLE_ROOF_MATERIAL_TXT&lt;&gt;"",BLE_ROOF_MATERIAL_TXT+" roofing ","roofing ") + "to " + if(BLE_ROOF_PITCH_DEG&lt;&gt;"",BLE_ROOF_PITCH_DEG+"° pitch.","as drawings.")</t>
  </si>
  <si>
    <t xml:space="preserve">PER_THERM_U_VALUE_W_M2K_NR &gt; 0.50 → [!U &gt; 0.50]</t>
  </si>
  <si>
    <t xml:space="preserve">Roof U-value most critical element in Uganda climate.</t>
  </si>
  <si>
    <t xml:space="preserve">3.4.2</t>
  </si>
  <si>
    <t xml:space="preserve">Gutters [MATERIAL] [SIZE]mm including all brackets, joints, stopends and outlets</t>
  </si>
  <si>
    <t xml:space="preserve">Roof edge length / manual</t>
  </si>
  <si>
    <t xml:space="preserve">"if(BLE_ROOF_GUTTER_MAT_TXT&lt;&gt;"",BLE_ROOF_GUTTER_MAT_TXT+" ","uPVC ") + "gutters " + if(BLE_ROOF_GUTTER_SZ_MM&lt;&gt;"",BLE_ROOF_GUTTER_SZ_MM+"mm,","as drawings,") + " with brackets, joints, and outlets."</t>
  </si>
  <si>
    <t xml:space="preserve">BLE_ROOF_GUTTER_MAT_TXT, BLE_ROOF_GUTTER_SZ_MM</t>
  </si>
  <si>
    <t xml:space="preserve">BOQ-ARCH-Gutters</t>
  </si>
  <si>
    <t xml:space="preserve">3.4.3</t>
  </si>
  <si>
    <t xml:space="preserve">[MATERIAL] [DIA]mm diameter rainwater downpipes with all fixings and offsets</t>
  </si>
  <si>
    <t xml:space="preserve">Pipe length / manual</t>
  </si>
  <si>
    <t xml:space="preserve">"if(PLM_PPE_MAT_TXT&lt;&gt;"",PLM_PPE_MAT_TXT+" ","uPVC ") + "rainwater downpipe " + if(PLM_PPE_SZ_MM&lt;&gt;"",PLM_PPE_SZ_MM+"mm dia.","100mm dia.") + " with fixings."</t>
  </si>
  <si>
    <t xml:space="preserve">PLM_PPE_MAT_TXT, PLM_PPE_SZ_MM</t>
  </si>
  <si>
    <t xml:space="preserve">BOQ-PLM-RWP</t>
  </si>
  <si>
    <t xml:space="preserve">3.4.4</t>
  </si>
  <si>
    <t xml:space="preserve">Thermal insulation to roof [MATERIAL] [THICKNESS]mm thick with vapour barrier where shown on drawings</t>
  </si>
  <si>
    <t xml:space="preserve">Roof area</t>
  </si>
  <si>
    <t xml:space="preserve">"if(BLE_ROOF_INS_MAT_TXT&lt;&gt;"",BLE_ROOF_INS_MAT_TXT+" insulation ","Thermal insulation ") + if(BLE_ROOF_INS_THK_MM&lt;&gt;"",BLE_ROOF_INS_THK_MM+"mm thick.","as drawings.")</t>
  </si>
  <si>
    <t xml:space="preserve">BLE_ROOF_INS_MAT_TXT, BLE_ROOF_INS_THK_MM</t>
  </si>
  <si>
    <t xml:space="preserve">BOQ-ARCH-RoofIns</t>
  </si>
  <si>
    <t xml:space="preserve">3.5  WINDOWS &amp; DOORS</t>
  </si>
  <si>
    <t xml:space="preserve">3.5.1</t>
  </si>
  <si>
    <t xml:space="preserve">[TYPE] window [W]mm wide x [H]mm high, [GLAZING] glazed, [FRAME] frame, [FINISH] finish, including all ironmongery, mosquito screen, and burglar bar as schedule</t>
  </si>
  <si>
    <t xml:space="preserve">Doors/Windows</t>
  </si>
  <si>
    <t xml:space="preserve">Windows schedule — count by type</t>
  </si>
  <si>
    <t xml:space="preserve">"if(BLE_WINDOW_OPERATION_TYPE_TXT&lt;&gt;"",BLE_WINDOW_OPERATION_TYPE_TXT+" ","") + "window " + if(BLE_WINDOW_WIDTH_MM&lt;&gt;"",BLE_WINDOW_WIDTH_MM+"W","?W") + "x" + if(BLE_WINDOW_HEIGHT_MM&lt;&gt;"",BLE_WINDOW_HEIGHT_MM+"H mm","?H mm") + ", " + if(BLE_WINDOW_GLAZING_TYPE_TXT&lt;&gt;"",BLE_WINDOW_GLAZING_TYPE_TXT+" glazed,","glazed,") + " frame: " + if(BLE_WINDOW_FRAME_MAT_TXT&lt;&gt;"",BLE_WINDOW_FRAME_MAT_TXT+",","TBC,") + " including ironmongery, mosquito screen, burglar bar."</t>
  </si>
  <si>
    <t xml:space="preserve">BLE_WINDOW_OPERATION_TYPE_TXT, BLE_WINDOW_WIDTH_MM, BLE_WINDOW_HEIGHT_MM, BLE_WINDOW_GLAZING_TYPE_TXT, BLE_WINDOW_FRAME_MAT_TXT</t>
  </si>
  <si>
    <t xml:space="preserve">BLE_WINDOW_U_VALUE_W_M_2K_NR &gt; 3.00 → [!U &gt; 3.00]
BLE_WINDOW_SOLAR_HEAT_GAIN_COEFFICIENT_NR &gt; 0.40 → [!SHGC &gt; 0.40]</t>
  </si>
  <si>
    <t xml:space="preserve">Group by window type mark. Uganda: mosquito screen and burglar bar standard.</t>
  </si>
  <si>
    <t xml:space="preserve">3.5.2</t>
  </si>
  <si>
    <t xml:space="preserve">[TYPE] door [W]mm wide x [H]mm high, [MATERIAL] [FINISH], [FRAME] frame, complete with all ironmongery as door schedule</t>
  </si>
  <si>
    <t xml:space="preserve">Doors schedule — count by type</t>
  </si>
  <si>
    <t xml:space="preserve">"if(BLE_DOOR_OPERATION_TYPE_TXT&lt;&gt;"",BLE_DOOR_OPERATION_TYPE_TXT+" ","") + "door " + if(BLE_DOOR_WIDTH_MM&lt;&gt;"",BLE_DOOR_WIDTH_MM+"W","?W") + "x" + if(BLE_DOOR_HEIGHT_MM&lt;&gt;"",BLE_DOOR_HEIGHT_MM+"H mm","?H mm") + ", " + if(BLE_DOOR_PRIMARY_MAT_TXT&lt;&gt;"",BLE_DOOR_PRIMARY_MAT_TXT+",","TBC,") + " complete with ironmongery."</t>
  </si>
  <si>
    <t xml:space="preserve">BLE_DOOR_OPERATION_TYPE_TXT, BLE_DOOR_WIDTH_MM, BLE_DOOR_HEIGHT_MM, BLE_DOOR_PRIMARY_MAT_TXT</t>
  </si>
  <si>
    <t xml:space="preserve">FLS_PROT_FLS_RESISTANCE_RATING_MINUTES_MIN &lt; 30 → [!FRR &lt; 30] (fire doors)</t>
  </si>
  <si>
    <t xml:space="preserve">Group by door type mark. Fire doors flagged.</t>
  </si>
  <si>
    <t xml:space="preserve">3.6  CEILINGS &amp; FLOOR FINISHES</t>
  </si>
  <si>
    <t xml:space="preserve">3.6.1</t>
  </si>
  <si>
    <t xml:space="preserve">[MATERIAL] [TYPE] suspended ceiling system [MODULE]mm x [MODULE]mm modules at [HEIGHT]mm FFL as room data sheets</t>
  </si>
  <si>
    <t xml:space="preserve">Ceilings/Floors</t>
  </si>
  <si>
    <t xml:space="preserve">Ceilings schedule — area</t>
  </si>
  <si>
    <t xml:space="preserve">"if(BLE_CEIL_MATERIAL_TXT&lt;&gt;"",BLE_CEIL_MATERIAL_TXT+" ","") + "suspended ceiling " + if(BLE_CEIL_TYPE_TXT&lt;&gt;"",BLE_CEIL_TYPE_TXT+" ","") + if(BLE_CEIL_MODULE_MM&lt;&gt;"",BLE_CEIL_MODULE_MM+"mm module ","") + "at " + if(BLE_CEIL_HEIGHT_MM&lt;&gt;"",BLE_CEIL_HEIGHT_MM+"mm FFL.","FFL as drawings.")</t>
  </si>
  <si>
    <t xml:space="preserve">PER_ACOUSTICS_BACKGROUND_NOISE_DB &gt; 40 → [!NOISE]</t>
  </si>
  <si>
    <t xml:space="preserve">3.6.2</t>
  </si>
  <si>
    <t xml:space="preserve">[MATERIAL] [TYPE] floor tiling [SIZE]mm x [SIZE]mm with [GROUT] grout, laid to falls where required</t>
  </si>
  <si>
    <t xml:space="preserve">"if(BLE_FLR_MATERIAL_TXT&lt;&gt;"",BLE_FLR_MATERIAL_TXT+" ","") + if(BLE_FLR_TYPE_TXT&lt;&gt;"",BLE_FLR_TYPE_TXT+" ","") + "floor " + if(BLE_FLR_TILE_SZ_MM&lt;&gt;"",BLE_FLR_TILE_SZ_MM+"mm tile ","tiles") + "laid to falls where required."</t>
  </si>
  <si>
    <t xml:space="preserve">BLE_FLR_MATERIAL_TXT, BLE_FLR_TYPE_TXT, BLE_FLR_TILE_SZ_MM</t>
  </si>
  <si>
    <t xml:space="preserve">3.6.3</t>
  </si>
  <si>
    <t xml:space="preserve">[MATERIAL] skirting [HEIGHT]mm high to all rooms as specified</t>
  </si>
  <si>
    <t xml:space="preserve">Perimeter of rooms</t>
  </si>
  <si>
    <t xml:space="preserve">"if(BLE_FLR_SKIRTING_MAT_TXT&lt;&gt;"",BLE_FLR_SKIRTING_MAT_TXT+" ","") + "skirting " + if(BLE_FLR_SKIRTING_HGT_MM&lt;&gt;"",BLE_FLR_SKIRTING_HGT_MM+"mm high.","as specified.")</t>
  </si>
  <si>
    <t xml:space="preserve">BLE_FLR_SKIRTING_MAT_TXT, BLE_FLR_SKIRTING_HGT_MM</t>
  </si>
  <si>
    <t xml:space="preserve">BOQ-ARCH-Skirting</t>
  </si>
  <si>
    <t xml:space="preserve">3.7  STAIRS, RAMPS &amp; SPECIALIST ARCH</t>
  </si>
  <si>
    <t xml:space="preserve">3.7.1</t>
  </si>
  <si>
    <t xml:space="preserve">[MATERIAL] stairs [RISE]mm rise x [GOING]mm going x [WIDTH]mm wide, [TREAD] tread finish, [HANDRAIL] handrail — [NR] risers</t>
  </si>
  <si>
    <t xml:space="preserve">Stairs/Ramps</t>
  </si>
  <si>
    <t xml:space="preserve">Stairs schedule — count</t>
  </si>
  <si>
    <t xml:space="preserve">"if(BLE_STAIR_MAT_TXT&lt;&gt;"",BLE_STAIR_MAT_TXT+" ","") + "stair " + if(BLE_STAIR_RISE_MM&lt;&gt;"",BLE_STAIR_RISE_MM+"R/","?R/") + if(BLE_STAIR_GOING_MM&lt;&gt;"",BLE_STAIR_GOING_MM+"G mm, ","?G mm, ") + if(BLE_STAIR_WIDTH_MM&lt;&gt;"",BLE_STAIR_WIDTH_MM+"mm wide, ","?mm wide, ") + if(BLE_STAIR_TREAD_FINISH_TXT&lt;&gt;"",BLE_STAIR_TREAD_FINISH_TXT+" tread, ","") + if(BLE_STAIR_HANDRAIL_MAT_TXT&lt;&gt;"",BLE_STAIR_HANDRAIL_MAT_TXT+" handrail.","handrail.")</t>
  </si>
  <si>
    <t xml:space="preserve">BLE_STAIR_RISE_MM &gt; 190 → [!RISE]
BLE_STAIR_WIDTH_MM &lt; 1000 → [!WIDTH]</t>
  </si>
  <si>
    <t xml:space="preserve">Uganda PWD requirements: min 1200mm width for public stairs.</t>
  </si>
  <si>
    <t xml:space="preserve">3.7.2</t>
  </si>
  <si>
    <t xml:space="preserve">[MATERIAL] access ramp at [SLOPE]% gradient, [SURFACE] surface finish, [HANDRAIL] handrails both sides, [WIDTH]mm clear width</t>
  </si>
  <si>
    <t xml:space="preserve">Ramps schedule — length</t>
  </si>
  <si>
    <t xml:space="preserve">"if(BLE_RAMP_SLOPE_PCT&lt;&gt;"",BLE_RAMP_SLOPE_PCT+"% gradient ","") + "ramp, " + if(BLE_RAMP_SURFACE_FINISH_TXT&lt;&gt;"",BLE_RAMP_SURFACE_FINISH_TXT+" surface,","") + " handrails both sides, " + if(RGL_ACCESS_CLEAR_WIDTH_MM&lt;&gt;"",RGL_ACCESS_CLEAR_WIDTH_MM+"mm clear width.","as drawings.")</t>
  </si>
  <si>
    <t xml:space="preserve">BLE_RAMP_SLOPE_PCT &gt; 8.33 → [!SLOPE]
RGL_ACCESS_CLEAR_WIDTH_MM &lt; 900 → [!WIDTH]</t>
  </si>
  <si>
    <t xml:space="preserve">Uganda PWD Act 2020: max 1:12 gradient.</t>
  </si>
  <si>
    <t xml:space="preserve">BILL No.4  —  ELECTRICAL INSTALLATIONS</t>
  </si>
  <si>
    <t xml:space="preserve">Preamble: Provide all materials, install, connect and set to work the following all as described in the Specifications and Drawings. All wiring by copper conductors to IEC 60227/60245. Conduits: PVC heavy gauge to BS 6053. Switchgear: IEC 60947. UMEME commissioning approval required.</t>
  </si>
  <si>
    <t xml:space="preserve">4.1  WIRING CIRCUITS &amp; CONDUITS</t>
  </si>
  <si>
    <t xml:space="preserve">4.1.1</t>
  </si>
  <si>
    <t xml:space="preserve">Lighting points wired by [CBL_TYPE] copper cables in [CDT_SZ]mm heavy gauge PVC [METHOD] conduit with drops concealed in walls to switch positions complete with [MFR] steel boxes and all accessories.</t>
  </si>
  <si>
    <t xml:space="preserve">Electrical Fixtures/Conduits</t>
  </si>
  <si>
    <t xml:space="preserve">BOQ-ELC-Lighting-Points schedule — Count</t>
  </si>
  <si>
    <t xml:space="preserve">"Lighting points wired by " + if(ELC_CKT_CBL_TYPE_TXT&lt;&gt;"",ELC_CKT_CBL_TYPE_TXT,"3x1.5mm² SC PVC") + " copper cables in " + if(ELC_CDT_SZ_MM&lt;&gt;"",ELC_CDT_SZ_MM+"mm","25mm") + " heavy gauge PVC " + if(ELC_CDT_INSTALL_METHOD_TXT&lt;&gt;"",ELC_CDT_INSTALL_METHOD_TXT,"concealed") + " conduit with drops concealed in walls complete with " + if(ASS_MANUFACTURER_TXT&lt;&gt;"",ASS_MANUFACTURER_TXT,"MK") + " steel boxes and all accessories."</t>
  </si>
  <si>
    <t xml:space="preserve">Group by floor. Per Uganda police CDAC BOQ format.</t>
  </si>
  <si>
    <t xml:space="preserve">4.1.2</t>
  </si>
  <si>
    <t xml:space="preserve">Socket outlet points wired as a ring/radial by [CBL_TYPE] copper cables in [CDT_SZ]mm heavy gauge PVC [METHOD] conduit/trunking complete with boxes for sockets and all accessories.</t>
  </si>
  <si>
    <t xml:space="preserve">BOQ-ELC-Socket-Points — Count</t>
  </si>
  <si>
    <t xml:space="preserve">"Socket outlet points wired as a ring by " + if(ELC_CKT_CBL_TYPE_TXT&lt;&gt;"",ELC_CKT_CBL_TYPE_TXT,"3x2.5mm² SC PVC") + " copper cables in " + if(ELC_CDT_SZ_MM&lt;&gt;"",ELC_CDT_SZ_MM+"mm","25mm") + " heavy gauge PVC " + if(ELC_CDT_INSTALL_METHOD_TXT&lt;&gt;"",ELC_CDT_INSTALL_METHOD_TXT,"concealed") + " conduit/trunking complete with boxes and all accessories."</t>
  </si>
  <si>
    <t xml:space="preserve">4.1.3</t>
  </si>
  <si>
    <t xml:space="preserve">[CDT_SZ]mm heavy gauge PVC [METHOD] conduit complete with all accessories (for spare containment)</t>
  </si>
  <si>
    <t xml:space="preserve">BOQ-ELC-Conduits — Length</t>
  </si>
  <si>
    <t xml:space="preserve">"if(ELC_CDT_SZ_MM&lt;&gt;"",ELC_CDT_SZ_MM+"mm","25mm") + " heavy gauge PVC " + if(ELC_CDT_INSTALL_METHOD_TXT&lt;&gt;"",ELC_CDT_INSTALL_METHOD_TXT,"concealed") + " conduit complete with all accessories."</t>
  </si>
  <si>
    <t xml:space="preserve">ELC_CDT_CBL_FILL_PCT &gt; 40 → [!FILL &gt; 40%]</t>
  </si>
  <si>
    <t xml:space="preserve">Group by size and installation method.</t>
  </si>
  <si>
    <t xml:space="preserve">4.1.4</t>
  </si>
  <si>
    <t xml:space="preserve">Steel cable tray [WIDTH]mm x [DEPTH]mm fixed in cable duct or on wall brackets complete with all fittings and accessories</t>
  </si>
  <si>
    <t xml:space="preserve">BOQ-ELC-CableTrays — Length</t>
  </si>
  <si>
    <t xml:space="preserve">ELC_CTR_FILL_PCT &gt; 45 → [!FILL &gt; 45%]</t>
  </si>
  <si>
    <t xml:space="preserve">Group by size.</t>
  </si>
  <si>
    <t xml:space="preserve">4.2  LUMINAIRES &amp; ACCESSORIES</t>
  </si>
  <si>
    <t xml:space="preserve">4.2.1</t>
  </si>
  <si>
    <t xml:space="preserve">[TYPE] [WATT]W LED luminaire [MOUNTING], [SIZE]mm, with [CTRL] interface as [MFR] or equal approved. (Light Type [CODE])</t>
  </si>
  <si>
    <t xml:space="preserve">BOQ-ELC-Luminaires — Count</t>
  </si>
  <si>
    <t xml:space="preserve">"if(LTG_FIX_TYPE_CLASSIFICATION_TXT&lt;&gt;"",LTG_FIX_TYPE_CLASSIFICATION_TXT+" ","") + if(LTG_FIX_LMP_WATTAGE_W&lt;&gt;"",LTG_FIX_LMP_WATTAGE_W+"W ","") + "LED luminaire, " + if(ASS_DESCRIPTION_TXT&lt;&gt;"",ASS_DESCRIPTION_TXT,"as spec,") + " as " + if(ASS_MANUFACTURER_TXT&lt;&gt;"",ASS_MANUFACTURER_TXT,"approved manufacturer") + " or equal approved."</t>
  </si>
  <si>
    <t xml:space="preserve">LTG_EFFICACY_LM_W &lt; 80 → [!EFFICACY]</t>
  </si>
  <si>
    <t xml:space="preserve">Group by type mark.</t>
  </si>
  <si>
    <t xml:space="preserve">4.2.2</t>
  </si>
  <si>
    <t xml:space="preserve">[RATING]A [GANGS] gang [WAYS] way light switch [MFR] or equal approved complete with all accessories</t>
  </si>
  <si>
    <t xml:space="preserve">BOQ-ELC-Switches — Count</t>
  </si>
  <si>
    <t xml:space="preserve">"if(ELC_CKT_BRK_RATING_A&lt;&gt;"",ELC_CKT_BRK_RATING_A+"A ","10A ") + if(ASS_DESCRIPTION_TXT&lt;&gt;"",ASS_DESCRIPTION_TXT,"1 gang 1 way ") + "light switch as " + if(ASS_MANUFACTURER_TXT&lt;&gt;"",ASS_MANUFACTURER_TXT,"MK or Schneider") + " or equal approved, complete with all accessories."</t>
  </si>
  <si>
    <t xml:space="preserve">4.2.3</t>
  </si>
  <si>
    <t xml:space="preserve">[RATING]A [POLES]pin [CONFIG] switched socket outlets on wall/trunking as [MFR] or equal approved</t>
  </si>
  <si>
    <t xml:space="preserve">BOQ-ELC-Sockets — Count</t>
  </si>
  <si>
    <t xml:space="preserve">"if(ELC_CKT_BRK_RATING_A&lt;&gt;"",ELC_CKT_BRK_RATING_A+"A ","13A ") + if(ASS_DESCRIPTION_TXT&lt;&gt;"",ASS_DESCRIPTION_TXT,"3-pin double ") + "switched socket outlet, " + if(ASS_MANUFACTURER_TXT&lt;&gt;"",ASS_MANUFACTURER_TXT,"MK or equal") + " or equal approved."</t>
  </si>
  <si>
    <t xml:space="preserve">4.3  DISTRIBUTION BOARDS &amp; SWITCHGEAR</t>
  </si>
  <si>
    <t xml:space="preserve">4.3.1</t>
  </si>
  <si>
    <t xml:space="preserve">[DESIGNATION] distribution board, [VLT]V [PHS]-phase, [WAYS] ways, [MAIN]A main breaker, [SC]kA fault rating, IP[IP] enclosure, complete with all MCBs, RCDs, bus bars and accessories as single line diagram</t>
  </si>
  <si>
    <t xml:space="preserve">BOQ-ELC-DBPanels — Count</t>
  </si>
  <si>
    <t xml:space="preserve">"if(ELC_PNL_DESIGNATION_NAME_TXT&lt;&gt;"",ELC_PNL_DESIGNATION_NAME_TXT,"DB") + " distribution board, " + if(ELC_PNL_VLT_V&lt;&gt;"",ELC_PNL_VLT_V+"V ","230V ") + if(ELC_PNL_PHS_COUNT_NR&lt;&gt;"",ELC_PNL_PHS_COUNT_NR+"-phase, ","1-phase, ") + if(ELC_PNL_NUM_OF_WAYS_NR&lt;&gt;"",ELC_PNL_NUM_OF_WAYS_NR+" ways, ","? ways, ") + if(ELC_PNL_MAIN_BRK_A&lt;&gt;"",ELC_PNL_MAIN_BRK_A+"A main, ","?A main, ") + if(ELC_PNL_SHORT_CIRCUIT_KA&lt;&gt;"",ELC_PNL_SHORT_CIRCUIT_KA+"kA fault, ","?kA, ") + "complete with all MCBs, RCDs and accessories."</t>
  </si>
  <si>
    <t xml:space="preserve">ELC_PNL_CONNECTED_LOAD_KW &gt; ELC_PNL_RATED_KW*0.8 → [!OVERLOADED]
ELC_PNL_SHORT_CIRCUIT_KA &lt; 6 → [!SC &lt; 6kA]</t>
  </si>
  <si>
    <t xml:space="preserve">1 schedule row per panel. UMEME approval required.</t>
  </si>
  <si>
    <t xml:space="preserve">4.3.2</t>
  </si>
  <si>
    <t xml:space="preserve">Main [VLT]V [PHASES]-phase incoming supply cable [SIZE]mm² [TYPE] from UMEME metering point to main distribution board complete with all accessories</t>
  </si>
  <si>
    <t xml:space="preserve">Manual / cable schedule</t>
  </si>
  <si>
    <t xml:space="preserve">"if(ELC_CBL_SZ_MM2&lt;&gt;"",ELC_CBL_SZ_MM2+"mm² ","?mm² ") + if(ELC_CKT_CBL_TYPE_TXT&lt;&gt;"",ELC_CKT_CBL_TYPE_TXT,"SWA XLPE") + " main incoming cable from UMEME metering to MDB."</t>
  </si>
  <si>
    <t xml:space="preserve">ELC_CBL_SZ_MM2, ELC_CKT_CBL_TYPE_TXT</t>
  </si>
  <si>
    <t xml:space="preserve">BOQ-ELC-IncomingCable</t>
  </si>
  <si>
    <t xml:space="preserve">4.4  FIRE ALARM &amp; SECURITY SYSTEMS</t>
  </si>
  <si>
    <t xml:space="preserve">4.4.1</t>
  </si>
  <si>
    <t xml:space="preserve">Fire alarm [TYPE] points (detectors/MCPs/sounders) in [CDT_SZ]mm heavy gauge PVC [METHOD] conduit complete with all accessories and connected to fire alarm panel</t>
  </si>
  <si>
    <t xml:space="preserve">Fire Alarm Devices/Security Devices</t>
  </si>
  <si>
    <t xml:space="preserve">BOQ-ELC-FireAlarm — Count</t>
  </si>
  <si>
    <t xml:space="preserve">Detectors, MCPs, sounders, beacons separately.</t>
  </si>
  <si>
    <t xml:space="preserve">4.4.2</t>
  </si>
  <si>
    <t xml:space="preserve">Addressable fire alarm control panel [ZONES] zones, [NR_LOOP] loops, complete with batteries, charger, printout, and all accessories</t>
  </si>
  <si>
    <t xml:space="preserve">BOQ-ELC-FireAlarmPanel — Count</t>
  </si>
  <si>
    <t xml:space="preserve">"Addressable FACP " + if(FLS_SFTY_DEV_TYPE_TXT&lt;&gt;"",FLS_SFTY_DEV_TYPE_TXT,"") + " complete with batteries and accessories."</t>
  </si>
  <si>
    <t xml:space="preserve">FLS_SFTY_DEV_TYPE_TXT</t>
  </si>
  <si>
    <t xml:space="preserve">1 per building or fire zone.</t>
  </si>
  <si>
    <t xml:space="preserve">4.4.3</t>
  </si>
  <si>
    <t xml:space="preserve">CCTV [TYPE] camera points in [CDT_SZ]mm heavy gauge PVC concealed conduit/trunking, [MFR], complete with mounting bracket and all accessories</t>
  </si>
  <si>
    <t xml:space="preserve">BOQ-ELC-Security — Count (CCTV)</t>
  </si>
  <si>
    <t xml:space="preserve">SEC_DEV_TYPE_TXT, ELC_CDT_SZ_MM, ASS_MANUFACTURER_TXT</t>
  </si>
  <si>
    <t xml:space="preserve">Group by camera type.</t>
  </si>
  <si>
    <t xml:space="preserve">4.4.4</t>
  </si>
  <si>
    <t xml:space="preserve">Digital video recorder (DVR/NVR) [CHANNELS]-channel complete with hard drive, monitor, UPS, and all accessories</t>
  </si>
  <si>
    <t xml:space="preserve">BOQ-ELC-Security — Count (DVR)</t>
  </si>
  <si>
    <t xml:space="preserve">"if(ASS_DESCRIPTION_TXT&lt;&gt;"",ASS_DESCRIPTION_TXT,"DVR/NVR ") + "complete with HDD, monitor, UPS and accessories."</t>
  </si>
  <si>
    <t xml:space="preserve">BILL No.5  —  MECHANICAL INSTALLATIONS (PLUMBING &amp; DRAINAGE)</t>
  </si>
  <si>
    <t xml:space="preserve">Preamble: Provide all materials, install, connect, and set to work the following all as described in the Specifications and Drawings. Pipework to BS EN 806. Sanitary fittings vitreous china to BS3402. NWSC connection approval required. All drainage falls as drawings, not less than 1:40 for branches, 1:80 for mains.</t>
  </si>
  <si>
    <t xml:space="preserve">5.1  SANITARY FITTINGS</t>
  </si>
  <si>
    <t xml:space="preserve">5.1.1</t>
  </si>
  <si>
    <t xml:space="preserve">[MFR] WC pan [TYPE], [COLOUR] colour, vitreous china to BS3402, with [OUTLET] outlet, complete with close coupled cistern, soft close seat and cover, flush pipe, and all accessories</t>
  </si>
  <si>
    <t xml:space="preserve">BOQ-PLM-SanitaryWC — Count</t>
  </si>
  <si>
    <t xml:space="preserve">"if(ASS_MANUFACTURER_TXT&lt;&gt;"",ASS_MANUFACTURER_TXT,"Armitage Shanks or equal") + " WC pan " + if(ASS_MODEL_NR_TXT&lt;&gt;"",ASS_MODEL_NR_TXT,"") + ", " + if(ASS_DESCRIPTION_TXT&lt;&gt;"",ASS_DESCRIPTION_TXT,"white vitreous china") + ", with close coupled cistern, soft close seat and cover, complete with all accessories."</t>
  </si>
  <si>
    <t xml:space="preserve">ASS_MANUFACTURER_TXT, ASS_MODEL_NR_TXT, ASS_DESCRIPTION_TXT</t>
  </si>
  <si>
    <t xml:space="preserve">Group by type mark. Uganda: standard white colour.</t>
  </si>
  <si>
    <t xml:space="preserve">5.1.2</t>
  </si>
  <si>
    <t xml:space="preserve">[DIM] vitreous china wash hand basin pedestal/countertop, [TAPS] tap holes, [FINISH] finish, waste and trap, complete with mixer tap and all accessories as [MFR] or equal approved</t>
  </si>
  <si>
    <t xml:space="preserve">BOQ-PLM-SanitaryWHB — Count</t>
  </si>
  <si>
    <t xml:space="preserve">"if(ASS_DESCRIPTION_TXT&lt;&gt;"",ASS_DESCRIPTION_TXT,"600mm WHB") + " wash hand basin, " + if(ASS_MANUFACTURER_TXT&lt;&gt;"",ASS_MANUFACTURER_TXT,"Armitage Shanks or equal") + " complete with mixer tap, waste, trap and all accessories."</t>
  </si>
  <si>
    <t xml:space="preserve">5.1.3</t>
  </si>
  <si>
    <t xml:space="preserve">[DIM]mm vitreous china urinal [TYPE] complete with automatic flushing cistern, waste and all accessories as [MFR] or equal approved</t>
  </si>
  <si>
    <t xml:space="preserve">BOQ-PLM-SanitaryUrinal — Count</t>
  </si>
  <si>
    <t xml:space="preserve">"if(ASS_DESCRIPTION_TXT&lt;&gt;"",ASS_DESCRIPTION_TXT,"Urinal") + " " + if(ASS_MANUFACTURER_TXT&lt;&gt;"",ASS_MANUFACTURER_TXT,"or equal approved") + " complete with auto flushing cistern, waste and accessories."</t>
  </si>
  <si>
    <t xml:space="preserve">BOQ-PLM-Urinals</t>
  </si>
  <si>
    <t xml:space="preserve">5.1.4</t>
  </si>
  <si>
    <t xml:space="preserve">[LITRE]L stainless steel kitchen sink [BOWLS] bowl complete with drainer, mixer tap, P-trap and all accessories as [MFR] or equal approved</t>
  </si>
  <si>
    <t xml:space="preserve">BOQ-PLM-Sinks — Count</t>
  </si>
  <si>
    <t xml:space="preserve">"if(ASS_DESCRIPTION_TXT&lt;&gt;"",ASS_DESCRIPTION_TXT,"Kitchen sink") + " " + if(ASS_MANUFACTURER_TXT&lt;&gt;"",ASS_MANUFACTURER_TXT,"or equal approved") + " complete with drainer, mixer tap, P-trap and accessories."</t>
  </si>
  <si>
    <t xml:space="preserve">BOQ-PLM-Sinks</t>
  </si>
  <si>
    <t xml:space="preserve">5.1.5</t>
  </si>
  <si>
    <t xml:space="preserve">[LITRE]L capacity [FUEL] storage water heater complete with thermostat, pressure relief valve, and all accessories as [MFR] or equal approved</t>
  </si>
  <si>
    <t xml:space="preserve">BOQ-PLM-WaterHeater — Count</t>
  </si>
  <si>
    <t xml:space="preserve">"if(PLM_HOTWTR_CAPACITY_L&lt;&gt;"",PLM_HOTWTR_CAPACITY_L+"L ","") + if(PLM_HOTWTR_FUEL_TYPE_TXT&lt;&gt;"",PLM_HOTWTR_FUEL_TYPE_TXT+" ","electric ") + "water heater complete with PRV, thermostat and accessories as " + if(ASS_MANUFACTURER_TXT&lt;&gt;"",ASS_MANUFACTURER_TXT,"approved manufacturer") + " or equal."</t>
  </si>
  <si>
    <t xml:space="preserve">PLM_HOTWTR_CAPACITY_L, PLM_HOTWTR_FUEL_TYPE_TXT, ASS_MANUFACTURER_TXT</t>
  </si>
  <si>
    <t xml:space="preserve">5.2  PIPEWORK — COLD &amp; HOT WATER</t>
  </si>
  <si>
    <t xml:space="preserve">5.2.1</t>
  </si>
  <si>
    <t xml:space="preserve">[SZ]mm dia. [MAT] [PN_RATING] cold water pipework including all fittings, brackets, and supports complete with pressure test</t>
  </si>
  <si>
    <t xml:space="preserve">Pipes/Pipe Accessories</t>
  </si>
  <si>
    <t xml:space="preserve">BOQ-PLM-Pipework — Length (CW filter)</t>
  </si>
  <si>
    <t xml:space="preserve">"if(PLM_PPE_SZ_MM&lt;&gt;"",PLM_PPE_SZ_MM+"mm ","") + if(PLM_PPE_MAT_TXT&lt;&gt;"",PLM_PPE_MAT_TXT+" ","PPR ") + "cold water pipe " + if(PLM_PPE_PSR_RATING_BAR&lt;&gt;"",PLM_PPE_PSR_RATING_BAR+" bar rated ","") + "complete with fittings."</t>
  </si>
  <si>
    <t xml:space="preserve">PLM_VEL_MPS &gt; 2.0 → [!VEL &gt; 2.0]
PLM_PSR_KPA &lt; 150 or &gt; 600 → [!PSR]</t>
  </si>
  <si>
    <t xml:space="preserve">Group by size + material. NWSC supply 150–400 kPa.</t>
  </si>
  <si>
    <t xml:space="preserve">5.2.2</t>
  </si>
  <si>
    <t xml:space="preserve">[SZ]mm dia. [MAT] [PN_RATING] hot water pipework including all fittings, insulation, brackets, and supports complete with pressure test</t>
  </si>
  <si>
    <t xml:space="preserve">BOQ-PLM-Pipework — Length (HW filter)</t>
  </si>
  <si>
    <t xml:space="preserve">"if(PLM_PPE_SZ_MM&lt;&gt;"",PLM_PPE_SZ_MM+"mm ","") + if(PLM_PPE_MAT_TXT&lt;&gt;"",PLM_PPE_MAT_TXT+" ","PPR ") + "hot water pipe " + if(PLM_PPE_PSR_RATING_BAR&lt;&gt;"",PLM_PPE_PSR_RATING_BAR+" bar rated ","") + "insulated, complete with fittings."</t>
  </si>
  <si>
    <t xml:space="preserve">PLM_PPE_FLW_LPS &gt; 2.0 → [!FLOW &gt; 2.0 L/s]</t>
  </si>
  <si>
    <t xml:space="preserve">Uganda: PPR pipe PN20 for HW is standard.</t>
  </si>
  <si>
    <t xml:space="preserve">5.2.3</t>
  </si>
  <si>
    <t xml:space="preserve">[SZ]mm gate / globe / ball valves [MAT] including all accessories</t>
  </si>
  <si>
    <t xml:space="preserve">BOQ-PLM-Valves — Count</t>
  </si>
  <si>
    <t xml:space="preserve">"if(PLM_VLV_SZ_NR&lt;&gt;"",PLM_VLV_SZ_NR+"mm ","") + if(PLM_VLV_TYPE_TXT&lt;&gt;"",PLM_VLV_TYPE_TXT,"globe valve") + "."</t>
  </si>
  <si>
    <t xml:space="preserve">PLM_VLV_SZ_NR, PLM_VLV_TYPE_TXT</t>
  </si>
  <si>
    <t xml:space="preserve">Group by size and type.</t>
  </si>
  <si>
    <t xml:space="preserve">5.2.4</t>
  </si>
  <si>
    <t xml:space="preserve">[SZ]mm dia. [MAT] drainage pipework including all fittings, brackets, supports, and testing</t>
  </si>
  <si>
    <t xml:space="preserve">BOQ-PLM-Drainage — Length</t>
  </si>
  <si>
    <t xml:space="preserve">"if(PLM_PPE_SZ_MM&lt;&gt;"",PLM_PPE_SZ_MM+"mm ","") + if(PLM_DRN_BODY_MAT_TXT&lt;&gt;"",PLM_DRN_BODY_MAT_TXT+" ","uPVC ") + "drainage pipe complete with fittings."</t>
  </si>
  <si>
    <t xml:space="preserve">PLM_PPE_SZ_MM, PLM_DRN_BODY_MAT_TXT</t>
  </si>
  <si>
    <t xml:space="preserve">Min fall 1:40 branches, 1:80 mains.</t>
  </si>
  <si>
    <t xml:space="preserve">5.2.5</t>
  </si>
  <si>
    <t xml:space="preserve">[SZ]mm dia. [MATERIAL] rainwater head / gully / inspection chamber / manhole [DEPTH] deep including frame, cover, benching and render</t>
  </si>
  <si>
    <t xml:space="preserve">BOQ-PLM-Drainage fittings — Count</t>
  </si>
  <si>
    <t xml:space="preserve">"if(PLM_PPE_SZ_MM&lt;&gt;"",PLM_PPE_SZ_MM+"mm ","") + if(ASS_DESCRIPTION_TXT&lt;&gt;"",ASS_DESCRIPTION_TXT,"drainage fitting") + "."</t>
  </si>
  <si>
    <t xml:space="preserve">PLM_PPE_SZ_MM, ASS_DESCRIPTION_TXT</t>
  </si>
  <si>
    <t xml:space="preserve">BILL No.6  —  FIRE FIGHTING INSTALLATIONS</t>
  </si>
  <si>
    <t xml:space="preserve">Preamble: Provide all materials, install, connect and set to work the following all as described in the Specifications and Drawings. All works to BS EN 12845 (sprinklers), BS 5306 (hose reels/extinguishers), Uganda NBC fire code. Uganda Fire &amp; Rescue Services Authority approval required before commissioning.</t>
  </si>
  <si>
    <t xml:space="preserve">6.1  PORTABLE FIRE EXTINGUISHERS</t>
  </si>
  <si>
    <t xml:space="preserve">6.1.1</t>
  </si>
  <si>
    <t xml:space="preserve">[CAPACITY]kg [TYPE] fire extinguisher complete with wall bracket, signage, and commissioning as [MFR] or equal approved</t>
  </si>
  <si>
    <t xml:space="preserve">Sprinklers/Fire Protection</t>
  </si>
  <si>
    <t xml:space="preserve">BOQ-FLS-Extinguishers — Count</t>
  </si>
  <si>
    <t xml:space="preserve">"if(FLS_SFTY_DEV_TYPE_TXT&lt;&gt;"",FLS_SFTY_DEV_TYPE_TXT,"6kg ABC dry powder") + " fire extinguisher complete with bracket and signage."</t>
  </si>
  <si>
    <t xml:space="preserve">FLS_SFTY_DEV_TYPE_TXT, ASS_MANUFACTURER_TXT</t>
  </si>
  <si>
    <t xml:space="preserve">Uganda: minimum 1 per 200m². ABC type standard.</t>
  </si>
  <si>
    <t xml:space="preserve">6.1.2</t>
  </si>
  <si>
    <t xml:space="preserve">[LITRE]L CO2 fire extinguisher for electrical panels complete with wall bracket, signage, and commissioning</t>
  </si>
  <si>
    <t xml:space="preserve">BOQ-FLS-Extinguishers — Count (CO2)</t>
  </si>
  <si>
    <t xml:space="preserve">"if(FLS_SFTY_DEV_TYPE_TXT&lt;&gt;"",FLS_SFTY_DEV_TYPE_TXT,"2kg CO2") + " fire extinguisher for electrical areas complete with bracket and signage."</t>
  </si>
  <si>
    <t xml:space="preserve">1 per DB room minimum.</t>
  </si>
  <si>
    <t xml:space="preserve">6.2  HOSE REELS</t>
  </si>
  <si>
    <t xml:space="preserve">6.2.1</t>
  </si>
  <si>
    <t xml:space="preserve">[DIA]mm dia. [LENGTH]m [TYPE] hose reel complete with shut-off nozzle, semi-automatic valve, hose cabinet, and all connections</t>
  </si>
  <si>
    <t xml:space="preserve">BOQ-FLS-HoseReels — Count</t>
  </si>
  <si>
    <t xml:space="preserve">"if(ASS_DESCRIPTION_TXT&lt;&gt;"",ASS_DESCRIPTION_TXT,"25mm dia. 30m") + " hose reel, semi-automatic, complete with cabinet and connections."</t>
  </si>
  <si>
    <t xml:space="preserve">BS 5306 Part 1. Max 6 bar static pressure.</t>
  </si>
  <si>
    <t xml:space="preserve">6.2.2</t>
  </si>
  <si>
    <t xml:space="preserve">[SZ]mm dia. [MAT] [PN] hose reel supply pipework including all fittings, valves, and supports complete with pressure test</t>
  </si>
  <si>
    <t xml:space="preserve">BOQ-FLS-HoseReels pipe — Length</t>
  </si>
  <si>
    <t xml:space="preserve">"if(PLM_PPE_SZ_MM&lt;&gt;"",PLM_PPE_SZ_MM+"mm ","") + if(PLM_PPE_MAT_TXT&lt;&gt;"",PLM_PPE_MAT_TXT+" ","black steel ") + "hose reel supply pipe complete with fittings and pressure test."</t>
  </si>
  <si>
    <t xml:space="preserve">6.3  SPRINKLER SYSTEM</t>
  </si>
  <si>
    <t xml:space="preserve">6.3.1</t>
  </si>
  <si>
    <t xml:space="preserve">[TYPE] [COVERAGE] sprinkler head [ACTIVATION_TEMP]°C activation temperature including all accessories</t>
  </si>
  <si>
    <t xml:space="preserve">Sprinklers/Pipes</t>
  </si>
  <si>
    <t xml:space="preserve">BOQ-FLS-Sprinklers — Count</t>
  </si>
  <si>
    <t xml:space="preserve">"if(FLS_SPK_TYPE_TXT&lt;&gt;"",FLS_SPK_TYPE_TXT,"Concealed pendant") + " sprinkler head " + if(FLS_SPK_ACTIVATION_TEMP_C&lt;&gt;"",FLS_SPK_ACTIVATION_TEMP_C+"°C ","68°C ") + if(FLS_SPK_COVERAGE_M2&lt;&gt;"",FLS_SPK_COVERAGE_M2+"m² coverage ","") + "complete with accessories."</t>
  </si>
  <si>
    <t xml:space="preserve">FLS_SPK_TYPE_TXT, FLS_SPK_ACTIVATION_TEMP_C, FLS_SPK_COVERAGE_M2</t>
  </si>
  <si>
    <t xml:space="preserve">BS EN 12845. Group by hazard classification.</t>
  </si>
  <si>
    <t xml:space="preserve">6.3.2</t>
  </si>
  <si>
    <t xml:space="preserve">[SZ]mm dia. [MAT] [PN] sprinkler pipework distribution including all fittings, hangers, and supports</t>
  </si>
  <si>
    <t xml:space="preserve">BOQ-FLS-Pipework — Length</t>
  </si>
  <si>
    <t xml:space="preserve">"if(PLM_PPE_SZ_MM&lt;&gt;"",PLM_PPE_SZ_MM+"mm ","") + if(PLM_PPE_MAT_TXT&lt;&gt;"",PLM_PPE_MAT_TXT+" ","black steel ") + "sprinkler distribution pipe complete with fittings."</t>
  </si>
  <si>
    <t xml:space="preserve">6.3.3</t>
  </si>
  <si>
    <t xml:space="preserve">Sprinkler control valve set, zone control valve, test and drain valve, pressure gauges, alarm valve, and all accessories</t>
  </si>
  <si>
    <t xml:space="preserve">"Sprinkler control valve set complete with alarm valve, zone valves, drain, and pressure gauges."</t>
  </si>
  <si>
    <t xml:space="preserve">BOQ-FLS-ControlValves</t>
  </si>
  <si>
    <t xml:space="preserve">1 per sprinkler zone.</t>
  </si>
  <si>
    <t xml:space="preserve">6.3.4</t>
  </si>
  <si>
    <t xml:space="preserve">Sprinkler pump set [FLOW]L/min at [PRESSURE]bar, electric duty/standby pumps with jockey pump, motor starters, and all accessories</t>
  </si>
  <si>
    <t xml:space="preserve">"Sprinkler pump set " + if(HVC_CAP_KW&lt;&gt;"",HVC_CAP_KW+"kW ","") + "complete with duty/standby pumps, jockey pump and starters."</t>
  </si>
  <si>
    <t xml:space="preserve">HVC_CAP_KW, ASS_DESCRIPTION_TXT</t>
  </si>
  <si>
    <t xml:space="preserve">BOQ-FLS-PumpSet</t>
  </si>
  <si>
    <t xml:space="preserve">Manufacturer: Grundfos, Lowara or equal.</t>
  </si>
  <si>
    <t xml:space="preserve">BILL No.7  —  HVAC INSTALLATIONS</t>
  </si>
  <si>
    <t xml:space="preserve">Preamble: Provide all materials, install, connect and set to work the following all as described in the Specifications and Drawings. All works to ASHRAE 90.1 tropical edition. Refrigerant pipework by certified F-Gas engineer. BMS interface points as Section 9. Uganda: NEMA refrigerant compliance.</t>
  </si>
  <si>
    <t xml:space="preserve">7.1  VRF/VRV SPLIT SYSTEM EQUIPMENT</t>
  </si>
  <si>
    <t xml:space="preserve">7.1.1</t>
  </si>
  <si>
    <t xml:space="preserve">[BRAND] VRF outdoor condensing unit(s) [CAPACITY]kW total cooling capacity, [REFRIGERANT] refrigerant, [PHASE]-phase [VLT]V power supply, including frame and vibration isolators</t>
  </si>
  <si>
    <t xml:space="preserve">BOQ-HVC-Equipment — Count (Outdoor)</t>
  </si>
  <si>
    <t xml:space="preserve">"if(ASS_MANUFACTURER_TXT&lt;&gt;"",ASS_MANUFACTURER_TXT,"VRF") + " outdoor condensing unit " + if(HVC_CAP_KW&lt;&gt;"",HVC_CAP_KW+"kW cooling, ","TBC kW, ") + if(HVC_REFRIGERANT_TXT&lt;&gt;"",HVC_REFRIGERANT_TXT+" refrigerant, ","R410A, ") + if(HVC_EFF_RATIO_NR&lt;&gt;"",HVC_EFF_RATIO_NR+" COP, ","") + if(HVC_PWR_KW&lt;&gt;"",HVC_PWR_KW+"kW power.","as drawings.")</t>
  </si>
  <si>
    <t xml:space="preserve">ASS_MANUFACTURER_TXT, HVC_CAP_KW, HVC_REFRIGERANT_TXT, HVC_EFF_RATIO_NR, HVC_PWR_KW</t>
  </si>
  <si>
    <t xml:space="preserve">HVC_CAP_KW — check per floor schedule
HVC_EFF_RATIO_NR &lt; 2.8 → [!COP LOW]</t>
  </si>
  <si>
    <t xml:space="preserve">Group by system mark. Mitsubishi, Daikin, LG standard Uganda.</t>
  </si>
  <si>
    <t xml:space="preserve">7.1.2</t>
  </si>
  <si>
    <t xml:space="preserve">[BRAND] VRF indoor [TYPE] unit [CAPACITY]kW cooling, [REFRIGERANT], including drain, controls, and all accessories</t>
  </si>
  <si>
    <t xml:space="preserve">BOQ-HVC-Equipment — Count (Indoor)</t>
  </si>
  <si>
    <t xml:space="preserve">"if(ASS_MANUFACTURER_TXT&lt;&gt;"",ASS_MANUFACTURER_TXT,"VRF") + " indoor " + if(HVC_UNIT_TYPE_TXT&lt;&gt;"",HVC_UNIT_TYPE_TXT,"cassette") + " unit " + if(HVC_CAP_KW&lt;&gt;"",HVC_CAP_KW+"kW cooling, ","TBC kW, ") + "complete with drain, remote control and accessories."</t>
  </si>
  <si>
    <t xml:space="preserve">ASS_MANUFACTURER_TXT, HVC_CAP_KW, HVC_UNIT_TYPE_TXT</t>
  </si>
  <si>
    <t xml:space="preserve">HVC_CAP_KW — verify per room design load</t>
  </si>
  <si>
    <t xml:space="preserve">Group by indoor unit type.</t>
  </si>
  <si>
    <t xml:space="preserve">7.1.3</t>
  </si>
  <si>
    <t xml:space="preserve">Split/package window/wall air conditioning unit [CAPACITY]kW cooling, [REFRIGERANT], [PHASE]-phase supply, complete with all accessories (non-VRF buildings)</t>
  </si>
  <si>
    <t xml:space="preserve">BOQ-HVC-Equipment — Count (Split)</t>
  </si>
  <si>
    <t xml:space="preserve">"if(HVC_CAP_KW&lt;&gt;"",HVC_CAP_KW+"kW ","") + "split AC unit " + if(HVC_REFRIGERANT_TXT&lt;&gt;"",HVC_REFRIGERANT_TXT,"R410A") + " complete with all accessories."</t>
  </si>
  <si>
    <t xml:space="preserve">HVC_CAP_KW, HVC_REFRIGERANT_TXT, HVC_EFF_RATIO_NR</t>
  </si>
  <si>
    <t xml:space="preserve">For smaller buildings without VRF.</t>
  </si>
  <si>
    <t xml:space="preserve">7.2  REFRIGERANT PIPEWORK</t>
  </si>
  <si>
    <t xml:space="preserve">7.2.1</t>
  </si>
  <si>
    <t xml:space="preserve">[DIA]mm dia. refrigerant liquid/suction copper pipework insulated complete with all fittings and supports</t>
  </si>
  <si>
    <t xml:space="preserve">BOQ-HVC-RefrigPipework — Length</t>
  </si>
  <si>
    <t xml:space="preserve">"if(PLM_PPE_SZ_MM&lt;&gt;"",PLM_PPE_SZ_MM+"mm ","") + "copper refrigerant " + if(ASS_DESCRIPTION_TXT&lt;&gt;"",ASS_DESCRIPTION_TXT,"liquid/suction") + " pipe insulated, complete with fittings."</t>
  </si>
  <si>
    <t xml:space="preserve">By F-Gas certified engineer.</t>
  </si>
  <si>
    <t xml:space="preserve">7.2.2</t>
  </si>
  <si>
    <t xml:space="preserve">Refrigerant branch distributor / Y-joint / header set including all fittings</t>
  </si>
  <si>
    <t xml:space="preserve">BOQ-HVC-RefrigFittings — Count</t>
  </si>
  <si>
    <t xml:space="preserve">"Refrigerant " + if(ASS_DESCRIPTION_TXT&lt;&gt;"",ASS_DESCRIPTION_TXT,"branch distributor") + " complete with all fittings."</t>
  </si>
  <si>
    <t xml:space="preserve">BOQ-HVC-RefrigFittings</t>
  </si>
  <si>
    <t xml:space="preserve">7.3  DUCTWORK &amp; DISTRIBUTION</t>
  </si>
  <si>
    <t xml:space="preserve">7.3.1</t>
  </si>
  <si>
    <t xml:space="preserve">Galvanised mild steel [CLASS] rectangular ductwork [W]mm x [H]mm insulated [THICK]mm complete with all flanges, hangers, supports, and sealant</t>
  </si>
  <si>
    <t xml:space="preserve">Ducts/Flex Ducts/Air Terminals</t>
  </si>
  <si>
    <t xml:space="preserve">BOQ-HVC-Ducts — Length</t>
  </si>
  <si>
    <t xml:space="preserve">"GMS " + if(HVC_DUCT_CLASS_TXT&lt;&gt;"",HVC_DUCT_CLASS_TXT,"Class B") + " duct " + if(HVC_DCT_SZ_W_MM&lt;&gt;"",HVC_DCT_SZ_W_MM+"W","?W") + "x" + if(HVC_DCT_SZ_H_MM&lt;&gt;"",HVC_DCT_SZ_H_MM+"H mm ","?H mm ") + "insulated, complete with hangers."</t>
  </si>
  <si>
    <t xml:space="preserve">HVC_DUCT_CLASS_TXT, HVC_DCT_SZ_W_MM, HVC_DCT_SZ_H_MM, HVC_DCT_LINING_TXT</t>
  </si>
  <si>
    <t xml:space="preserve">HVC_VEL_MPS &gt; 8.0 → [!VEL &gt; 8.0 m/s]</t>
  </si>
  <si>
    <t xml:space="preserve">Group by size. Uganda: GMS standard. Max vel 8m/s supply, 6m/s return.</t>
  </si>
  <si>
    <t xml:space="preserve">7.3.2</t>
  </si>
  <si>
    <t xml:space="preserve">[DIA]mm dia. GMS circular ductwork insulated [THICK]mm complete with all fittings, hangers, and supports</t>
  </si>
  <si>
    <t xml:space="preserve">BOQ-HVC-Ducts — Length (circular)</t>
  </si>
  <si>
    <t xml:space="preserve">"if(HVC_DCT_SZ_W_MM&lt;&gt;"",HVC_DCT_SZ_W_MM+"mm dia ","") + "GMS circular duct insulated complete with fittings."</t>
  </si>
  <si>
    <t xml:space="preserve">HVC_DCT_SZ_W_MM</t>
  </si>
  <si>
    <t xml:space="preserve">HVC_VEL_MPS &gt; 8.0 → [!VEL]</t>
  </si>
  <si>
    <t xml:space="preserve">7.3.3</t>
  </si>
  <si>
    <t xml:space="preserve">[DIA]mm dia. flexible duct [LENGTH]mm long connecting rigid duct to terminal complete with clamps</t>
  </si>
  <si>
    <t xml:space="preserve">BOQ-HVC-FlexDucts — Count</t>
  </si>
  <si>
    <t xml:space="preserve">"if(HVC_DCT_FLEX_DIA_MM&lt;&gt;"",HVC_DCT_FLEX_DIA_MM+"mm dia ","") + "flexible duct " + if(HVC_DCT_FLEX_MAX_LEN_MM&lt;&gt;"",HVC_DCT_FLEX_MAX_LEN_MM+"mm long ","") + "complete with clamps."</t>
  </si>
  <si>
    <t xml:space="preserve">HVC_DCT_FLEX_MAX_LEN_MM &gt; 1500 → [!FLEX &gt; 1500mm]</t>
  </si>
  <si>
    <t xml:space="preserve">Max 1500mm per SMACNA. One per terminal.</t>
  </si>
  <si>
    <t xml:space="preserve">7.3.4</t>
  </si>
  <si>
    <t xml:space="preserve">[TYPE] [SIZE]mm x [SIZE]mm supply/return air grille/diffuser/louvre complete with opposed blade damper and all accessories</t>
  </si>
  <si>
    <t xml:space="preserve">BOQ-HVC-AirTerminals — Count</t>
  </si>
  <si>
    <t xml:space="preserve">"if(HVC_TERMINAL_TYPE_TXT&lt;&gt;"",HVC_TERMINAL_TYPE_TXT,"Supply grille") + " " + if(HVC_DCT_SZ_W_MM&lt;&gt;"",HVC_DCT_SZ_W_MM+"x","") + if(HVC_DCT_SZ_H_MM&lt;&gt;"",HVC_DCT_SZ_H_MM+"mm ","") + "complete with OBD and accessories."</t>
  </si>
  <si>
    <t xml:space="preserve">HVC_TERMINAL_TYPE_TXT, HVC_DCT_SZ_W_MM, HVC_DCT_SZ_H_MM</t>
  </si>
  <si>
    <t xml:space="preserve">HVC_DCT_TERMINAL_SOUND_DB_NR &gt; 35 → [!NOISE]</t>
  </si>
  <si>
    <t xml:space="preserve">Group by type and size.</t>
  </si>
  <si>
    <t xml:space="preserve">BILL No.8  —  LIFT INSTALLATIONS</t>
  </si>
  <si>
    <t xml:space="preserve">Preamble: Provide and install [NR] lifts all as described in the Specifications and Drawings. All works to BS EN 81-20 and Uganda Government Lift Inspector requirements. Include all builder's works, pit ladder, machine room, and fireman's switch. KCCA/Government lift inspection certificate required before commissioning.</t>
  </si>
  <si>
    <t xml:space="preserve">8.1  PASSENGER &amp; GOODS LIFTS</t>
  </si>
  <si>
    <t xml:space="preserve">8.1.1</t>
  </si>
  <si>
    <t xml:space="preserve">[BRAND] [CAPACITY]kg capacity [STOPS]-stop passenger lift, [SPEED]m/s, [DRIVE] drive, [FINISHES] car interior finish, complete with landing doors, controls, emergency phone, and all accessories as specification</t>
  </si>
  <si>
    <t xml:space="preserve">BOQ-LIFT-Equipment — Count</t>
  </si>
  <si>
    <t xml:space="preserve">"if(ASS_MANUFACTURER_TXT&lt;&gt;"",ASS_MANUFACTURER_TXT,"Otis/KONE or equal") + " " + if(ASS_CAPACITY_TXT&lt;&gt;"",ASS_CAPACITY_TXT,"1000kg") + " passenger lift, " + if(ASS_DESCRIPTION_TXT&lt;&gt;"",ASS_DESCRIPTION_TXT,"") + " complete with all accessories and controls."</t>
  </si>
  <si>
    <t xml:space="preserve">Uganda: 1000kg (13 person) standard. BS EN 81-20.</t>
  </si>
  <si>
    <t xml:space="preserve">8.1.2</t>
  </si>
  <si>
    <t xml:space="preserve">Voltage stabiliser [KVA]kVA for lift power supply complete with all connections and accessories</t>
  </si>
  <si>
    <t xml:space="preserve">BOQ-LIFT-VoltageStabiliser — Count</t>
  </si>
  <si>
    <t xml:space="preserve">"if(ASS_CAPACITY_TXT&lt;&gt;"",ASS_CAPACITY_TXT,"15kVA") + " voltage stabiliser for lift power supply complete with connections."</t>
  </si>
  <si>
    <t xml:space="preserve">ASS_CAPACITY_TXT, ASS_DESCRIPTION_TXT</t>
  </si>
  <si>
    <t xml:space="preserve">Uganda: UMEME voltage fluctuation mitigation.</t>
  </si>
  <si>
    <t xml:space="preserve">8.1.3</t>
  </si>
  <si>
    <t xml:space="preserve">Fireman's switch and emergency recall controls complete with all accessories</t>
  </si>
  <si>
    <t xml:space="preserve">"Fireman's switch and emergency recall controls complete with accessories."</t>
  </si>
  <si>
    <t xml:space="preserve">Required by Uganda NBC fire code.</t>
  </si>
  <si>
    <t xml:space="preserve">8.1.4</t>
  </si>
  <si>
    <t xml:space="preserve">Builder's work in connection with lift installation including pit, shaft, machine room slab penetrations, fixings, and making good</t>
  </si>
  <si>
    <t xml:space="preserve">"Builder's work in connection with lift installation."</t>
  </si>
  <si>
    <t xml:space="preserve">BOQ-LIFT-BuildersWork</t>
  </si>
  <si>
    <t xml:space="preserve">Allow 5–8% of lift value.</t>
  </si>
  <si>
    <t xml:space="preserve">8.1.5</t>
  </si>
  <si>
    <t xml:space="preserve">Government lift inspector initial commissioning inspection fee and certification</t>
  </si>
  <si>
    <t xml:space="preserve">"Government lift inspector commissioning fee."</t>
  </si>
  <si>
    <t xml:space="preserve">BOQ-LIFT-Inspection</t>
  </si>
  <si>
    <t xml:space="preserve">Uganda: Director of Industrial Training. Annual inspection thereafter.</t>
  </si>
  <si>
    <t xml:space="preserve">BILL No.9  —  ICT &amp; SPECIALIST SYSTEMS</t>
  </si>
  <si>
    <t xml:space="preserve">Preamble: Provide all materials, install, connect and set to work the following ICT, BMS, nurse call, and specialist systems all as described in the Specifications and Drawings. All structured cabling to TIA-568-C. BACnet/IP protocol for BMS. CCTV NVR/DVR 30-day retention minimum.</t>
  </si>
  <si>
    <t xml:space="preserve">9.1  STRUCTURED DATA &amp; VOICE CABLING</t>
  </si>
  <si>
    <t xml:space="preserve">9.1.1</t>
  </si>
  <si>
    <t xml:space="preserve">Cat [RATING] data outlet points in [CDT_SZ]mm heavy gauge PVC [METHOD] conduit, [MFR] keystone jack, complete with faceplates and all accessories</t>
  </si>
  <si>
    <t xml:space="preserve">Data/Telephone Devices</t>
  </si>
  <si>
    <t xml:space="preserve">BOQ-ICT-DataOutlets — Count</t>
  </si>
  <si>
    <t xml:space="preserve">ICT_CAT_RATING_TXT, ELC_CDT_SZ_MM, ELC_CDT_INSTALL_METHOD_TXT, ASS_MANUFACTURER_TXT</t>
  </si>
  <si>
    <t xml:space="preserve">TIA-568-C.2. Group by floor.</t>
  </si>
  <si>
    <t xml:space="preserve">9.1.2</t>
  </si>
  <si>
    <t xml:space="preserve">Telephone outlet points in [CDT_SZ]mm heavy gauge PVC [METHOD] conduit complete with faceplate and all accessories</t>
  </si>
  <si>
    <t xml:space="preserve">BOQ-ICT-DataOutlets — Count (Tel)</t>
  </si>
  <si>
    <t xml:space="preserve">"Telephone outlet in " + if(ELC_CDT_SZ_MM&lt;&gt;"",ELC_CDT_SZ_MM+"mm","20mm") + " PVC conduit complete with faceplate."</t>
  </si>
  <si>
    <t xml:space="preserve">ELC_CDT_SZ_MM, ICT_OUTLET_TYPE_TXT</t>
  </si>
  <si>
    <t xml:space="preserve">9.1.3</t>
  </si>
  <si>
    <t xml:space="preserve">[NR]-port network patch panel Cat [RATING] in [U]-U rack including all patch leads and accessories</t>
  </si>
  <si>
    <t xml:space="preserve">BOQ-ICT-PatchPanel — Count</t>
  </si>
  <si>
    <t xml:space="preserve">"if(ICT_PORT_NR&lt;&gt;"",ICT_PORT_NR+"-port ","24-port ") + "patch panel Cat " + if(ICT_CAT_RATING_TXT&lt;&gt;"",ICT_CAT_RATING_TXT,"6") + " complete with patch leads."</t>
  </si>
  <si>
    <t xml:space="preserve">ICT_PORT_NR, ICT_CAT_RATING_TXT, ICT_PATCH_PANEL_TXT</t>
  </si>
  <si>
    <t xml:space="preserve">BOQ-ICT-PatchPanel</t>
  </si>
  <si>
    <t xml:space="preserve">9.1.4</t>
  </si>
  <si>
    <t xml:space="preserve">[NR]-U network rack complete with PDU, cable management, blanking panels, and ventilated top panel</t>
  </si>
  <si>
    <t xml:space="preserve">BOQ-ICT-Rack — Count</t>
  </si>
  <si>
    <t xml:space="preserve">"if(ASS_DESCRIPTION_TXT&lt;&gt;"",ASS_DESCRIPTION_TXT,"19-inch") + " network rack complete with PDU, cable management and blanking."</t>
  </si>
  <si>
    <t xml:space="preserve">BOQ-ICT-Rack</t>
  </si>
  <si>
    <t xml:space="preserve">9.2  BMS CONTROLS</t>
  </si>
  <si>
    <t xml:space="preserve">9.2.1</t>
  </si>
  <si>
    <t xml:space="preserve">BMS [TYPE] controller [BACNET_ID], [PROTOCOL] protocol, [POINTS] I/O points, complete with power supply, housing, and all accessories</t>
  </si>
  <si>
    <t xml:space="preserve">BOQ-ICT-BMS — Count</t>
  </si>
  <si>
    <t xml:space="preserve">"if(COM_C_DEV_TYPE_TXT&lt;&gt;"",COM_C_DEV_TYPE_TXT,"BMS controller") + " BACnet/IP, instance " + if(COM_C_DEV_BACNET_INSTANCE_INT&lt;&gt;"",COM_C_DEV_BACNET_INSTANCE_INT,"?") + " complete with I/O, power supply and housing."</t>
  </si>
  <si>
    <t xml:space="preserve">COM_C_DEV_TYPE_TXT, COM_C_DEV_BACNET_INSTANCE_INT, COM_C_NETWORK_ADDRESS_TXT</t>
  </si>
  <si>
    <t xml:space="preserve">Vendor: Honeywell, Siemens, Schneider or equal.</t>
  </si>
  <si>
    <t xml:space="preserve">9.2.2</t>
  </si>
  <si>
    <t xml:space="preserve">BMS field device [TYPE] sensor/actuator complete with wiring, mounting, and commissioning</t>
  </si>
  <si>
    <t xml:space="preserve">BOQ-ICT-BMS — Count (sensors)</t>
  </si>
  <si>
    <t xml:space="preserve">"BMS " + if(COM_C_DEV_TYPE_TXT&lt;&gt;"",COM_C_DEV_TYPE_TXT,"sensor") + " complete with wiring and commissioning."</t>
  </si>
  <si>
    <t xml:space="preserve">COM_C_DEV_TYPE_TXT, COM_C_MEAS_RANGE_TXT</t>
  </si>
  <si>
    <t xml:space="preserve">9.2.3</t>
  </si>
  <si>
    <t xml:space="preserve">BMS workstation software licence, operator interface, and commissioning complete as specified</t>
  </si>
  <si>
    <t xml:space="preserve">"BMS operator workstation, software licence and commissioning."</t>
  </si>
  <si>
    <t xml:space="preserve">1 per project.</t>
  </si>
  <si>
    <t xml:space="preserve">9.3  NURSE CALL SYSTEM (HEALTHCARE ONLY)</t>
  </si>
  <si>
    <t xml:space="preserve">9.3.1</t>
  </si>
  <si>
    <t xml:space="preserve">Nurse call [TYPE] call point in ward/bed complete with pull cord, reset, zone indicator light, and all accessories connected to nurse call panel</t>
  </si>
  <si>
    <t xml:space="preserve">BOQ-ICT-NurseCall — Count</t>
  </si>
  <si>
    <t xml:space="preserve">"if(NCL_CALL_TYPE_TXT&lt;&gt;"",NCL_CALL_TYPE_TXT,"Nurse call point") + " zone " + if(NCL_ZONE_TXT&lt;&gt;"",NCL_ZONE_TXT,"?") + " complete with pull cord, indicator and accessories."</t>
  </si>
  <si>
    <t xml:space="preserve">NCL_CALL_TYPE_TXT, NCL_ZONE_TXT, COM_C_PROTOCOL_TXT</t>
  </si>
  <si>
    <t xml:space="preserve">9.3.2</t>
  </si>
  <si>
    <t xml:space="preserve">Nurse call master control panel for [ZONES] zones complete with display, repeater panel, and all accessories</t>
  </si>
  <si>
    <t xml:space="preserve">BOQ-ICT-NurseCall — Count (Panel)</t>
  </si>
  <si>
    <t xml:space="preserve">"Nurse call master panel for " + if(NCL_ZONE_TXT&lt;&gt;"",NCL_ZONE_TXT,"?") + " zones complete with display and accessories."</t>
  </si>
  <si>
    <t xml:space="preserve">NCL_ZONE_TXT</t>
  </si>
  <si>
    <t xml:space="preserve">9.4  GENERATOR &amp; STANDBY POWER (WHERE APPLICABLE)</t>
  </si>
  <si>
    <t xml:space="preserve">9.4.1</t>
  </si>
  <si>
    <t xml:space="preserve">[BRAND] [CAPACITY]kVA diesel generator set with canopy, [FUEL]L base tank, [PHASE]-phase, complete with all accessories, ATS panel, wiring, and commissioning</t>
  </si>
  <si>
    <t xml:space="preserve">BOQ-ELEC-Generator — Count</t>
  </si>
  <si>
    <t xml:space="preserve">"if(ASS_MANUFACTURER_TXT&lt;&gt;"",ASS_MANUFACTURER_TXT,"FG Wilson or equal") + " " + if(ASS_CAPACITY_TXT&lt;&gt;"",ASS_CAPACITY_TXT,"100kVA") + " diesel generator with canopy, base tank, ATS, complete with commissioning."</t>
  </si>
  <si>
    <t xml:space="preserve">Uganda: essential for all commercial/institutional buildings.</t>
  </si>
  <si>
    <t xml:space="preserve">9.4.2</t>
  </si>
  <si>
    <t xml:space="preserve">Automatic Transfer Switch (ATS) panel [RATING]A for [PHASES]-phase mains/generator changeover complete with all accessories</t>
  </si>
  <si>
    <t xml:space="preserve">BOQ-ELEC-ATS — Count</t>
  </si>
  <si>
    <t xml:space="preserve">"ATS panel " + if(ELC_PNL_MAIN_BRK_A&lt;&gt;"",ELC_PNL_MAIN_BRK_A+"A ","?A ") + if(ELC_PNL_PHS_COUNT_NR&lt;&gt;"",ELC_PNL_PHS_COUNT_NR+"-phase ","") + "mains/generator changeover complete."</t>
  </si>
  <si>
    <t xml:space="preserve">ELC_PNL_MAIN_BRK_A, ELC_PNL_PHS_COUNT_NR</t>
  </si>
  <si>
    <t xml:space="preserve">BOQ-ELEC-ATS</t>
  </si>
  <si>
    <t xml:space="preserve">REVIT SCHEDULE NAMES — Quick Reference</t>
  </si>
  <si>
    <t xml:space="preserve">Volume m³</t>
  </si>
  <si>
    <t xml:space="preserve">Structural Framing / Beams / Columns</t>
  </si>
  <si>
    <t xml:space="preserve">Structural Framing + Columns</t>
  </si>
  <si>
    <t xml:space="preserve">Walls by type mark</t>
  </si>
  <si>
    <t xml:space="preserve">Area m²</t>
  </si>
  <si>
    <t xml:space="preserve">Ceilings by type mark</t>
  </si>
  <si>
    <t xml:space="preserve">Floors by type mark</t>
  </si>
  <si>
    <t xml:space="preserve">Roofs by type mark</t>
  </si>
  <si>
    <t xml:space="preserve">Doors by type mark</t>
  </si>
  <si>
    <t xml:space="preserve">Count No.</t>
  </si>
  <si>
    <t xml:space="preserve">Windows by type mark</t>
  </si>
  <si>
    <t xml:space="preserve">Electrical Fixtures — lighting circuits</t>
  </si>
  <si>
    <t xml:space="preserve">Electrical Fixtures — socket circuits</t>
  </si>
  <si>
    <t xml:space="preserve">Lighting Fixtures by type mark</t>
  </si>
  <si>
    <t xml:space="preserve">Electrical Fixtures — switches</t>
  </si>
  <si>
    <t xml:space="preserve">Electrical Fixtures — sockets</t>
  </si>
  <si>
    <t xml:space="preserve">Conduits by size/material</t>
  </si>
  <si>
    <t xml:space="preserve">Length LM</t>
  </si>
  <si>
    <t xml:space="preserve">Cable Trays by size</t>
  </si>
  <si>
    <t xml:space="preserve">Electrical Equipment (panels)</t>
  </si>
  <si>
    <t xml:space="preserve">Fire Alarm Devices by type</t>
  </si>
  <si>
    <t xml:space="preserve">Security Devices by type</t>
  </si>
  <si>
    <t xml:space="preserve">Plumbing Fixtures — WC</t>
  </si>
  <si>
    <t xml:space="preserve">Plumbing Fixtures — WHB</t>
  </si>
  <si>
    <t xml:space="preserve">Pipes by size/material</t>
  </si>
  <si>
    <t xml:space="preserve">Pipe Accessories — valves</t>
  </si>
  <si>
    <t xml:space="preserve">Sprinklers (category) — extinguishers</t>
  </si>
  <si>
    <t xml:space="preserve">Sprinklers (category) — hose reels</t>
  </si>
  <si>
    <t xml:space="preserve">Sprinklers by type</t>
  </si>
  <si>
    <t xml:space="preserve">Mechanical Equipment by type mark</t>
  </si>
  <si>
    <t xml:space="preserve">Ducts by size</t>
  </si>
  <si>
    <t xml:space="preserve">Air Terminals by type</t>
  </si>
  <si>
    <t xml:space="preserve">Specialty Equipment — lifts</t>
  </si>
  <si>
    <t xml:space="preserve">Communication Devices — BMS</t>
  </si>
  <si>
    <t xml:space="preserve">Specialty Equipment — generator</t>
  </si>
</sst>
</file>

<file path=xl/styles.xml><?xml version="1.0" encoding="utf-8"?>
<styleSheet xmlns="http://schemas.openxmlformats.org/spreadsheetml/2006/main">
  <numFmts count="2">
    <numFmt numFmtId="164" formatCode="General"/>
    <numFmt numFmtId="165" formatCode="General"/>
  </numFmts>
  <fonts count="33">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4472C4"/>
      <name val="Arial"/>
      <family val="0"/>
      <charset val="1"/>
    </font>
    <font>
      <b val="true"/>
      <sz val="11"/>
      <color rgb="FF1F3864"/>
      <name val="Arial"/>
      <family val="0"/>
      <charset val="1"/>
    </font>
    <font>
      <b val="true"/>
      <sz val="9"/>
      <name val="Arial"/>
      <family val="0"/>
      <charset val="1"/>
    </font>
    <font>
      <sz val="9"/>
      <name val="Arial"/>
      <family val="0"/>
      <charset val="1"/>
    </font>
    <font>
      <i val="true"/>
      <sz val="9"/>
      <color rgb="FF808080"/>
      <name val="Arial"/>
      <family val="0"/>
      <charset val="1"/>
    </font>
    <font>
      <i val="true"/>
      <sz val="9"/>
      <color rgb="FF7F7F7F"/>
      <name val="Arial"/>
      <family val="0"/>
      <charset val="1"/>
    </font>
    <font>
      <b val="true"/>
      <sz val="12"/>
      <color rgb="FF1F3864"/>
      <name val="Arial"/>
      <family val="0"/>
      <charset val="1"/>
    </font>
    <font>
      <b val="true"/>
      <sz val="10"/>
      <color rgb="FFFFFFFF"/>
      <name val="Arial"/>
      <family val="0"/>
      <charset val="1"/>
    </font>
    <font>
      <b val="true"/>
      <sz val="9"/>
      <color rgb="FFCC0000"/>
      <name val="Arial"/>
      <family val="0"/>
      <charset val="1"/>
    </font>
    <font>
      <b val="true"/>
      <sz val="10"/>
      <name val="Arial"/>
      <family val="0"/>
      <charset val="1"/>
    </font>
    <font>
      <b val="true"/>
      <sz val="9"/>
      <color rgb="FF1F3864"/>
      <name val="Arial"/>
      <family val="0"/>
      <charset val="1"/>
    </font>
    <font>
      <b val="true"/>
      <sz val="8"/>
      <color rgb="FFFFFFFF"/>
      <name val="Arial"/>
      <family val="0"/>
      <charset val="1"/>
    </font>
    <font>
      <i val="true"/>
      <sz val="7"/>
      <color rgb="FF00695C"/>
      <name val="Arial"/>
      <family val="0"/>
      <charset val="1"/>
    </font>
    <font>
      <b val="true"/>
      <sz val="8"/>
      <name val="Arial"/>
      <family val="0"/>
      <charset val="1"/>
    </font>
    <font>
      <sz val="8"/>
      <name val="Arial"/>
      <family val="0"/>
      <charset val="1"/>
    </font>
    <font>
      <b val="true"/>
      <sz val="8"/>
      <color rgb="FF1F1F1F"/>
      <name val="Arial"/>
      <family val="0"/>
      <charset val="1"/>
    </font>
    <font>
      <sz val="8"/>
      <color rgb="FF1F1F1F"/>
      <name val="Arial"/>
      <family val="0"/>
      <charset val="1"/>
    </font>
    <font>
      <sz val="10"/>
      <name val="Arial"/>
      <family val="0"/>
      <charset val="1"/>
    </font>
    <font>
      <b val="true"/>
      <sz val="10"/>
      <color rgb="FF1F3864"/>
      <name val="Arial"/>
      <family val="0"/>
      <charset val="1"/>
    </font>
    <font>
      <sz val="8"/>
      <color rgb="FFFF8F00"/>
      <name val="Arial"/>
      <family val="0"/>
      <charset val="1"/>
    </font>
    <font>
      <sz val="8"/>
      <color rgb="FFC62828"/>
      <name val="Arial"/>
      <family val="0"/>
      <charset val="1"/>
    </font>
    <font>
      <b val="true"/>
      <sz val="12"/>
      <color rgb="FFFFFFFF"/>
      <name val="Arial"/>
      <family val="0"/>
      <charset val="1"/>
    </font>
    <font>
      <i val="true"/>
      <sz val="8"/>
      <color rgb="FF1F1F1F"/>
      <name val="Arial"/>
      <family val="0"/>
      <charset val="1"/>
    </font>
    <font>
      <b val="true"/>
      <sz val="9"/>
      <color rgb="FFFFFFFF"/>
      <name val="Arial"/>
      <family val="0"/>
      <charset val="1"/>
    </font>
    <font>
      <b val="true"/>
      <sz val="8"/>
      <color rgb="FF1B2A4A"/>
      <name val="Arial"/>
      <family val="0"/>
      <charset val="1"/>
    </font>
    <font>
      <b val="true"/>
      <sz val="8"/>
      <color rgb="FF00695C"/>
      <name val="Arial"/>
      <family val="0"/>
      <charset val="1"/>
    </font>
    <font>
      <b val="true"/>
      <sz val="8"/>
      <color rgb="FFC62828"/>
      <name val="Arial"/>
      <family val="0"/>
      <charset val="1"/>
    </font>
    <font>
      <sz val="8"/>
      <color rgb="FF2E7D32"/>
      <name val="Arial"/>
      <family val="0"/>
      <charset val="1"/>
    </font>
  </fonts>
  <fills count="28">
    <fill>
      <patternFill patternType="none"/>
    </fill>
    <fill>
      <patternFill patternType="gray125"/>
    </fill>
    <fill>
      <patternFill patternType="solid">
        <fgColor rgb="FF1F3864"/>
        <bgColor rgb="FF2B3A6B"/>
      </patternFill>
    </fill>
    <fill>
      <patternFill patternType="solid">
        <fgColor rgb="FF2E5090"/>
        <bgColor rgb="FF3D5299"/>
      </patternFill>
    </fill>
    <fill>
      <patternFill patternType="solid">
        <fgColor rgb="FF4472C4"/>
        <bgColor rgb="FF3D5299"/>
      </patternFill>
    </fill>
    <fill>
      <patternFill patternType="solid">
        <fgColor rgb="FFE2EFDA"/>
        <bgColor rgb="FFE0F2F1"/>
      </patternFill>
    </fill>
    <fill>
      <patternFill patternType="solid">
        <fgColor rgb="FFFCE4D6"/>
        <bgColor rgb="FFFFEBEE"/>
      </patternFill>
    </fill>
    <fill>
      <patternFill patternType="solid">
        <fgColor rgb="FFFFF2CC"/>
        <bgColor rgb="FFFFF3E0"/>
      </patternFill>
    </fill>
    <fill>
      <patternFill patternType="solid">
        <fgColor rgb="FFF4CCCC"/>
        <bgColor rgb="FFFCE4D6"/>
      </patternFill>
    </fill>
    <fill>
      <patternFill patternType="solid">
        <fgColor rgb="FFD6E4F0"/>
        <bgColor rgb="FFDCE6F9"/>
      </patternFill>
    </fill>
    <fill>
      <patternFill patternType="solid">
        <fgColor rgb="FF2E7D32"/>
        <bgColor rgb="FF008000"/>
      </patternFill>
    </fill>
    <fill>
      <patternFill patternType="solid">
        <fgColor rgb="FFF2F2F2"/>
        <bgColor rgb="FFFFEBEE"/>
      </patternFill>
    </fill>
    <fill>
      <patternFill patternType="solid">
        <fgColor rgb="FFFFFFFF"/>
        <bgColor rgb="FFFFFDE7"/>
      </patternFill>
    </fill>
    <fill>
      <patternFill patternType="solid">
        <fgColor rgb="FF2B3A6B"/>
        <bgColor rgb="FF1F3864"/>
      </patternFill>
    </fill>
    <fill>
      <patternFill patternType="solid">
        <fgColor rgb="FF1B2A4A"/>
        <bgColor rgb="FF1F3864"/>
      </patternFill>
    </fill>
    <fill>
      <patternFill patternType="solid">
        <fgColor rgb="FFDCE6F9"/>
        <bgColor rgb="FFD6E4F0"/>
      </patternFill>
    </fill>
    <fill>
      <patternFill patternType="solid">
        <fgColor rgb="FF3D5299"/>
        <bgColor rgb="FF2E5090"/>
      </patternFill>
    </fill>
    <fill>
      <patternFill patternType="solid">
        <fgColor rgb="FF00695C"/>
        <bgColor rgb="FF2E7D32"/>
      </patternFill>
    </fill>
    <fill>
      <patternFill patternType="solid">
        <fgColor rgb="FFE65100"/>
        <bgColor rgb="FFC62828"/>
      </patternFill>
    </fill>
    <fill>
      <patternFill patternType="solid">
        <fgColor rgb="FFB8C8F0"/>
        <bgColor rgb="FFB4C6E7"/>
      </patternFill>
    </fill>
    <fill>
      <patternFill patternType="solid">
        <fgColor rgb="FFE0F2F1"/>
        <bgColor rgb="FFE2EFDA"/>
      </patternFill>
    </fill>
    <fill>
      <patternFill patternType="solid">
        <fgColor rgb="FFF9A825"/>
        <bgColor rgb="FFFFC000"/>
      </patternFill>
    </fill>
    <fill>
      <patternFill patternType="solid">
        <fgColor rgb="FFFFFDE7"/>
        <bgColor rgb="FFFFF3E0"/>
      </patternFill>
    </fill>
    <fill>
      <patternFill patternType="solid">
        <fgColor rgb="FFC62828"/>
        <bgColor rgb="FF993366"/>
      </patternFill>
    </fill>
    <fill>
      <patternFill patternType="solid">
        <fgColor rgb="FFFFEBEE"/>
        <bgColor rgb="FFFFF3E0"/>
      </patternFill>
    </fill>
    <fill>
      <patternFill patternType="solid">
        <fgColor rgb="FF6A1B9A"/>
        <bgColor rgb="FF800080"/>
      </patternFill>
    </fill>
    <fill>
      <patternFill patternType="solid">
        <fgColor rgb="FFF3E5F5"/>
        <bgColor rgb="FFFFEBEE"/>
      </patternFill>
    </fill>
    <fill>
      <patternFill patternType="solid">
        <fgColor rgb="FFFFF3E0"/>
        <bgColor rgb="FFFFF2CC"/>
      </patternFill>
    </fill>
  </fills>
  <borders count="6">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medium">
        <color rgb="FF606060"/>
      </left>
      <right style="medium">
        <color rgb="FF606060"/>
      </right>
      <top style="medium">
        <color rgb="FF606060"/>
      </top>
      <bottom style="medium">
        <color rgb="FF606060"/>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right/>
      <top style="thin">
        <color rgb="FFB4C6E7"/>
      </top>
      <bottom style="thin">
        <color rgb="FFB4C6E7"/>
      </bottom>
      <diagonal/>
    </border>
    <border diagonalUp="false" diagonalDown="false">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general" vertical="center"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8"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5" fontId="8" fillId="6"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16" fillId="10"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7" fillId="5" borderId="3" xfId="0" applyFont="true" applyBorder="true" applyAlignment="true" applyProtection="false">
      <alignment horizontal="left" vertical="top" textRotation="0" wrapText="true" indent="0" shrinkToFit="false"/>
      <protection locked="true" hidden="false"/>
    </xf>
    <xf numFmtId="164" fontId="18" fillId="11" borderId="3" xfId="0" applyFont="true" applyBorder="true" applyAlignment="true" applyProtection="false">
      <alignment horizontal="left" vertical="top" textRotation="0" wrapText="true" indent="0" shrinkToFit="false"/>
      <protection locked="true" hidden="false"/>
    </xf>
    <xf numFmtId="164" fontId="19" fillId="11" borderId="3" xfId="0" applyFont="true" applyBorder="true" applyAlignment="true" applyProtection="false">
      <alignment horizontal="left" vertical="top" textRotation="0" wrapText="true" indent="0" shrinkToFit="false"/>
      <protection locked="true" hidden="false"/>
    </xf>
    <xf numFmtId="164" fontId="18" fillId="12" borderId="3" xfId="0" applyFont="true" applyBorder="true" applyAlignment="true" applyProtection="false">
      <alignment horizontal="left" vertical="top" textRotation="0" wrapText="true" indent="0" shrinkToFit="false"/>
      <protection locked="true" hidden="false"/>
    </xf>
    <xf numFmtId="164" fontId="19" fillId="12" borderId="3" xfId="0" applyFont="true" applyBorder="true" applyAlignment="true" applyProtection="false">
      <alignment horizontal="left" vertical="top" textRotation="0" wrapText="true" indent="0" shrinkToFit="false"/>
      <protection locked="true" hidden="false"/>
    </xf>
    <xf numFmtId="164" fontId="20" fillId="11" borderId="3" xfId="0" applyFont="true" applyBorder="true" applyAlignment="true" applyProtection="false">
      <alignment horizontal="left" vertical="top" textRotation="0" wrapText="true" indent="0" shrinkToFit="false"/>
      <protection locked="true" hidden="false"/>
    </xf>
    <xf numFmtId="164" fontId="21" fillId="11" borderId="3" xfId="0" applyFont="true" applyBorder="true" applyAlignment="true" applyProtection="false">
      <alignment horizontal="left" vertical="top" textRotation="0" wrapText="true" indent="0" shrinkToFit="false"/>
      <protection locked="true" hidden="false"/>
    </xf>
    <xf numFmtId="164" fontId="20" fillId="12" borderId="3" xfId="0" applyFont="true" applyBorder="true" applyAlignment="true" applyProtection="false">
      <alignment horizontal="left" vertical="top" textRotation="0" wrapText="true" indent="0" shrinkToFit="false"/>
      <protection locked="true" hidden="false"/>
    </xf>
    <xf numFmtId="164" fontId="21" fillId="12" borderId="3"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general" vertical="bottom" textRotation="0" wrapText="false" indent="0" shrinkToFit="false"/>
      <protection locked="true" hidden="false"/>
    </xf>
    <xf numFmtId="164" fontId="22" fillId="12" borderId="0" xfId="0" applyFont="true" applyBorder="false" applyAlignment="true" applyProtection="false">
      <alignment horizontal="general" vertical="bottom" textRotation="0" wrapText="false" indent="0" shrinkToFit="false"/>
      <protection locked="true" hidden="false"/>
    </xf>
    <xf numFmtId="164" fontId="22" fillId="5" borderId="0" xfId="0" applyFont="true" applyBorder="fals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6" fillId="13" borderId="3" xfId="0" applyFont="true" applyBorder="true" applyAlignment="true" applyProtection="false">
      <alignment horizontal="general" vertical="bottom" textRotation="0" wrapText="false" indent="0" shrinkToFit="false"/>
      <protection locked="true" hidden="false"/>
    </xf>
    <xf numFmtId="164" fontId="0" fillId="13" borderId="3" xfId="0" applyFont="false" applyBorder="true" applyAlignment="true" applyProtection="false">
      <alignment horizontal="general" vertical="bottom" textRotation="0" wrapText="false" indent="0" shrinkToFit="false"/>
      <protection locked="true" hidden="false"/>
    </xf>
    <xf numFmtId="164" fontId="18" fillId="11" borderId="3" xfId="0" applyFont="true" applyBorder="true" applyAlignment="true" applyProtection="false">
      <alignment horizontal="left" vertical="center" textRotation="0" wrapText="false" indent="0" shrinkToFit="false"/>
      <protection locked="true" hidden="false"/>
    </xf>
    <xf numFmtId="164" fontId="19" fillId="11" borderId="3" xfId="0" applyFont="true" applyBorder="true" applyAlignment="true" applyProtection="false">
      <alignment horizontal="left" vertical="center" textRotation="0" wrapText="false" indent="0" shrinkToFit="false"/>
      <protection locked="true" hidden="false"/>
    </xf>
    <xf numFmtId="164" fontId="18" fillId="12" borderId="3" xfId="0" applyFont="true" applyBorder="true" applyAlignment="true" applyProtection="false">
      <alignment horizontal="left" vertical="center" textRotation="0" wrapText="false" indent="0" shrinkToFit="false"/>
      <protection locked="true" hidden="false"/>
    </xf>
    <xf numFmtId="164" fontId="19" fillId="12" borderId="3"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0" fillId="11" borderId="3" xfId="0" applyFont="true" applyBorder="true" applyAlignment="true" applyProtection="false">
      <alignment horizontal="left" vertical="center" textRotation="0" wrapText="true" indent="0" shrinkToFit="false"/>
      <protection locked="true" hidden="false"/>
    </xf>
    <xf numFmtId="164" fontId="21" fillId="11" borderId="3" xfId="0" applyFont="true" applyBorder="true" applyAlignment="true" applyProtection="false">
      <alignment horizontal="left" vertical="center" textRotation="0" wrapText="true" indent="0" shrinkToFit="false"/>
      <protection locked="true" hidden="false"/>
    </xf>
    <xf numFmtId="164" fontId="24" fillId="11" borderId="3" xfId="0" applyFont="true" applyBorder="true" applyAlignment="true" applyProtection="false">
      <alignment horizontal="left" vertical="center" textRotation="0" wrapText="true" indent="0" shrinkToFit="false"/>
      <protection locked="true" hidden="false"/>
    </xf>
    <xf numFmtId="164" fontId="20" fillId="12" borderId="3" xfId="0" applyFont="true" applyBorder="true" applyAlignment="true" applyProtection="false">
      <alignment horizontal="left" vertical="center" textRotation="0" wrapText="true" indent="0" shrinkToFit="false"/>
      <protection locked="true" hidden="false"/>
    </xf>
    <xf numFmtId="164" fontId="21" fillId="12" borderId="3" xfId="0" applyFont="true" applyBorder="true" applyAlignment="true" applyProtection="false">
      <alignment horizontal="left" vertical="center" textRotation="0" wrapText="true" indent="0" shrinkToFit="false"/>
      <protection locked="true" hidden="false"/>
    </xf>
    <xf numFmtId="164" fontId="25" fillId="12" borderId="3" xfId="0" applyFont="true" applyBorder="true" applyAlignment="true" applyProtection="false">
      <alignment horizontal="left" vertical="center" textRotation="0" wrapText="true" indent="0" shrinkToFit="false"/>
      <protection locked="true" hidden="false"/>
    </xf>
    <xf numFmtId="164" fontId="24" fillId="12" borderId="3" xfId="0" applyFont="true" applyBorder="true" applyAlignment="true" applyProtection="false">
      <alignment horizontal="left" vertical="center" textRotation="0" wrapText="true" indent="0" shrinkToFit="false"/>
      <protection locked="true" hidden="false"/>
    </xf>
    <xf numFmtId="164" fontId="26" fillId="14" borderId="2" xfId="0" applyFont="true" applyBorder="true" applyAlignment="true" applyProtection="false">
      <alignment horizontal="left" vertical="center" textRotation="0" wrapText="false" indent="0" shrinkToFit="false"/>
      <protection locked="true" hidden="false"/>
    </xf>
    <xf numFmtId="164" fontId="27" fillId="15" borderId="3" xfId="0" applyFont="true" applyBorder="true" applyAlignment="true" applyProtection="false">
      <alignment horizontal="left" vertical="center" textRotation="0" wrapText="true" indent="0" shrinkToFit="false"/>
      <protection locked="true" hidden="false"/>
    </xf>
    <xf numFmtId="164" fontId="28" fillId="13" borderId="2" xfId="0" applyFont="true" applyBorder="true" applyAlignment="true" applyProtection="false">
      <alignment horizontal="center" vertical="center" textRotation="0" wrapText="true" indent="0" shrinkToFit="false"/>
      <protection locked="true" hidden="false"/>
    </xf>
    <xf numFmtId="164" fontId="12" fillId="16" borderId="2" xfId="0" applyFont="true" applyBorder="true" applyAlignment="true" applyProtection="false">
      <alignment horizontal="left" vertical="center" textRotation="0" wrapText="false" indent="0" shrinkToFit="false"/>
      <protection locked="true" hidden="false"/>
    </xf>
    <xf numFmtId="164" fontId="29" fillId="11" borderId="3" xfId="0" applyFont="true" applyBorder="true" applyAlignment="true" applyProtection="false">
      <alignment horizontal="left" vertical="top" textRotation="0" wrapText="true" indent="0" shrinkToFit="false"/>
      <protection locked="true" hidden="false"/>
    </xf>
    <xf numFmtId="164" fontId="30" fillId="11" borderId="3" xfId="0" applyFont="true" applyBorder="true" applyAlignment="true" applyProtection="false">
      <alignment horizontal="left" vertical="top" textRotation="0" wrapText="true" indent="0" shrinkToFit="false"/>
      <protection locked="true" hidden="false"/>
    </xf>
    <xf numFmtId="164" fontId="27" fillId="11" borderId="3" xfId="0" applyFont="true" applyBorder="true" applyAlignment="true" applyProtection="false">
      <alignment horizontal="left" vertical="top" textRotation="0" wrapText="true" indent="0" shrinkToFit="false"/>
      <protection locked="true" hidden="false"/>
    </xf>
    <xf numFmtId="164" fontId="31" fillId="11" borderId="3" xfId="0" applyFont="true" applyBorder="true" applyAlignment="true" applyProtection="false">
      <alignment horizontal="left" vertical="top" textRotation="0" wrapText="true" indent="0" shrinkToFit="false"/>
      <protection locked="true" hidden="false"/>
    </xf>
    <xf numFmtId="164" fontId="32" fillId="11" borderId="3" xfId="0" applyFont="true" applyBorder="true" applyAlignment="true" applyProtection="false">
      <alignment horizontal="left" vertical="top" textRotation="0" wrapText="true" indent="0" shrinkToFit="false"/>
      <protection locked="true" hidden="false"/>
    </xf>
    <xf numFmtId="164" fontId="29" fillId="12" borderId="3" xfId="0" applyFont="true" applyBorder="true" applyAlignment="true" applyProtection="false">
      <alignment horizontal="left" vertical="top" textRotation="0" wrapText="true" indent="0" shrinkToFit="false"/>
      <protection locked="true" hidden="false"/>
    </xf>
    <xf numFmtId="164" fontId="30" fillId="12" borderId="3" xfId="0" applyFont="true" applyBorder="true" applyAlignment="true" applyProtection="false">
      <alignment horizontal="left" vertical="top" textRotation="0" wrapText="true" indent="0" shrinkToFit="false"/>
      <protection locked="true" hidden="false"/>
    </xf>
    <xf numFmtId="164" fontId="27" fillId="12" borderId="3" xfId="0" applyFont="true" applyBorder="true" applyAlignment="true" applyProtection="false">
      <alignment horizontal="left" vertical="top" textRotation="0" wrapText="true" indent="0" shrinkToFit="false"/>
      <protection locked="true" hidden="false"/>
    </xf>
    <xf numFmtId="164" fontId="31" fillId="12" borderId="3" xfId="0" applyFont="true" applyBorder="true" applyAlignment="true" applyProtection="false">
      <alignment horizontal="left" vertical="top" textRotation="0" wrapText="true" indent="0" shrinkToFit="false"/>
      <protection locked="true" hidden="false"/>
    </xf>
    <xf numFmtId="164" fontId="32" fillId="12" borderId="3" xfId="0" applyFont="true" applyBorder="true" applyAlignment="true" applyProtection="false">
      <alignment horizontal="left" vertical="top" textRotation="0" wrapText="true" indent="0" shrinkToFit="false"/>
      <protection locked="true" hidden="false"/>
    </xf>
    <xf numFmtId="164" fontId="12" fillId="17" borderId="2" xfId="0" applyFont="true" applyBorder="true" applyAlignment="true" applyProtection="false">
      <alignment horizontal="left" vertical="center" textRotation="0" wrapText="false" indent="0" shrinkToFit="false"/>
      <protection locked="true" hidden="false"/>
    </xf>
    <xf numFmtId="164" fontId="25" fillId="11" borderId="3" xfId="0" applyFont="true" applyBorder="true" applyAlignment="true" applyProtection="false">
      <alignment horizontal="left" vertical="top" textRotation="0" wrapText="true" indent="0" shrinkToFit="false"/>
      <protection locked="true" hidden="false"/>
    </xf>
    <xf numFmtId="164" fontId="25" fillId="12" borderId="3" xfId="0" applyFont="true" applyBorder="true" applyAlignment="true" applyProtection="false">
      <alignment horizontal="left" vertical="top" textRotation="0" wrapText="true" indent="0" shrinkToFit="false"/>
      <protection locked="true" hidden="false"/>
    </xf>
    <xf numFmtId="164" fontId="12" fillId="13" borderId="2" xfId="0" applyFont="true" applyBorder="true" applyAlignment="true" applyProtection="false">
      <alignment horizontal="left" vertical="center" textRotation="0" wrapText="false" indent="0" shrinkToFit="false"/>
      <protection locked="true" hidden="false"/>
    </xf>
    <xf numFmtId="164" fontId="29" fillId="15" borderId="3" xfId="0" applyFont="true" applyBorder="true" applyAlignment="true" applyProtection="false">
      <alignment horizontal="left" vertical="top" textRotation="0" wrapText="true" indent="0" shrinkToFit="false"/>
      <protection locked="true" hidden="false"/>
    </xf>
    <xf numFmtId="164" fontId="30" fillId="15" borderId="3" xfId="0" applyFont="true" applyBorder="true" applyAlignment="true" applyProtection="false">
      <alignment horizontal="left" vertical="top" textRotation="0" wrapText="true" indent="0" shrinkToFit="false"/>
      <protection locked="true" hidden="false"/>
    </xf>
    <xf numFmtId="164" fontId="21" fillId="15" borderId="3" xfId="0" applyFont="true" applyBorder="true" applyAlignment="true" applyProtection="false">
      <alignment horizontal="left" vertical="top" textRotation="0" wrapText="true" indent="0" shrinkToFit="false"/>
      <protection locked="true" hidden="false"/>
    </xf>
    <xf numFmtId="164" fontId="27" fillId="15" borderId="3" xfId="0" applyFont="true" applyBorder="true" applyAlignment="true" applyProtection="false">
      <alignment horizontal="left" vertical="top" textRotation="0" wrapText="true" indent="0" shrinkToFit="false"/>
      <protection locked="true" hidden="false"/>
    </xf>
    <xf numFmtId="164" fontId="31" fillId="15" borderId="3" xfId="0" applyFont="true" applyBorder="true" applyAlignment="true" applyProtection="false">
      <alignment horizontal="left" vertical="top" textRotation="0" wrapText="true" indent="0" shrinkToFit="false"/>
      <protection locked="true" hidden="false"/>
    </xf>
    <xf numFmtId="164" fontId="32" fillId="15" borderId="3" xfId="0" applyFont="true" applyBorder="true" applyAlignment="true" applyProtection="false">
      <alignment horizontal="left" vertical="top" textRotation="0" wrapText="true" indent="0" shrinkToFit="false"/>
      <protection locked="true" hidden="false"/>
    </xf>
    <xf numFmtId="164" fontId="12" fillId="10" borderId="2" xfId="0" applyFont="true" applyBorder="true" applyAlignment="true" applyProtection="false">
      <alignment horizontal="left" vertical="center" textRotation="0" wrapText="false" indent="0" shrinkToFit="false"/>
      <protection locked="true" hidden="false"/>
    </xf>
    <xf numFmtId="164" fontId="29" fillId="5" borderId="3" xfId="0" applyFont="true" applyBorder="true" applyAlignment="true" applyProtection="false">
      <alignment horizontal="left" vertical="top" textRotation="0" wrapText="true" indent="0" shrinkToFit="false"/>
      <protection locked="true" hidden="false"/>
    </xf>
    <xf numFmtId="164" fontId="30" fillId="5" borderId="3" xfId="0" applyFont="true" applyBorder="true" applyAlignment="true" applyProtection="false">
      <alignment horizontal="left" vertical="top" textRotation="0" wrapText="true" indent="0" shrinkToFit="false"/>
      <protection locked="true" hidden="false"/>
    </xf>
    <xf numFmtId="164" fontId="21" fillId="5" borderId="3" xfId="0" applyFont="true" applyBorder="true" applyAlignment="true" applyProtection="false">
      <alignment horizontal="left" vertical="top" textRotation="0" wrapText="true" indent="0" shrinkToFit="false"/>
      <protection locked="true" hidden="false"/>
    </xf>
    <xf numFmtId="164" fontId="27" fillId="5" borderId="3" xfId="0" applyFont="true" applyBorder="true" applyAlignment="true" applyProtection="false">
      <alignment horizontal="left" vertical="top" textRotation="0" wrapText="true" indent="0" shrinkToFit="false"/>
      <protection locked="true" hidden="false"/>
    </xf>
    <xf numFmtId="164" fontId="31" fillId="5" borderId="3" xfId="0" applyFont="true" applyBorder="true" applyAlignment="true" applyProtection="false">
      <alignment horizontal="left" vertical="top" textRotation="0" wrapText="true" indent="0" shrinkToFit="false"/>
      <protection locked="true" hidden="false"/>
    </xf>
    <xf numFmtId="164" fontId="32" fillId="5" borderId="3" xfId="0" applyFont="true" applyBorder="true" applyAlignment="true" applyProtection="false">
      <alignment horizontal="left" vertical="top" textRotation="0" wrapText="true" indent="0" shrinkToFit="false"/>
      <protection locked="true" hidden="false"/>
    </xf>
    <xf numFmtId="164" fontId="12" fillId="18" borderId="2" xfId="0" applyFont="true" applyBorder="true" applyAlignment="true" applyProtection="false">
      <alignment horizontal="left" vertical="center" textRotation="0" wrapText="false" indent="0" shrinkToFit="false"/>
      <protection locked="true" hidden="false"/>
    </xf>
    <xf numFmtId="164" fontId="29" fillId="6" borderId="3" xfId="0" applyFont="true" applyBorder="true" applyAlignment="true" applyProtection="false">
      <alignment horizontal="left" vertical="top" textRotation="0" wrapText="true" indent="0" shrinkToFit="false"/>
      <protection locked="true" hidden="false"/>
    </xf>
    <xf numFmtId="164" fontId="30" fillId="6" borderId="3" xfId="0" applyFont="true" applyBorder="true" applyAlignment="true" applyProtection="false">
      <alignment horizontal="left" vertical="top" textRotation="0" wrapText="true" indent="0" shrinkToFit="false"/>
      <protection locked="true" hidden="false"/>
    </xf>
    <xf numFmtId="164" fontId="21" fillId="6" borderId="3" xfId="0" applyFont="true" applyBorder="true" applyAlignment="true" applyProtection="false">
      <alignment horizontal="left" vertical="top" textRotation="0" wrapText="true" indent="0" shrinkToFit="false"/>
      <protection locked="true" hidden="false"/>
    </xf>
    <xf numFmtId="164" fontId="27" fillId="6" borderId="3" xfId="0" applyFont="true" applyBorder="true" applyAlignment="true" applyProtection="false">
      <alignment horizontal="left" vertical="top" textRotation="0" wrapText="true" indent="0" shrinkToFit="false"/>
      <protection locked="true" hidden="false"/>
    </xf>
    <xf numFmtId="164" fontId="31" fillId="6" borderId="3" xfId="0" applyFont="true" applyBorder="true" applyAlignment="true" applyProtection="false">
      <alignment horizontal="left" vertical="top" textRotation="0" wrapText="true" indent="0" shrinkToFit="false"/>
      <protection locked="true" hidden="false"/>
    </xf>
    <xf numFmtId="164" fontId="32" fillId="6" borderId="3" xfId="0" applyFont="true" applyBorder="true" applyAlignment="true" applyProtection="false">
      <alignment horizontal="left" vertical="top" textRotation="0" wrapText="true" indent="0" shrinkToFit="false"/>
      <protection locked="true" hidden="false"/>
    </xf>
    <xf numFmtId="164" fontId="25" fillId="15" borderId="3" xfId="0" applyFont="true" applyBorder="true" applyAlignment="true" applyProtection="false">
      <alignment horizontal="left" vertical="top" textRotation="0" wrapText="true" indent="0" shrinkToFit="false"/>
      <protection locked="true" hidden="false"/>
    </xf>
    <xf numFmtId="164" fontId="26" fillId="14" borderId="2" xfId="0" applyFont="true" applyBorder="true" applyAlignment="true" applyProtection="false">
      <alignment horizontal="left" vertical="top" textRotation="0" wrapText="true" indent="0" shrinkToFit="false"/>
      <protection locked="true" hidden="false"/>
    </xf>
    <xf numFmtId="164" fontId="16" fillId="13" borderId="2" xfId="0" applyFont="true" applyBorder="true" applyAlignment="true" applyProtection="false">
      <alignment horizontal="center" vertical="center" textRotation="0" wrapText="true" indent="0" shrinkToFit="false"/>
      <protection locked="true" hidden="false"/>
    </xf>
    <xf numFmtId="164" fontId="12" fillId="16" borderId="2" xfId="0" applyFont="true" applyBorder="true" applyAlignment="true" applyProtection="false">
      <alignment horizontal="left" vertical="top" textRotation="0" wrapText="true" indent="0" shrinkToFit="false"/>
      <protection locked="true" hidden="false"/>
    </xf>
    <xf numFmtId="164" fontId="20" fillId="19" borderId="3" xfId="0" applyFont="true" applyBorder="true" applyAlignment="true" applyProtection="false">
      <alignment horizontal="left" vertical="top" textRotation="0" wrapText="true" indent="0" shrinkToFit="false"/>
      <protection locked="true" hidden="false"/>
    </xf>
    <xf numFmtId="164" fontId="21" fillId="12" borderId="3" xfId="0" applyFont="true" applyBorder="true" applyAlignment="true" applyProtection="false">
      <alignment horizontal="center" vertical="top" textRotation="0" wrapText="true" indent="0" shrinkToFit="false"/>
      <protection locked="true" hidden="false"/>
    </xf>
    <xf numFmtId="164" fontId="21" fillId="11" borderId="3" xfId="0" applyFont="true" applyBorder="true" applyAlignment="true" applyProtection="false">
      <alignment horizontal="center" vertical="top" textRotation="0" wrapText="true" indent="0" shrinkToFit="false"/>
      <protection locked="true" hidden="false"/>
    </xf>
    <xf numFmtId="164" fontId="12" fillId="17" borderId="2" xfId="0" applyFont="true" applyBorder="true" applyAlignment="true" applyProtection="false">
      <alignment horizontal="left" vertical="top" textRotation="0" wrapText="true" indent="0" shrinkToFit="false"/>
      <protection locked="true" hidden="false"/>
    </xf>
    <xf numFmtId="164" fontId="20" fillId="20" borderId="3" xfId="0" applyFont="true" applyBorder="true" applyAlignment="true" applyProtection="false">
      <alignment horizontal="left" vertical="top" textRotation="0" wrapText="true" indent="0" shrinkToFit="false"/>
      <protection locked="true" hidden="false"/>
    </xf>
    <xf numFmtId="164" fontId="12" fillId="13" borderId="2" xfId="0" applyFont="true" applyBorder="true" applyAlignment="true" applyProtection="false">
      <alignment horizontal="left" vertical="top" textRotation="0" wrapText="true" indent="0" shrinkToFit="false"/>
      <protection locked="true" hidden="false"/>
    </xf>
    <xf numFmtId="164" fontId="12" fillId="21" borderId="2" xfId="0" applyFont="true" applyBorder="true" applyAlignment="true" applyProtection="false">
      <alignment horizontal="left" vertical="top" textRotation="0" wrapText="true" indent="0" shrinkToFit="false"/>
      <protection locked="true" hidden="false"/>
    </xf>
    <xf numFmtId="164" fontId="21" fillId="22" borderId="3" xfId="0" applyFont="true" applyBorder="true" applyAlignment="true" applyProtection="false">
      <alignment horizontal="left" vertical="top" textRotation="0" wrapText="true" indent="0" shrinkToFit="false"/>
      <protection locked="true" hidden="false"/>
    </xf>
    <xf numFmtId="164" fontId="20" fillId="22" borderId="3" xfId="0" applyFont="true" applyBorder="true" applyAlignment="true" applyProtection="false">
      <alignment horizontal="left" vertical="top" textRotation="0" wrapText="true" indent="0" shrinkToFit="false"/>
      <protection locked="true" hidden="false"/>
    </xf>
    <xf numFmtId="164" fontId="21" fillId="20" borderId="3" xfId="0" applyFont="true" applyBorder="true" applyAlignment="true" applyProtection="false">
      <alignment horizontal="left" vertical="top" textRotation="0" wrapText="true" indent="0" shrinkToFit="false"/>
      <protection locked="true" hidden="false"/>
    </xf>
    <xf numFmtId="164" fontId="12" fillId="23" borderId="2" xfId="0" applyFont="true" applyBorder="true" applyAlignment="true" applyProtection="false">
      <alignment horizontal="left" vertical="top" textRotation="0" wrapText="true" indent="0" shrinkToFit="false"/>
      <protection locked="true" hidden="false"/>
    </xf>
    <xf numFmtId="164" fontId="21" fillId="24" borderId="3" xfId="0" applyFont="true" applyBorder="true" applyAlignment="true" applyProtection="false">
      <alignment horizontal="left" vertical="top" textRotation="0" wrapText="true" indent="0" shrinkToFit="false"/>
      <protection locked="true" hidden="false"/>
    </xf>
    <xf numFmtId="164" fontId="20" fillId="24" borderId="3" xfId="0" applyFont="true" applyBorder="true" applyAlignment="true" applyProtection="false">
      <alignment horizontal="left" vertical="top" textRotation="0" wrapText="true" indent="0" shrinkToFit="false"/>
      <protection locked="true" hidden="false"/>
    </xf>
    <xf numFmtId="164" fontId="12" fillId="25" borderId="2" xfId="0" applyFont="true" applyBorder="true" applyAlignment="true" applyProtection="false">
      <alignment horizontal="left" vertical="top" textRotation="0" wrapText="true" indent="0" shrinkToFit="false"/>
      <protection locked="true" hidden="false"/>
    </xf>
    <xf numFmtId="164" fontId="21" fillId="26" borderId="3" xfId="0" applyFont="true" applyBorder="true" applyAlignment="true" applyProtection="false">
      <alignment horizontal="left" vertical="top" textRotation="0" wrapText="true" indent="0" shrinkToFit="false"/>
      <protection locked="true" hidden="false"/>
    </xf>
    <xf numFmtId="164" fontId="20" fillId="26" borderId="3" xfId="0" applyFont="true" applyBorder="true" applyAlignment="true" applyProtection="false">
      <alignment horizontal="left" vertical="top" textRotation="0" wrapText="true" indent="0" shrinkToFit="false"/>
      <protection locked="true" hidden="false"/>
    </xf>
    <xf numFmtId="164" fontId="12" fillId="18" borderId="2" xfId="0" applyFont="true" applyBorder="true" applyAlignment="true" applyProtection="false">
      <alignment horizontal="left" vertical="top" textRotation="0" wrapText="true" indent="0" shrinkToFit="false"/>
      <protection locked="true" hidden="false"/>
    </xf>
    <xf numFmtId="164" fontId="21" fillId="27" borderId="3" xfId="0" applyFont="true" applyBorder="true" applyAlignment="true" applyProtection="false">
      <alignment horizontal="left" vertical="top" textRotation="0" wrapText="true" indent="0" shrinkToFit="false"/>
      <protection locked="true" hidden="false"/>
    </xf>
    <xf numFmtId="164" fontId="20" fillId="27" borderId="3" xfId="0" applyFont="true" applyBorder="true" applyAlignment="true" applyProtection="false">
      <alignment horizontal="left" vertical="top" textRotation="0" wrapText="true" indent="0" shrinkToFit="false"/>
      <protection locked="true" hidden="false"/>
    </xf>
    <xf numFmtId="164" fontId="28" fillId="14" borderId="3" xfId="0" applyFont="true" applyBorder="true" applyAlignment="true" applyProtection="false">
      <alignment horizontal="left" vertical="top" textRotation="0" wrapText="true" indent="0" shrinkToFit="false"/>
      <protection locked="true" hidden="false"/>
    </xf>
    <xf numFmtId="164" fontId="30" fillId="11" borderId="3" xfId="0" applyFont="true" applyBorder="true" applyAlignment="true" applyProtection="false">
      <alignment horizontal="left" vertical="center" textRotation="0" wrapText="false" indent="0" shrinkToFit="false"/>
      <protection locked="true" hidden="false"/>
    </xf>
    <xf numFmtId="164" fontId="21" fillId="11" borderId="3" xfId="0" applyFont="true" applyBorder="true" applyAlignment="true" applyProtection="false">
      <alignment horizontal="left" vertical="center" textRotation="0" wrapText="false" indent="0" shrinkToFit="false"/>
      <protection locked="true" hidden="false"/>
    </xf>
    <xf numFmtId="164" fontId="30" fillId="12" borderId="3" xfId="0" applyFont="true" applyBorder="true" applyAlignment="true" applyProtection="false">
      <alignment horizontal="left" vertical="center" textRotation="0" wrapText="false" indent="0" shrinkToFit="false"/>
      <protection locked="true" hidden="false"/>
    </xf>
    <xf numFmtId="164" fontId="21" fillId="12" borderId="3"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CE4D6"/>
      <rgbColor rgb="FFFF00FF"/>
      <rgbColor rgb="FF00FFFF"/>
      <rgbColor rgb="FF800000"/>
      <rgbColor rgb="FF008000"/>
      <rgbColor rgb="FF000080"/>
      <rgbColor rgb="FFFFEBEE"/>
      <rgbColor rgb="FF6A1B9A"/>
      <rgbColor rgb="FF00695C"/>
      <rgbColor rgb="FFB4C6E7"/>
      <rgbColor rgb="FF808080"/>
      <rgbColor rgb="FFB0B0B0"/>
      <rgbColor rgb="FF993366"/>
      <rgbColor rgb="FFFFFDE7"/>
      <rgbColor rgb="FFE0F2F1"/>
      <rgbColor rgb="FF660066"/>
      <rgbColor rgb="FFFF6B6B"/>
      <rgbColor rgb="FF2E5090"/>
      <rgbColor rgb="FFB8C8F0"/>
      <rgbColor rgb="FF000080"/>
      <rgbColor rgb="FFFF00FF"/>
      <rgbColor rgb="FFFFF3E0"/>
      <rgbColor rgb="FF00FFFF"/>
      <rgbColor rgb="FF800080"/>
      <rgbColor rgb="FF800000"/>
      <rgbColor rgb="FF3D5299"/>
      <rgbColor rgb="FF0000FF"/>
      <rgbColor rgb="FF00CCFF"/>
      <rgbColor rgb="FFDCE6F9"/>
      <rgbColor rgb="FFE2EFDA"/>
      <rgbColor rgb="FFFFF2CC"/>
      <rgbColor rgb="FFD6E4F0"/>
      <rgbColor rgb="FFF9A825"/>
      <rgbColor rgb="FFF3E5F5"/>
      <rgbColor rgb="FFF4CCCC"/>
      <rgbColor rgb="FF4472C4"/>
      <rgbColor rgb="FFF2F2F2"/>
      <rgbColor rgb="FF70AD47"/>
      <rgbColor rgb="FFFFC000"/>
      <rgbColor rgb="FFFF8F00"/>
      <rgbColor rgb="FFE65100"/>
      <rgbColor rgb="FF606060"/>
      <rgbColor rgb="FF7F7F7F"/>
      <rgbColor rgb="FF1F3864"/>
      <rgbColor rgb="FF2E7D32"/>
      <rgbColor rgb="FF003300"/>
      <rgbColor rgb="FF1F1F1F"/>
      <rgbColor rgb="FFC62828"/>
      <rgbColor rgb="FF993366"/>
      <rgbColor rgb="FF2B3A6B"/>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5"/>
  </cols>
  <sheetData>
    <row r="1" customFormat="false" ht="21.7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 hidden="false" customHeight="true" outlineLevel="0" collapsed="false">
      <c r="A4" s="4" t="s">
        <v>2</v>
      </c>
    </row>
    <row r="6" customFormat="false" ht="15" hidden="false" customHeight="true" outlineLevel="0" collapsed="false">
      <c r="A6" s="5" t="s">
        <v>3</v>
      </c>
      <c r="B6" s="6" t="s">
        <v>4</v>
      </c>
    </row>
    <row r="7" customFormat="false" ht="21.75" hidden="false" customHeight="true" outlineLevel="0" collapsed="false">
      <c r="A7" s="5" t="s">
        <v>5</v>
      </c>
      <c r="B7" s="6" t="s">
        <v>6</v>
      </c>
    </row>
    <row r="8" customFormat="false" ht="21.75" hidden="false" customHeight="true" outlineLevel="0" collapsed="false">
      <c r="A8" s="5" t="s">
        <v>7</v>
      </c>
      <c r="B8" s="6" t="s">
        <v>8</v>
      </c>
    </row>
    <row r="9" customFormat="false" ht="21.75" hidden="false" customHeight="true" outlineLevel="0" collapsed="false">
      <c r="A9" s="5" t="s">
        <v>9</v>
      </c>
      <c r="B9" s="6" t="s">
        <v>10</v>
      </c>
    </row>
    <row r="10" customFormat="false" ht="32.25" hidden="false" customHeight="true" outlineLevel="0" collapsed="false">
      <c r="A10" s="5" t="s">
        <v>11</v>
      </c>
      <c r="B10" s="6" t="s">
        <v>12</v>
      </c>
    </row>
    <row r="11" customFormat="false" ht="15" hidden="false" customHeight="true" outlineLevel="0" collapsed="false">
      <c r="A11" s="5" t="s">
        <v>13</v>
      </c>
      <c r="B11" s="6" t="s">
        <v>14</v>
      </c>
    </row>
    <row r="12" customFormat="false" ht="15" hidden="false" customHeight="true" outlineLevel="0" collapsed="false">
      <c r="A12" s="5" t="s">
        <v>15</v>
      </c>
      <c r="B12" s="6" t="s">
        <v>16</v>
      </c>
    </row>
    <row r="14" customFormat="false" ht="15" hidden="false" customHeight="true" outlineLevel="0" collapsed="false">
      <c r="A14" s="7" t="s">
        <v>17</v>
      </c>
    </row>
    <row r="15" customFormat="false" ht="15" hidden="false" customHeight="true" outlineLevel="0" collapsed="false">
      <c r="A15" s="1" t="s">
        <v>18</v>
      </c>
    </row>
    <row r="16" customFormat="false" ht="15" hidden="false" customHeight="true" outlineLevel="0" collapsed="false">
      <c r="A16" s="8" t="s">
        <v>19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B6B"/>
    <pageSetUpPr fitToPage="false"/>
  </sheetPr>
  <dimension ref="A1:O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12"/>
    <col collapsed="false" customWidth="true" hidden="false" outlineLevel="0" max="4" min="4" style="1" width="20"/>
    <col collapsed="false" customWidth="true" hidden="false" outlineLevel="0" max="5" min="5" style="1" width="28"/>
    <col collapsed="false" customWidth="true" hidden="false" outlineLevel="0" max="7" min="6" style="1" width="12"/>
    <col collapsed="false" customWidth="true" hidden="false" outlineLevel="0" max="8" min="8" style="1" width="45"/>
    <col collapsed="false" customWidth="true" hidden="false" outlineLevel="0" max="9" min="9" style="1" width="30"/>
    <col collapsed="false" customWidth="true" hidden="false" outlineLevel="0" max="11" min="10" style="1" width="55"/>
    <col collapsed="false" customWidth="true" hidden="false" outlineLevel="0" max="12" min="12" style="1" width="16"/>
    <col collapsed="false" customWidth="true" hidden="false" outlineLevel="0" max="13" min="13" style="1" width="35"/>
    <col collapsed="false" customWidth="true" hidden="false" outlineLevel="0" max="14" min="14" style="1" width="12"/>
    <col collapsed="false" customWidth="true" hidden="false" outlineLevel="0" max="15" min="15" style="1" width="45"/>
  </cols>
  <sheetData>
    <row r="1" customFormat="false" ht="15" hidden="false" customHeight="true" outlineLevel="0" collapsed="false">
      <c r="A1" s="9" t="s">
        <v>20</v>
      </c>
      <c r="B1" s="9"/>
      <c r="C1" s="9"/>
      <c r="D1" s="9"/>
      <c r="E1" s="9"/>
      <c r="F1" s="9"/>
      <c r="G1" s="9"/>
      <c r="H1" s="9"/>
      <c r="I1" s="9"/>
      <c r="J1" s="9"/>
      <c r="K1" s="9"/>
      <c r="L1" s="9"/>
      <c r="M1" s="9"/>
      <c r="N1" s="9"/>
      <c r="O1" s="9"/>
    </row>
    <row r="3" customFormat="false" ht="23.25" hidden="false" customHeight="true" outlineLevel="0" collapsed="false">
      <c r="A3" s="10" t="s">
        <v>21</v>
      </c>
      <c r="B3" s="10" t="s">
        <v>22</v>
      </c>
      <c r="C3" s="10" t="s">
        <v>23</v>
      </c>
      <c r="D3" s="10" t="s">
        <v>24</v>
      </c>
      <c r="E3" s="10" t="s">
        <v>25</v>
      </c>
      <c r="F3" s="10" t="s">
        <v>26</v>
      </c>
      <c r="G3" s="10" t="s">
        <v>27</v>
      </c>
      <c r="H3" s="10" t="s">
        <v>28</v>
      </c>
      <c r="I3" s="10" t="s">
        <v>29</v>
      </c>
      <c r="J3" s="10" t="s">
        <v>30</v>
      </c>
      <c r="K3" s="10" t="s">
        <v>31</v>
      </c>
      <c r="L3" s="10" t="s">
        <v>32</v>
      </c>
      <c r="M3" s="10" t="s">
        <v>33</v>
      </c>
      <c r="N3" s="10" t="s">
        <v>34</v>
      </c>
      <c r="O3" s="10" t="s">
        <v>35</v>
      </c>
    </row>
    <row r="4" customFormat="false" ht="15" hidden="false" customHeight="true" outlineLevel="0" collapsed="false">
      <c r="A4" s="11" t="s">
        <v>36</v>
      </c>
      <c r="B4" s="11"/>
      <c r="C4" s="11"/>
      <c r="D4" s="11"/>
      <c r="E4" s="11"/>
      <c r="F4" s="11"/>
      <c r="G4" s="11"/>
      <c r="H4" s="11"/>
      <c r="I4" s="11"/>
      <c r="J4" s="11"/>
      <c r="K4" s="11"/>
      <c r="L4" s="11"/>
      <c r="M4" s="11"/>
      <c r="N4" s="11"/>
      <c r="O4" s="11"/>
    </row>
    <row r="5" customFormat="false" ht="21.75" hidden="false" customHeight="true" outlineLevel="0" collapsed="false">
      <c r="A5" s="12" t="s">
        <v>37</v>
      </c>
      <c r="B5" s="12" t="s">
        <v>38</v>
      </c>
      <c r="C5" s="13" t="b">
        <f aca="false">TRUE()</f>
        <v>1</v>
      </c>
      <c r="D5" s="12" t="s">
        <v>39</v>
      </c>
      <c r="E5" s="12" t="s">
        <v>40</v>
      </c>
      <c r="F5" s="12" t="n">
        <v>222</v>
      </c>
      <c r="G5" s="12" t="n">
        <v>203</v>
      </c>
      <c r="H5" s="12" t="s">
        <v>41</v>
      </c>
      <c r="I5" s="12" t="s">
        <v>42</v>
      </c>
      <c r="J5" s="12" t="s">
        <v>42</v>
      </c>
      <c r="K5" s="12" t="s">
        <v>42</v>
      </c>
      <c r="L5" s="12" t="s">
        <v>43</v>
      </c>
      <c r="M5" s="12" t="s">
        <v>44</v>
      </c>
      <c r="N5" s="14" t="s">
        <v>45</v>
      </c>
      <c r="O5" s="12" t="s">
        <v>46</v>
      </c>
    </row>
    <row r="6" customFormat="false" ht="21.75" hidden="false" customHeight="true" outlineLevel="0" collapsed="false">
      <c r="A6" s="12" t="s">
        <v>47</v>
      </c>
      <c r="B6" s="12" t="s">
        <v>38</v>
      </c>
      <c r="C6" s="13" t="b">
        <f aca="false">TRUE()</f>
        <v>1</v>
      </c>
      <c r="D6" s="12" t="s">
        <v>39</v>
      </c>
      <c r="E6" s="12" t="s">
        <v>48</v>
      </c>
      <c r="F6" s="12" t="n">
        <v>216</v>
      </c>
      <c r="G6" s="12" t="n">
        <v>197</v>
      </c>
      <c r="H6" s="12" t="s">
        <v>49</v>
      </c>
      <c r="I6" s="12" t="s">
        <v>42</v>
      </c>
      <c r="J6" s="12" t="s">
        <v>42</v>
      </c>
      <c r="K6" s="12" t="s">
        <v>42</v>
      </c>
      <c r="L6" s="12" t="s">
        <v>43</v>
      </c>
      <c r="M6" s="12" t="s">
        <v>50</v>
      </c>
      <c r="N6" s="14" t="s">
        <v>45</v>
      </c>
      <c r="O6" s="12" t="s">
        <v>46</v>
      </c>
    </row>
    <row r="7" customFormat="false" ht="21.75" hidden="false" customHeight="true" outlineLevel="0" collapsed="false">
      <c r="A7" s="12" t="s">
        <v>51</v>
      </c>
      <c r="B7" s="12" t="s">
        <v>38</v>
      </c>
      <c r="C7" s="13" t="b">
        <f aca="false">TRUE()</f>
        <v>1</v>
      </c>
      <c r="D7" s="12" t="s">
        <v>39</v>
      </c>
      <c r="E7" s="12" t="s">
        <v>52</v>
      </c>
      <c r="F7" s="12" t="n">
        <v>294</v>
      </c>
      <c r="G7" s="12" t="n">
        <v>275</v>
      </c>
      <c r="H7" s="12" t="s">
        <v>53</v>
      </c>
      <c r="I7" s="12" t="s">
        <v>42</v>
      </c>
      <c r="J7" s="12" t="s">
        <v>42</v>
      </c>
      <c r="K7" s="12" t="s">
        <v>42</v>
      </c>
      <c r="L7" s="12" t="s">
        <v>43</v>
      </c>
      <c r="M7" s="12" t="s">
        <v>54</v>
      </c>
      <c r="N7" s="14" t="s">
        <v>45</v>
      </c>
      <c r="O7" s="12" t="s">
        <v>46</v>
      </c>
    </row>
    <row r="8" customFormat="false" ht="21.75" hidden="false" customHeight="true" outlineLevel="0" collapsed="false">
      <c r="A8" s="12" t="s">
        <v>55</v>
      </c>
      <c r="B8" s="12" t="s">
        <v>38</v>
      </c>
      <c r="C8" s="13" t="b">
        <f aca="false">TRUE()</f>
        <v>1</v>
      </c>
      <c r="D8" s="12" t="s">
        <v>39</v>
      </c>
      <c r="E8" s="12" t="s">
        <v>56</v>
      </c>
      <c r="F8" s="12" t="n">
        <v>296</v>
      </c>
      <c r="G8" s="12" t="n">
        <v>277</v>
      </c>
      <c r="H8" s="12" t="s">
        <v>57</v>
      </c>
      <c r="I8" s="12" t="s">
        <v>42</v>
      </c>
      <c r="J8" s="12" t="s">
        <v>42</v>
      </c>
      <c r="K8" s="12" t="s">
        <v>42</v>
      </c>
      <c r="L8" s="12" t="s">
        <v>43</v>
      </c>
      <c r="M8" s="12" t="s">
        <v>58</v>
      </c>
      <c r="N8" s="14" t="s">
        <v>45</v>
      </c>
      <c r="O8" s="12" t="s">
        <v>46</v>
      </c>
    </row>
    <row r="9" customFormat="false" ht="21.75" hidden="false" customHeight="true" outlineLevel="0" collapsed="false">
      <c r="A9" s="12" t="s">
        <v>59</v>
      </c>
      <c r="B9" s="12" t="s">
        <v>38</v>
      </c>
      <c r="C9" s="13" t="b">
        <f aca="false">TRUE()</f>
        <v>1</v>
      </c>
      <c r="D9" s="12" t="s">
        <v>39</v>
      </c>
      <c r="E9" s="12" t="s">
        <v>60</v>
      </c>
      <c r="F9" s="12" t="n">
        <v>195</v>
      </c>
      <c r="G9" s="12" t="n">
        <v>176</v>
      </c>
      <c r="H9" s="12" t="s">
        <v>61</v>
      </c>
      <c r="I9" s="12" t="s">
        <v>42</v>
      </c>
      <c r="J9" s="12" t="s">
        <v>42</v>
      </c>
      <c r="K9" s="12" t="s">
        <v>42</v>
      </c>
      <c r="L9" s="12" t="s">
        <v>62</v>
      </c>
      <c r="M9" s="12" t="s">
        <v>63</v>
      </c>
      <c r="N9" s="14" t="s">
        <v>45</v>
      </c>
      <c r="O9" s="12" t="s">
        <v>46</v>
      </c>
    </row>
    <row r="10" customFormat="false" ht="21.75" hidden="false" customHeight="true" outlineLevel="0" collapsed="false">
      <c r="A10" s="12" t="s">
        <v>64</v>
      </c>
      <c r="B10" s="12" t="s">
        <v>38</v>
      </c>
      <c r="C10" s="13" t="b">
        <f aca="false">TRUE()</f>
        <v>1</v>
      </c>
      <c r="D10" s="12" t="s">
        <v>39</v>
      </c>
      <c r="E10" s="12" t="s">
        <v>65</v>
      </c>
      <c r="F10" s="12" t="n">
        <v>214</v>
      </c>
      <c r="G10" s="12" t="n">
        <v>195</v>
      </c>
      <c r="H10" s="12" t="s">
        <v>66</v>
      </c>
      <c r="I10" s="12" t="s">
        <v>42</v>
      </c>
      <c r="J10" s="12" t="s">
        <v>42</v>
      </c>
      <c r="K10" s="12" t="s">
        <v>42</v>
      </c>
      <c r="L10" s="12" t="s">
        <v>43</v>
      </c>
      <c r="M10" s="12" t="s">
        <v>67</v>
      </c>
      <c r="N10" s="12" t="s">
        <v>68</v>
      </c>
      <c r="O10" s="12" t="s">
        <v>69</v>
      </c>
    </row>
    <row r="11" customFormat="false" ht="15" hidden="false" customHeight="true" outlineLevel="0" collapsed="false">
      <c r="A11" s="12" t="s">
        <v>70</v>
      </c>
      <c r="B11" s="12" t="s">
        <v>38</v>
      </c>
      <c r="C11" s="13" t="b">
        <f aca="false">TRUE()</f>
        <v>1</v>
      </c>
      <c r="D11" s="12" t="s">
        <v>39</v>
      </c>
      <c r="E11" s="12" t="s">
        <v>65</v>
      </c>
      <c r="F11" s="12" t="n">
        <v>201</v>
      </c>
      <c r="G11" s="12" t="n">
        <v>182</v>
      </c>
      <c r="H11" s="12" t="s">
        <v>71</v>
      </c>
      <c r="I11" s="12" t="s">
        <v>42</v>
      </c>
      <c r="J11" s="12" t="s">
        <v>42</v>
      </c>
      <c r="K11" s="12" t="s">
        <v>42</v>
      </c>
      <c r="L11" s="12" t="s">
        <v>43</v>
      </c>
      <c r="M11" s="12" t="s">
        <v>72</v>
      </c>
      <c r="N11" s="12" t="s">
        <v>68</v>
      </c>
      <c r="O11" s="12" t="s">
        <v>69</v>
      </c>
    </row>
    <row r="12" customFormat="false" ht="15" hidden="false" customHeight="true" outlineLevel="0" collapsed="false">
      <c r="A12" s="12" t="s">
        <v>73</v>
      </c>
      <c r="B12" s="12" t="s">
        <v>74</v>
      </c>
      <c r="C12" s="13" t="b">
        <f aca="false">TRUE()</f>
        <v>1</v>
      </c>
      <c r="D12" s="12" t="s">
        <v>39</v>
      </c>
      <c r="E12" s="12" t="s">
        <v>75</v>
      </c>
      <c r="F12" s="12" t="n">
        <v>64</v>
      </c>
      <c r="G12" s="12" t="n">
        <v>51</v>
      </c>
      <c r="H12" s="12" t="s">
        <v>76</v>
      </c>
      <c r="I12" s="12" t="s">
        <v>42</v>
      </c>
      <c r="J12" s="12" t="s">
        <v>42</v>
      </c>
      <c r="K12" s="12" t="s">
        <v>42</v>
      </c>
      <c r="L12" s="12" t="s">
        <v>77</v>
      </c>
      <c r="M12" s="12" t="s">
        <v>78</v>
      </c>
      <c r="N12" s="12" t="s">
        <v>68</v>
      </c>
      <c r="O12" s="12" t="s">
        <v>46</v>
      </c>
    </row>
    <row r="13" customFormat="false" ht="15" hidden="false" customHeight="true" outlineLevel="0" collapsed="false">
      <c r="A13" s="12" t="s">
        <v>79</v>
      </c>
      <c r="B13" s="12" t="s">
        <v>74</v>
      </c>
      <c r="C13" s="13" t="b">
        <f aca="false">TRUE()</f>
        <v>1</v>
      </c>
      <c r="D13" s="12" t="s">
        <v>39</v>
      </c>
      <c r="E13" s="12" t="s">
        <v>80</v>
      </c>
      <c r="F13" s="12" t="n">
        <v>94</v>
      </c>
      <c r="G13" s="12" t="n">
        <v>81</v>
      </c>
      <c r="H13" s="12" t="s">
        <v>81</v>
      </c>
      <c r="I13" s="12" t="s">
        <v>42</v>
      </c>
      <c r="J13" s="12" t="s">
        <v>42</v>
      </c>
      <c r="K13" s="12" t="s">
        <v>42</v>
      </c>
      <c r="L13" s="12" t="s">
        <v>77</v>
      </c>
      <c r="M13" s="12" t="s">
        <v>82</v>
      </c>
      <c r="N13" s="12" t="s">
        <v>68</v>
      </c>
      <c r="O13" s="12" t="s">
        <v>46</v>
      </c>
    </row>
    <row r="14" customFormat="false" ht="21.75" hidden="false" customHeight="true" outlineLevel="0" collapsed="false">
      <c r="A14" s="12" t="s">
        <v>83</v>
      </c>
      <c r="B14" s="12" t="s">
        <v>84</v>
      </c>
      <c r="C14" s="13" t="b">
        <f aca="false">TRUE()</f>
        <v>1</v>
      </c>
      <c r="D14" s="12" t="s">
        <v>85</v>
      </c>
      <c r="E14" s="12" t="s">
        <v>86</v>
      </c>
      <c r="F14" s="12" t="n">
        <v>344</v>
      </c>
      <c r="G14" s="12" t="n">
        <v>312</v>
      </c>
      <c r="H14" s="12" t="s">
        <v>87</v>
      </c>
      <c r="I14" s="12" t="s">
        <v>42</v>
      </c>
      <c r="J14" s="12" t="s">
        <v>42</v>
      </c>
      <c r="K14" s="12" t="s">
        <v>42</v>
      </c>
      <c r="L14" s="12" t="s">
        <v>88</v>
      </c>
      <c r="M14" s="12" t="s">
        <v>89</v>
      </c>
      <c r="N14" s="14" t="s">
        <v>45</v>
      </c>
      <c r="O14" s="12" t="s">
        <v>46</v>
      </c>
    </row>
    <row r="15" customFormat="false" ht="15" hidden="false" customHeight="true" outlineLevel="0" collapsed="false">
      <c r="A15" s="12" t="s">
        <v>90</v>
      </c>
      <c r="B15" s="12" t="s">
        <v>84</v>
      </c>
      <c r="C15" s="13" t="b">
        <f aca="false">TRUE()</f>
        <v>1</v>
      </c>
      <c r="D15" s="12" t="s">
        <v>91</v>
      </c>
      <c r="E15" s="12" t="s">
        <v>92</v>
      </c>
      <c r="F15" s="12" t="n">
        <v>226</v>
      </c>
      <c r="G15" s="12" t="n">
        <v>194</v>
      </c>
      <c r="H15" s="12" t="s">
        <v>93</v>
      </c>
      <c r="I15" s="12" t="s">
        <v>42</v>
      </c>
      <c r="J15" s="12" t="s">
        <v>42</v>
      </c>
      <c r="K15" s="12" t="s">
        <v>42</v>
      </c>
      <c r="L15" s="12" t="s">
        <v>88</v>
      </c>
      <c r="M15" s="12" t="s">
        <v>94</v>
      </c>
      <c r="N15" s="14" t="s">
        <v>45</v>
      </c>
      <c r="O15" s="12" t="s">
        <v>46</v>
      </c>
    </row>
    <row r="16" customFormat="false" ht="15" hidden="false" customHeight="true" outlineLevel="0" collapsed="false">
      <c r="A16" s="12" t="s">
        <v>95</v>
      </c>
      <c r="B16" s="12" t="s">
        <v>84</v>
      </c>
      <c r="C16" s="13" t="b">
        <f aca="false">TRUE()</f>
        <v>1</v>
      </c>
      <c r="D16" s="12" t="s">
        <v>91</v>
      </c>
      <c r="E16" s="12" t="s">
        <v>92</v>
      </c>
      <c r="F16" s="12" t="n">
        <v>226</v>
      </c>
      <c r="G16" s="12" t="n">
        <v>194</v>
      </c>
      <c r="H16" s="12" t="s">
        <v>96</v>
      </c>
      <c r="I16" s="12" t="s">
        <v>42</v>
      </c>
      <c r="J16" s="12" t="s">
        <v>42</v>
      </c>
      <c r="K16" s="12" t="s">
        <v>42</v>
      </c>
      <c r="L16" s="12" t="s">
        <v>88</v>
      </c>
      <c r="M16" s="12" t="s">
        <v>97</v>
      </c>
      <c r="N16" s="14" t="s">
        <v>45</v>
      </c>
      <c r="O16" s="12" t="s">
        <v>98</v>
      </c>
    </row>
    <row r="17" customFormat="false" ht="15" hidden="false" customHeight="true" outlineLevel="0" collapsed="false">
      <c r="A17" s="12" t="s">
        <v>99</v>
      </c>
      <c r="B17" s="12" t="s">
        <v>84</v>
      </c>
      <c r="C17" s="13" t="b">
        <f aca="false">TRUE()</f>
        <v>1</v>
      </c>
      <c r="D17" s="12" t="s">
        <v>100</v>
      </c>
      <c r="E17" s="12" t="s">
        <v>101</v>
      </c>
      <c r="F17" s="12" t="n">
        <v>328</v>
      </c>
      <c r="G17" s="12" t="n">
        <v>296</v>
      </c>
      <c r="H17" s="12" t="s">
        <v>102</v>
      </c>
      <c r="I17" s="12" t="s">
        <v>42</v>
      </c>
      <c r="J17" s="12" t="s">
        <v>42</v>
      </c>
      <c r="K17" s="12" t="s">
        <v>42</v>
      </c>
      <c r="L17" s="12" t="s">
        <v>88</v>
      </c>
      <c r="M17" s="12" t="s">
        <v>103</v>
      </c>
      <c r="N17" s="14" t="s">
        <v>45</v>
      </c>
      <c r="O17" s="12" t="s">
        <v>46</v>
      </c>
    </row>
    <row r="18" customFormat="false" ht="21.75" hidden="false" customHeight="true" outlineLevel="0" collapsed="false">
      <c r="A18" s="12" t="s">
        <v>104</v>
      </c>
      <c r="B18" s="12" t="s">
        <v>105</v>
      </c>
      <c r="C18" s="13" t="b">
        <f aca="false">TRUE()</f>
        <v>1</v>
      </c>
      <c r="D18" s="12" t="s">
        <v>106</v>
      </c>
      <c r="E18" s="12" t="s">
        <v>107</v>
      </c>
      <c r="F18" s="12" t="n">
        <v>359</v>
      </c>
      <c r="G18" s="12" t="n">
        <v>327</v>
      </c>
      <c r="H18" s="12" t="s">
        <v>108</v>
      </c>
      <c r="I18" s="12" t="s">
        <v>42</v>
      </c>
      <c r="J18" s="12" t="s">
        <v>42</v>
      </c>
      <c r="K18" s="12" t="s">
        <v>42</v>
      </c>
      <c r="L18" s="12" t="s">
        <v>109</v>
      </c>
      <c r="M18" s="12" t="s">
        <v>110</v>
      </c>
      <c r="N18" s="14" t="s">
        <v>45</v>
      </c>
      <c r="O18" s="12" t="s">
        <v>46</v>
      </c>
    </row>
    <row r="19" customFormat="false" ht="21.75" hidden="false" customHeight="true" outlineLevel="0" collapsed="false">
      <c r="A19" s="12" t="s">
        <v>111</v>
      </c>
      <c r="B19" s="12" t="s">
        <v>105</v>
      </c>
      <c r="C19" s="13" t="b">
        <f aca="false">TRUE()</f>
        <v>1</v>
      </c>
      <c r="D19" s="12" t="s">
        <v>112</v>
      </c>
      <c r="E19" s="12" t="s">
        <v>113</v>
      </c>
      <c r="F19" s="12" t="n">
        <v>326</v>
      </c>
      <c r="G19" s="12" t="n">
        <v>294</v>
      </c>
      <c r="H19" s="12" t="s">
        <v>114</v>
      </c>
      <c r="I19" s="12" t="s">
        <v>42</v>
      </c>
      <c r="J19" s="12" t="s">
        <v>42</v>
      </c>
      <c r="K19" s="12" t="s">
        <v>42</v>
      </c>
      <c r="L19" s="12" t="s">
        <v>109</v>
      </c>
      <c r="M19" s="12" t="s">
        <v>115</v>
      </c>
      <c r="N19" s="14" t="s">
        <v>45</v>
      </c>
      <c r="O19" s="12" t="s">
        <v>46</v>
      </c>
    </row>
    <row r="20" customFormat="false" ht="15" hidden="false" customHeight="true" outlineLevel="0" collapsed="false">
      <c r="A20" s="12" t="s">
        <v>116</v>
      </c>
      <c r="B20" s="12" t="s">
        <v>105</v>
      </c>
      <c r="C20" s="13" t="b">
        <f aca="false">TRUE()</f>
        <v>1</v>
      </c>
      <c r="D20" s="12" t="s">
        <v>117</v>
      </c>
      <c r="E20" s="12" t="s">
        <v>118</v>
      </c>
      <c r="F20" s="12" t="n">
        <v>340</v>
      </c>
      <c r="G20" s="12" t="n">
        <v>308</v>
      </c>
      <c r="H20" s="12" t="s">
        <v>119</v>
      </c>
      <c r="I20" s="12" t="s">
        <v>42</v>
      </c>
      <c r="J20" s="12" t="s">
        <v>42</v>
      </c>
      <c r="K20" s="12" t="s">
        <v>42</v>
      </c>
      <c r="L20" s="12" t="s">
        <v>109</v>
      </c>
      <c r="M20" s="12" t="s">
        <v>120</v>
      </c>
      <c r="N20" s="14" t="s">
        <v>45</v>
      </c>
      <c r="O20" s="12" t="s">
        <v>46</v>
      </c>
    </row>
    <row r="21" customFormat="false" ht="15" hidden="false" customHeight="true" outlineLevel="0" collapsed="false">
      <c r="A21" s="12" t="s">
        <v>121</v>
      </c>
      <c r="B21" s="12" t="s">
        <v>122</v>
      </c>
      <c r="C21" s="13" t="b">
        <f aca="false">TRUE()</f>
        <v>1</v>
      </c>
      <c r="D21" s="12" t="s">
        <v>123</v>
      </c>
      <c r="E21" s="12" t="s">
        <v>124</v>
      </c>
      <c r="F21" s="12" t="n">
        <v>283</v>
      </c>
      <c r="G21" s="12" t="n">
        <v>251</v>
      </c>
      <c r="H21" s="12" t="s">
        <v>125</v>
      </c>
      <c r="I21" s="12" t="s">
        <v>42</v>
      </c>
      <c r="J21" s="12" t="s">
        <v>42</v>
      </c>
      <c r="K21" s="12" t="s">
        <v>42</v>
      </c>
      <c r="L21" s="12" t="s">
        <v>126</v>
      </c>
      <c r="M21" s="12" t="s">
        <v>127</v>
      </c>
      <c r="N21" s="14" t="s">
        <v>45</v>
      </c>
      <c r="O21" s="12" t="s">
        <v>46</v>
      </c>
    </row>
    <row r="22" customFormat="false" ht="15" hidden="false" customHeight="true" outlineLevel="0" collapsed="false">
      <c r="A22" s="12" t="s">
        <v>128</v>
      </c>
      <c r="B22" s="12" t="s">
        <v>122</v>
      </c>
      <c r="C22" s="13" t="b">
        <f aca="false">TRUE()</f>
        <v>1</v>
      </c>
      <c r="D22" s="12" t="s">
        <v>129</v>
      </c>
      <c r="E22" s="12" t="s">
        <v>124</v>
      </c>
      <c r="F22" s="12" t="n">
        <v>279</v>
      </c>
      <c r="G22" s="12" t="n">
        <v>247</v>
      </c>
      <c r="H22" s="12" t="s">
        <v>130</v>
      </c>
      <c r="I22" s="12" t="s">
        <v>42</v>
      </c>
      <c r="J22" s="12" t="s">
        <v>42</v>
      </c>
      <c r="K22" s="12" t="s">
        <v>42</v>
      </c>
      <c r="L22" s="12" t="s">
        <v>126</v>
      </c>
      <c r="M22" s="12" t="s">
        <v>97</v>
      </c>
      <c r="N22" s="14" t="s">
        <v>45</v>
      </c>
      <c r="O22" s="12" t="s">
        <v>131</v>
      </c>
    </row>
    <row r="23" customFormat="false" ht="15" hidden="false" customHeight="true" outlineLevel="0" collapsed="false">
      <c r="A23" s="12" t="s">
        <v>132</v>
      </c>
      <c r="B23" s="12" t="s">
        <v>133</v>
      </c>
      <c r="C23" s="13" t="b">
        <f aca="false">TRUE()</f>
        <v>1</v>
      </c>
      <c r="D23" s="12" t="s">
        <v>134</v>
      </c>
      <c r="E23" s="12" t="s">
        <v>135</v>
      </c>
      <c r="F23" s="12" t="n">
        <v>47</v>
      </c>
      <c r="G23" s="12" t="n">
        <v>21</v>
      </c>
      <c r="H23" s="12" t="s">
        <v>136</v>
      </c>
      <c r="I23" s="12" t="s">
        <v>42</v>
      </c>
      <c r="J23" s="12" t="s">
        <v>42</v>
      </c>
      <c r="K23" s="12" t="s">
        <v>42</v>
      </c>
      <c r="L23" s="12" t="s">
        <v>109</v>
      </c>
      <c r="M23" s="12" t="s">
        <v>137</v>
      </c>
      <c r="N23" s="14" t="s">
        <v>45</v>
      </c>
      <c r="O23" s="12" t="s">
        <v>46</v>
      </c>
    </row>
    <row r="24" customFormat="false" ht="21.75" hidden="false" customHeight="true" outlineLevel="0" collapsed="false">
      <c r="A24" s="12" t="s">
        <v>138</v>
      </c>
      <c r="B24" s="12" t="s">
        <v>133</v>
      </c>
      <c r="C24" s="13" t="b">
        <f aca="false">TRUE()</f>
        <v>1</v>
      </c>
      <c r="D24" s="12" t="s">
        <v>139</v>
      </c>
      <c r="E24" s="12" t="s">
        <v>140</v>
      </c>
      <c r="F24" s="12" t="n">
        <v>376</v>
      </c>
      <c r="G24" s="12" t="n">
        <v>344</v>
      </c>
      <c r="H24" s="12" t="s">
        <v>141</v>
      </c>
      <c r="I24" s="12" t="s">
        <v>42</v>
      </c>
      <c r="J24" s="12" t="s">
        <v>42</v>
      </c>
      <c r="K24" s="12" t="s">
        <v>42</v>
      </c>
      <c r="L24" s="12" t="s">
        <v>142</v>
      </c>
      <c r="M24" s="12" t="s">
        <v>143</v>
      </c>
      <c r="N24" s="14" t="s">
        <v>45</v>
      </c>
      <c r="O24" s="12" t="s">
        <v>46</v>
      </c>
    </row>
    <row r="25" customFormat="false" ht="15" hidden="false" customHeight="true" outlineLevel="0" collapsed="false">
      <c r="A25" s="11" t="s">
        <v>144</v>
      </c>
      <c r="B25" s="11"/>
      <c r="C25" s="11"/>
      <c r="D25" s="11"/>
      <c r="E25" s="11"/>
      <c r="F25" s="11"/>
      <c r="G25" s="11"/>
      <c r="H25" s="11"/>
      <c r="I25" s="11"/>
      <c r="J25" s="11"/>
      <c r="K25" s="11"/>
      <c r="L25" s="11"/>
      <c r="M25" s="11"/>
      <c r="N25" s="11"/>
      <c r="O25" s="11"/>
    </row>
    <row r="26" customFormat="false" ht="21.75" hidden="false" customHeight="true" outlineLevel="0" collapsed="false">
      <c r="A26" s="15" t="s">
        <v>145</v>
      </c>
      <c r="B26" s="15" t="s">
        <v>122</v>
      </c>
      <c r="C26" s="16" t="b">
        <f aca="false">FALSE()</f>
        <v>0</v>
      </c>
      <c r="D26" s="15" t="s">
        <v>146</v>
      </c>
      <c r="E26" s="15" t="s">
        <v>147</v>
      </c>
      <c r="F26" s="15" t="n">
        <v>389</v>
      </c>
      <c r="G26" s="15" t="n">
        <v>357</v>
      </c>
      <c r="H26" s="15" t="s">
        <v>148</v>
      </c>
      <c r="I26" s="15" t="s">
        <v>149</v>
      </c>
      <c r="J26" s="15" t="s">
        <v>150</v>
      </c>
      <c r="K26" s="15" t="s">
        <v>151</v>
      </c>
      <c r="L26" s="15" t="s">
        <v>126</v>
      </c>
      <c r="M26" s="15" t="s">
        <v>152</v>
      </c>
      <c r="N26" s="17" t="s">
        <v>45</v>
      </c>
      <c r="O26" s="15" t="s">
        <v>153</v>
      </c>
    </row>
    <row r="27" customFormat="false" ht="21.75" hidden="false" customHeight="true" outlineLevel="0" collapsed="false">
      <c r="A27" s="15" t="s">
        <v>154</v>
      </c>
      <c r="B27" s="15" t="s">
        <v>122</v>
      </c>
      <c r="C27" s="16" t="b">
        <f aca="false">FALSE()</f>
        <v>0</v>
      </c>
      <c r="D27" s="15" t="s">
        <v>146</v>
      </c>
      <c r="E27" s="15" t="s">
        <v>147</v>
      </c>
      <c r="F27" s="15" t="n">
        <v>375</v>
      </c>
      <c r="G27" s="15" t="n">
        <v>343</v>
      </c>
      <c r="H27" s="15" t="s">
        <v>155</v>
      </c>
      <c r="I27" s="15" t="s">
        <v>156</v>
      </c>
      <c r="J27" s="15" t="s">
        <v>157</v>
      </c>
      <c r="K27" s="15" t="s">
        <v>158</v>
      </c>
      <c r="L27" s="15" t="s">
        <v>126</v>
      </c>
      <c r="M27" s="15" t="s">
        <v>159</v>
      </c>
      <c r="N27" s="17" t="s">
        <v>45</v>
      </c>
      <c r="O27" s="15" t="s">
        <v>160</v>
      </c>
    </row>
    <row r="28" customFormat="false" ht="21.75" hidden="false" customHeight="true" outlineLevel="0" collapsed="false">
      <c r="A28" s="15" t="s">
        <v>161</v>
      </c>
      <c r="B28" s="15" t="s">
        <v>105</v>
      </c>
      <c r="C28" s="16" t="b">
        <f aca="false">FALSE()</f>
        <v>0</v>
      </c>
      <c r="D28" s="15" t="s">
        <v>146</v>
      </c>
      <c r="E28" s="15" t="s">
        <v>147</v>
      </c>
      <c r="F28" s="15" t="n">
        <v>333</v>
      </c>
      <c r="G28" s="15" t="n">
        <v>301</v>
      </c>
      <c r="H28" s="15" t="s">
        <v>162</v>
      </c>
      <c r="I28" s="15" t="s">
        <v>163</v>
      </c>
      <c r="J28" s="15" t="s">
        <v>164</v>
      </c>
      <c r="K28" s="15" t="s">
        <v>165</v>
      </c>
      <c r="L28" s="15" t="s">
        <v>109</v>
      </c>
      <c r="M28" s="15" t="s">
        <v>166</v>
      </c>
      <c r="N28" s="15" t="s">
        <v>68</v>
      </c>
      <c r="O28" s="15" t="s">
        <v>167</v>
      </c>
    </row>
    <row r="29" customFormat="false" ht="15" hidden="false" customHeight="true" outlineLevel="0" collapsed="false">
      <c r="A29" s="15" t="s">
        <v>168</v>
      </c>
      <c r="B29" s="15" t="s">
        <v>105</v>
      </c>
      <c r="C29" s="16" t="b">
        <f aca="false">FALSE()</f>
        <v>0</v>
      </c>
      <c r="D29" s="15" t="s">
        <v>147</v>
      </c>
      <c r="E29" s="15" t="s">
        <v>147</v>
      </c>
      <c r="F29" s="15" t="n">
        <v>61</v>
      </c>
      <c r="G29" s="15" t="n">
        <v>35</v>
      </c>
      <c r="H29" s="15" t="s">
        <v>169</v>
      </c>
      <c r="I29" s="15" t="s">
        <v>163</v>
      </c>
      <c r="J29" s="15" t="s">
        <v>170</v>
      </c>
      <c r="K29" s="15" t="s">
        <v>171</v>
      </c>
      <c r="L29" s="15" t="s">
        <v>109</v>
      </c>
      <c r="M29" s="15" t="s">
        <v>62</v>
      </c>
      <c r="N29" s="15" t="s">
        <v>172</v>
      </c>
      <c r="O29" s="15" t="s">
        <v>173</v>
      </c>
    </row>
    <row r="30" customFormat="false" ht="21.75" hidden="false" customHeight="true" outlineLevel="0" collapsed="false">
      <c r="A30" s="15" t="s">
        <v>174</v>
      </c>
      <c r="B30" s="15" t="s">
        <v>105</v>
      </c>
      <c r="C30" s="16" t="b">
        <f aca="false">FALSE()</f>
        <v>0</v>
      </c>
      <c r="D30" s="15" t="s">
        <v>175</v>
      </c>
      <c r="E30" s="15" t="s">
        <v>147</v>
      </c>
      <c r="F30" s="15" t="n">
        <v>332</v>
      </c>
      <c r="G30" s="15" t="n">
        <v>300</v>
      </c>
      <c r="H30" s="15" t="s">
        <v>176</v>
      </c>
      <c r="I30" s="15" t="s">
        <v>177</v>
      </c>
      <c r="J30" s="15" t="s">
        <v>178</v>
      </c>
      <c r="K30" s="15" t="s">
        <v>179</v>
      </c>
      <c r="L30" s="15" t="s">
        <v>109</v>
      </c>
      <c r="M30" s="15" t="s">
        <v>180</v>
      </c>
      <c r="N30" s="15" t="s">
        <v>68</v>
      </c>
      <c r="O30" s="15" t="s">
        <v>181</v>
      </c>
    </row>
    <row r="31" customFormat="false" ht="15" hidden="false" customHeight="true" outlineLevel="0" collapsed="false">
      <c r="A31" s="15" t="s">
        <v>182</v>
      </c>
      <c r="B31" s="15" t="s">
        <v>105</v>
      </c>
      <c r="C31" s="16" t="b">
        <f aca="false">FALSE()</f>
        <v>0</v>
      </c>
      <c r="D31" s="15" t="s">
        <v>147</v>
      </c>
      <c r="E31" s="15" t="s">
        <v>147</v>
      </c>
      <c r="F31" s="15" t="n">
        <v>53</v>
      </c>
      <c r="G31" s="15" t="n">
        <v>27</v>
      </c>
      <c r="H31" s="15" t="s">
        <v>183</v>
      </c>
      <c r="I31" s="15" t="s">
        <v>177</v>
      </c>
      <c r="J31" s="15" t="s">
        <v>184</v>
      </c>
      <c r="K31" s="15" t="s">
        <v>171</v>
      </c>
      <c r="L31" s="15" t="s">
        <v>109</v>
      </c>
      <c r="M31" s="15" t="s">
        <v>62</v>
      </c>
      <c r="N31" s="15" t="s">
        <v>185</v>
      </c>
      <c r="O31" s="15" t="s">
        <v>186</v>
      </c>
    </row>
    <row r="32" customFormat="false" ht="21.75" hidden="false" customHeight="true" outlineLevel="0" collapsed="false">
      <c r="A32" s="15" t="s">
        <v>187</v>
      </c>
      <c r="B32" s="15" t="s">
        <v>84</v>
      </c>
      <c r="C32" s="16" t="b">
        <f aca="false">FALSE()</f>
        <v>0</v>
      </c>
      <c r="D32" s="15" t="s">
        <v>188</v>
      </c>
      <c r="E32" s="15" t="s">
        <v>147</v>
      </c>
      <c r="F32" s="15" t="n">
        <v>224</v>
      </c>
      <c r="G32" s="15" t="n">
        <v>192</v>
      </c>
      <c r="H32" s="15" t="s">
        <v>189</v>
      </c>
      <c r="I32" s="15" t="s">
        <v>190</v>
      </c>
      <c r="J32" s="15" t="s">
        <v>191</v>
      </c>
      <c r="K32" s="15" t="s">
        <v>192</v>
      </c>
      <c r="L32" s="15" t="s">
        <v>88</v>
      </c>
      <c r="M32" s="15" t="s">
        <v>193</v>
      </c>
      <c r="N32" s="15" t="s">
        <v>68</v>
      </c>
      <c r="O32" s="15" t="s">
        <v>194</v>
      </c>
    </row>
    <row r="33" customFormat="false" ht="21.75" hidden="false" customHeight="true" outlineLevel="0" collapsed="false">
      <c r="A33" s="15" t="s">
        <v>195</v>
      </c>
      <c r="B33" s="15" t="s">
        <v>84</v>
      </c>
      <c r="C33" s="16" t="b">
        <f aca="false">FALSE()</f>
        <v>0</v>
      </c>
      <c r="D33" s="15" t="s">
        <v>196</v>
      </c>
      <c r="E33" s="15" t="s">
        <v>147</v>
      </c>
      <c r="F33" s="15" t="n">
        <v>226</v>
      </c>
      <c r="G33" s="15" t="n">
        <v>194</v>
      </c>
      <c r="H33" s="15" t="s">
        <v>197</v>
      </c>
      <c r="I33" s="15" t="s">
        <v>198</v>
      </c>
      <c r="J33" s="15" t="s">
        <v>199</v>
      </c>
      <c r="K33" s="15" t="s">
        <v>200</v>
      </c>
      <c r="L33" s="15" t="s">
        <v>88</v>
      </c>
      <c r="M33" s="15" t="s">
        <v>62</v>
      </c>
      <c r="N33" s="15" t="s">
        <v>68</v>
      </c>
      <c r="O33" s="15" t="s">
        <v>201</v>
      </c>
    </row>
    <row r="34" customFormat="false" ht="21.75" hidden="false" customHeight="true" outlineLevel="0" collapsed="false">
      <c r="A34" s="15" t="s">
        <v>202</v>
      </c>
      <c r="B34" s="15" t="s">
        <v>122</v>
      </c>
      <c r="C34" s="16" t="b">
        <f aca="false">FALSE()</f>
        <v>0</v>
      </c>
      <c r="D34" s="15" t="s">
        <v>146</v>
      </c>
      <c r="E34" s="15" t="s">
        <v>147</v>
      </c>
      <c r="F34" s="15" t="n">
        <v>280</v>
      </c>
      <c r="G34" s="15" t="n">
        <v>248</v>
      </c>
      <c r="H34" s="15" t="s">
        <v>203</v>
      </c>
      <c r="I34" s="15" t="s">
        <v>204</v>
      </c>
      <c r="J34" s="15" t="s">
        <v>205</v>
      </c>
      <c r="K34" s="15" t="s">
        <v>206</v>
      </c>
      <c r="L34" s="15" t="s">
        <v>126</v>
      </c>
      <c r="M34" s="15" t="s">
        <v>207</v>
      </c>
      <c r="N34" s="15" t="s">
        <v>68</v>
      </c>
      <c r="O34" s="15" t="s">
        <v>208</v>
      </c>
    </row>
    <row r="35" customFormat="false" ht="21.75" hidden="false" customHeight="true" outlineLevel="0" collapsed="false">
      <c r="A35" s="15" t="s">
        <v>209</v>
      </c>
      <c r="B35" s="15" t="s">
        <v>38</v>
      </c>
      <c r="C35" s="16" t="b">
        <f aca="false">FALSE()</f>
        <v>0</v>
      </c>
      <c r="D35" s="15" t="s">
        <v>146</v>
      </c>
      <c r="E35" s="15" t="s">
        <v>147</v>
      </c>
      <c r="F35" s="15" t="n">
        <v>211</v>
      </c>
      <c r="G35" s="15" t="n">
        <v>192</v>
      </c>
      <c r="H35" s="15" t="s">
        <v>210</v>
      </c>
      <c r="I35" s="15" t="s">
        <v>211</v>
      </c>
      <c r="J35" s="15" t="s">
        <v>212</v>
      </c>
      <c r="K35" s="15" t="s">
        <v>213</v>
      </c>
      <c r="L35" s="15" t="s">
        <v>43</v>
      </c>
      <c r="M35" s="15" t="s">
        <v>214</v>
      </c>
      <c r="N35" s="15" t="s">
        <v>68</v>
      </c>
      <c r="O35" s="15" t="s">
        <v>215</v>
      </c>
    </row>
    <row r="36" customFormat="false" ht="15" hidden="false" customHeight="true" outlineLevel="0" collapsed="false">
      <c r="A36" s="15" t="s">
        <v>216</v>
      </c>
      <c r="B36" s="15" t="s">
        <v>38</v>
      </c>
      <c r="C36" s="16" t="b">
        <f aca="false">FALSE()</f>
        <v>0</v>
      </c>
      <c r="D36" s="15" t="s">
        <v>146</v>
      </c>
      <c r="E36" s="15" t="s">
        <v>147</v>
      </c>
      <c r="F36" s="15" t="n">
        <v>180</v>
      </c>
      <c r="G36" s="15" t="n">
        <v>174</v>
      </c>
      <c r="H36" s="15" t="s">
        <v>217</v>
      </c>
      <c r="I36" s="15" t="s">
        <v>211</v>
      </c>
      <c r="J36" s="15" t="s">
        <v>218</v>
      </c>
      <c r="K36" s="15" t="s">
        <v>171</v>
      </c>
      <c r="L36" s="15" t="s">
        <v>43</v>
      </c>
      <c r="M36" s="15" t="s">
        <v>62</v>
      </c>
      <c r="N36" s="15" t="s">
        <v>172</v>
      </c>
      <c r="O36" s="15" t="s">
        <v>219</v>
      </c>
    </row>
    <row r="37" customFormat="false" ht="32.25" hidden="false" customHeight="true" outlineLevel="0" collapsed="false">
      <c r="A37" s="15" t="s">
        <v>220</v>
      </c>
      <c r="B37" s="15" t="s">
        <v>38</v>
      </c>
      <c r="C37" s="16" t="b">
        <f aca="false">FALSE()</f>
        <v>0</v>
      </c>
      <c r="D37" s="15" t="s">
        <v>146</v>
      </c>
      <c r="E37" s="15" t="s">
        <v>147</v>
      </c>
      <c r="F37" s="15" t="n">
        <v>189</v>
      </c>
      <c r="G37" s="15" t="n">
        <v>170</v>
      </c>
      <c r="H37" s="15" t="s">
        <v>221</v>
      </c>
      <c r="I37" s="15" t="s">
        <v>222</v>
      </c>
      <c r="J37" s="15" t="s">
        <v>223</v>
      </c>
      <c r="K37" s="15" t="s">
        <v>224</v>
      </c>
      <c r="L37" s="15" t="s">
        <v>43</v>
      </c>
      <c r="M37" s="15" t="s">
        <v>225</v>
      </c>
      <c r="N37" s="15" t="s">
        <v>68</v>
      </c>
      <c r="O37" s="15" t="s">
        <v>226</v>
      </c>
    </row>
    <row r="38" customFormat="false" ht="21.75" hidden="false" customHeight="true" outlineLevel="0" collapsed="false">
      <c r="A38" s="15" t="s">
        <v>227</v>
      </c>
      <c r="B38" s="15" t="s">
        <v>38</v>
      </c>
      <c r="C38" s="16" t="b">
        <f aca="false">FALSE()</f>
        <v>0</v>
      </c>
      <c r="D38" s="15" t="s">
        <v>146</v>
      </c>
      <c r="E38" s="15" t="s">
        <v>147</v>
      </c>
      <c r="F38" s="15" t="n">
        <v>188</v>
      </c>
      <c r="G38" s="15" t="n">
        <v>169</v>
      </c>
      <c r="H38" s="15" t="s">
        <v>228</v>
      </c>
      <c r="I38" s="15" t="s">
        <v>229</v>
      </c>
      <c r="J38" s="15" t="s">
        <v>230</v>
      </c>
      <c r="K38" s="15" t="s">
        <v>231</v>
      </c>
      <c r="L38" s="15" t="s">
        <v>62</v>
      </c>
      <c r="M38" s="15" t="s">
        <v>232</v>
      </c>
      <c r="N38" s="15" t="s">
        <v>68</v>
      </c>
      <c r="O38" s="15" t="s">
        <v>233</v>
      </c>
    </row>
    <row r="39" customFormat="false" ht="21.75" hidden="false" customHeight="true" outlineLevel="0" collapsed="false">
      <c r="A39" s="15" t="s">
        <v>234</v>
      </c>
      <c r="B39" s="15" t="s">
        <v>74</v>
      </c>
      <c r="C39" s="16" t="b">
        <f aca="false">FALSE()</f>
        <v>0</v>
      </c>
      <c r="D39" s="15" t="s">
        <v>146</v>
      </c>
      <c r="E39" s="15" t="s">
        <v>147</v>
      </c>
      <c r="F39" s="15" t="n">
        <v>64</v>
      </c>
      <c r="G39" s="15" t="n">
        <v>51</v>
      </c>
      <c r="H39" s="15" t="s">
        <v>235</v>
      </c>
      <c r="I39" s="15" t="s">
        <v>236</v>
      </c>
      <c r="J39" s="15" t="s">
        <v>237</v>
      </c>
      <c r="K39" s="15" t="s">
        <v>238</v>
      </c>
      <c r="L39" s="15" t="s">
        <v>77</v>
      </c>
      <c r="M39" s="15" t="s">
        <v>78</v>
      </c>
      <c r="N39" s="15" t="s">
        <v>68</v>
      </c>
      <c r="O39" s="15" t="s">
        <v>239</v>
      </c>
    </row>
    <row r="40" customFormat="false" ht="21.75" hidden="false" customHeight="true" outlineLevel="0" collapsed="false">
      <c r="A40" s="15" t="s">
        <v>240</v>
      </c>
      <c r="B40" s="15" t="s">
        <v>38</v>
      </c>
      <c r="C40" s="16" t="b">
        <f aca="false">FALSE()</f>
        <v>0</v>
      </c>
      <c r="D40" s="15" t="s">
        <v>146</v>
      </c>
      <c r="E40" s="15" t="s">
        <v>147</v>
      </c>
      <c r="F40" s="15" t="n">
        <v>290</v>
      </c>
      <c r="G40" s="15" t="n">
        <v>271</v>
      </c>
      <c r="H40" s="15" t="s">
        <v>241</v>
      </c>
      <c r="I40" s="15" t="s">
        <v>242</v>
      </c>
      <c r="J40" s="15" t="s">
        <v>243</v>
      </c>
      <c r="K40" s="15" t="s">
        <v>244</v>
      </c>
      <c r="L40" s="15" t="s">
        <v>43</v>
      </c>
      <c r="M40" s="15" t="s">
        <v>62</v>
      </c>
      <c r="N40" s="15" t="s">
        <v>172</v>
      </c>
      <c r="O40" s="15" t="s">
        <v>245</v>
      </c>
    </row>
    <row r="41" customFormat="false" ht="21.75" hidden="false" customHeight="true" outlineLevel="0" collapsed="false">
      <c r="A41" s="15" t="s">
        <v>246</v>
      </c>
      <c r="B41" s="15" t="s">
        <v>38</v>
      </c>
      <c r="C41" s="16" t="b">
        <f aca="false">FALSE()</f>
        <v>0</v>
      </c>
      <c r="D41" s="15" t="s">
        <v>146</v>
      </c>
      <c r="E41" s="15" t="s">
        <v>147</v>
      </c>
      <c r="F41" s="15" t="n">
        <v>290</v>
      </c>
      <c r="G41" s="15" t="n">
        <v>271</v>
      </c>
      <c r="H41" s="15" t="s">
        <v>247</v>
      </c>
      <c r="I41" s="15" t="s">
        <v>248</v>
      </c>
      <c r="J41" s="15" t="s">
        <v>249</v>
      </c>
      <c r="K41" s="15" t="s">
        <v>250</v>
      </c>
      <c r="L41" s="15" t="s">
        <v>251</v>
      </c>
      <c r="M41" s="15" t="s">
        <v>62</v>
      </c>
      <c r="N41" s="15" t="s">
        <v>172</v>
      </c>
      <c r="O41" s="15" t="s">
        <v>252</v>
      </c>
    </row>
    <row r="42" customFormat="false" ht="21.75" hidden="false" customHeight="true" outlineLevel="0" collapsed="false">
      <c r="A42" s="15" t="s">
        <v>253</v>
      </c>
      <c r="B42" s="15" t="s">
        <v>254</v>
      </c>
      <c r="C42" s="16" t="b">
        <f aca="false">FALSE()</f>
        <v>0</v>
      </c>
      <c r="D42" s="15" t="s">
        <v>146</v>
      </c>
      <c r="E42" s="15" t="s">
        <v>147</v>
      </c>
      <c r="F42" s="15" t="n">
        <v>291</v>
      </c>
      <c r="G42" s="15" t="n">
        <v>272</v>
      </c>
      <c r="H42" s="15" t="s">
        <v>241</v>
      </c>
      <c r="I42" s="15" t="s">
        <v>255</v>
      </c>
      <c r="J42" s="15" t="s">
        <v>256</v>
      </c>
      <c r="K42" s="15" t="s">
        <v>257</v>
      </c>
      <c r="L42" s="15" t="s">
        <v>258</v>
      </c>
      <c r="M42" s="15" t="s">
        <v>62</v>
      </c>
      <c r="N42" s="15" t="s">
        <v>172</v>
      </c>
      <c r="O42" s="15" t="s">
        <v>259</v>
      </c>
    </row>
    <row r="43" customFormat="false" ht="21.75" hidden="false" customHeight="true" outlineLevel="0" collapsed="false">
      <c r="A43" s="15" t="s">
        <v>260</v>
      </c>
      <c r="B43" s="15" t="s">
        <v>261</v>
      </c>
      <c r="C43" s="16" t="b">
        <f aca="false">FALSE()</f>
        <v>0</v>
      </c>
      <c r="D43" s="15" t="s">
        <v>262</v>
      </c>
      <c r="E43" s="15" t="s">
        <v>147</v>
      </c>
      <c r="F43" s="15" t="n">
        <v>143</v>
      </c>
      <c r="G43" s="15" t="n">
        <v>117</v>
      </c>
      <c r="H43" s="15" t="s">
        <v>263</v>
      </c>
      <c r="I43" s="15" t="s">
        <v>264</v>
      </c>
      <c r="J43" s="15" t="s">
        <v>265</v>
      </c>
      <c r="K43" s="15" t="s">
        <v>266</v>
      </c>
      <c r="L43" s="15" t="s">
        <v>267</v>
      </c>
      <c r="M43" s="15" t="s">
        <v>62</v>
      </c>
      <c r="N43" s="15" t="s">
        <v>68</v>
      </c>
      <c r="O43" s="15" t="s">
        <v>268</v>
      </c>
    </row>
    <row r="44" customFormat="false" ht="21.75" hidden="false" customHeight="true" outlineLevel="0" collapsed="false">
      <c r="A44" s="15" t="s">
        <v>269</v>
      </c>
      <c r="B44" s="15" t="s">
        <v>261</v>
      </c>
      <c r="C44" s="16" t="b">
        <f aca="false">FALSE()</f>
        <v>0</v>
      </c>
      <c r="D44" s="15" t="s">
        <v>270</v>
      </c>
      <c r="E44" s="15" t="s">
        <v>147</v>
      </c>
      <c r="F44" s="15" t="n">
        <v>143</v>
      </c>
      <c r="G44" s="15" t="n">
        <v>117</v>
      </c>
      <c r="H44" s="15" t="s">
        <v>271</v>
      </c>
      <c r="I44" s="15" t="s">
        <v>272</v>
      </c>
      <c r="J44" s="15" t="s">
        <v>273</v>
      </c>
      <c r="K44" s="15" t="s">
        <v>274</v>
      </c>
      <c r="L44" s="15" t="s">
        <v>267</v>
      </c>
      <c r="M44" s="15" t="s">
        <v>62</v>
      </c>
      <c r="N44" s="15" t="s">
        <v>172</v>
      </c>
      <c r="O44" s="15" t="s">
        <v>275</v>
      </c>
    </row>
    <row r="45" customFormat="false" ht="21.75" hidden="false" customHeight="true" outlineLevel="0" collapsed="false">
      <c r="A45" s="15" t="s">
        <v>276</v>
      </c>
      <c r="B45" s="15" t="s">
        <v>261</v>
      </c>
      <c r="C45" s="16" t="b">
        <f aca="false">FALSE()</f>
        <v>0</v>
      </c>
      <c r="D45" s="15" t="s">
        <v>270</v>
      </c>
      <c r="E45" s="15" t="s">
        <v>147</v>
      </c>
      <c r="F45" s="15" t="n">
        <v>143</v>
      </c>
      <c r="G45" s="15" t="n">
        <v>117</v>
      </c>
      <c r="H45" s="15" t="s">
        <v>271</v>
      </c>
      <c r="I45" s="15" t="s">
        <v>272</v>
      </c>
      <c r="J45" s="15" t="s">
        <v>277</v>
      </c>
      <c r="K45" s="15" t="s">
        <v>171</v>
      </c>
      <c r="L45" s="15" t="s">
        <v>267</v>
      </c>
      <c r="M45" s="15" t="s">
        <v>62</v>
      </c>
      <c r="N45" s="15" t="s">
        <v>172</v>
      </c>
      <c r="O45" s="15" t="s">
        <v>278</v>
      </c>
    </row>
    <row r="46" customFormat="false" ht="21.75" hidden="false" customHeight="true" outlineLevel="0" collapsed="false">
      <c r="A46" s="15" t="s">
        <v>279</v>
      </c>
      <c r="B46" s="15" t="s">
        <v>261</v>
      </c>
      <c r="C46" s="16" t="b">
        <f aca="false">FALSE()</f>
        <v>0</v>
      </c>
      <c r="D46" s="15" t="s">
        <v>280</v>
      </c>
      <c r="E46" s="15" t="s">
        <v>147</v>
      </c>
      <c r="F46" s="15" t="n">
        <v>142</v>
      </c>
      <c r="G46" s="15" t="n">
        <v>116</v>
      </c>
      <c r="H46" s="15" t="s">
        <v>281</v>
      </c>
      <c r="I46" s="15" t="s">
        <v>282</v>
      </c>
      <c r="J46" s="15" t="s">
        <v>283</v>
      </c>
      <c r="K46" s="15" t="s">
        <v>284</v>
      </c>
      <c r="L46" s="15" t="s">
        <v>267</v>
      </c>
      <c r="M46" s="15" t="s">
        <v>62</v>
      </c>
      <c r="N46" s="15" t="s">
        <v>285</v>
      </c>
      <c r="O46" s="15" t="s">
        <v>286</v>
      </c>
    </row>
    <row r="47" customFormat="false" ht="21.75" hidden="false" customHeight="true" outlineLevel="0" collapsed="false">
      <c r="A47" s="15" t="s">
        <v>287</v>
      </c>
      <c r="B47" s="15" t="s">
        <v>261</v>
      </c>
      <c r="C47" s="16" t="b">
        <f aca="false">FALSE()</f>
        <v>0</v>
      </c>
      <c r="D47" s="15" t="s">
        <v>288</v>
      </c>
      <c r="E47" s="15" t="s">
        <v>147</v>
      </c>
      <c r="F47" s="15" t="n">
        <v>142</v>
      </c>
      <c r="G47" s="15" t="n">
        <v>116</v>
      </c>
      <c r="H47" s="15" t="s">
        <v>289</v>
      </c>
      <c r="I47" s="15" t="s">
        <v>290</v>
      </c>
      <c r="J47" s="15" t="s">
        <v>291</v>
      </c>
      <c r="K47" s="15" t="s">
        <v>292</v>
      </c>
      <c r="L47" s="15" t="s">
        <v>267</v>
      </c>
      <c r="M47" s="15" t="s">
        <v>62</v>
      </c>
      <c r="N47" s="15" t="s">
        <v>172</v>
      </c>
      <c r="O47" s="15" t="s">
        <v>293</v>
      </c>
    </row>
    <row r="48" customFormat="false" ht="15" hidden="false" customHeight="true" outlineLevel="0" collapsed="false">
      <c r="A48" s="15" t="s">
        <v>294</v>
      </c>
      <c r="B48" s="15" t="s">
        <v>105</v>
      </c>
      <c r="C48" s="16" t="b">
        <f aca="false">FALSE()</f>
        <v>0</v>
      </c>
      <c r="D48" s="15" t="s">
        <v>147</v>
      </c>
      <c r="E48" s="15" t="s">
        <v>147</v>
      </c>
      <c r="F48" s="15" t="n">
        <v>32</v>
      </c>
      <c r="G48" s="15" t="n">
        <v>6</v>
      </c>
      <c r="H48" s="15" t="s">
        <v>295</v>
      </c>
      <c r="I48" s="15" t="s">
        <v>113</v>
      </c>
      <c r="J48" s="15" t="s">
        <v>296</v>
      </c>
      <c r="K48" s="15" t="s">
        <v>171</v>
      </c>
      <c r="L48" s="15" t="s">
        <v>109</v>
      </c>
      <c r="M48" s="15" t="s">
        <v>297</v>
      </c>
      <c r="N48" s="15" t="s">
        <v>185</v>
      </c>
      <c r="O48" s="15" t="s">
        <v>298</v>
      </c>
    </row>
    <row r="49" customFormat="false" ht="15" hidden="false" customHeight="true" outlineLevel="0" collapsed="false">
      <c r="A49" s="11" t="s">
        <v>299</v>
      </c>
      <c r="B49" s="11"/>
      <c r="C49" s="11"/>
      <c r="D49" s="11"/>
      <c r="E49" s="11"/>
      <c r="F49" s="11"/>
      <c r="G49" s="11"/>
      <c r="H49" s="11"/>
      <c r="I49" s="11"/>
      <c r="J49" s="11"/>
      <c r="K49" s="11"/>
      <c r="L49" s="11"/>
      <c r="M49" s="11"/>
      <c r="N49" s="11"/>
      <c r="O49" s="11"/>
    </row>
    <row r="50" customFormat="false" ht="15" hidden="false" customHeight="true" outlineLevel="0" collapsed="false">
      <c r="A50" s="12" t="s">
        <v>300</v>
      </c>
      <c r="B50" s="12" t="s">
        <v>254</v>
      </c>
      <c r="C50" s="13" t="b">
        <f aca="false">TRUE()</f>
        <v>1</v>
      </c>
      <c r="D50" s="12" t="s">
        <v>39</v>
      </c>
      <c r="E50" s="12" t="s">
        <v>301</v>
      </c>
      <c r="F50" s="12" t="n">
        <v>902</v>
      </c>
      <c r="G50" s="12" t="n">
        <v>870</v>
      </c>
      <c r="H50" s="12" t="s">
        <v>302</v>
      </c>
      <c r="I50" s="12" t="s">
        <v>62</v>
      </c>
      <c r="J50" s="12" t="s">
        <v>62</v>
      </c>
      <c r="K50" s="12" t="s">
        <v>62</v>
      </c>
      <c r="L50" s="12" t="s">
        <v>62</v>
      </c>
      <c r="M50" s="12" t="s">
        <v>62</v>
      </c>
      <c r="N50" s="12" t="s">
        <v>62</v>
      </c>
      <c r="O50" s="12" t="s">
        <v>303</v>
      </c>
    </row>
    <row r="51" customFormat="false" ht="15" hidden="false" customHeight="true" outlineLevel="0" collapsed="false">
      <c r="A51" s="12" t="s">
        <v>304</v>
      </c>
      <c r="B51" s="12" t="s">
        <v>305</v>
      </c>
      <c r="C51" s="13" t="b">
        <f aca="false">TRUE()</f>
        <v>1</v>
      </c>
      <c r="D51" s="12" t="s">
        <v>306</v>
      </c>
      <c r="E51" s="12" t="s">
        <v>62</v>
      </c>
      <c r="F51" s="12" t="n">
        <v>41</v>
      </c>
      <c r="G51" s="12" t="n">
        <v>0</v>
      </c>
      <c r="H51" s="12" t="s">
        <v>307</v>
      </c>
      <c r="I51" s="12" t="s">
        <v>62</v>
      </c>
      <c r="J51" s="12" t="s">
        <v>62</v>
      </c>
      <c r="K51" s="12" t="s">
        <v>62</v>
      </c>
      <c r="L51" s="12" t="s">
        <v>62</v>
      </c>
      <c r="M51" s="12" t="s">
        <v>62</v>
      </c>
      <c r="N51" s="12" t="s">
        <v>62</v>
      </c>
      <c r="O51" s="12" t="s">
        <v>308</v>
      </c>
    </row>
    <row r="52" customFormat="false" ht="15" hidden="false" customHeight="true" outlineLevel="0" collapsed="false">
      <c r="A52" s="12" t="s">
        <v>309</v>
      </c>
      <c r="B52" s="12" t="s">
        <v>305</v>
      </c>
      <c r="C52" s="13" t="b">
        <f aca="false">TRUE()</f>
        <v>1</v>
      </c>
      <c r="D52" s="12" t="s">
        <v>310</v>
      </c>
      <c r="E52" s="12" t="s">
        <v>311</v>
      </c>
      <c r="F52" s="12" t="n">
        <v>105</v>
      </c>
      <c r="G52" s="12" t="n">
        <v>90</v>
      </c>
      <c r="H52" s="12" t="s">
        <v>312</v>
      </c>
      <c r="I52" s="12" t="s">
        <v>62</v>
      </c>
      <c r="J52" s="12" t="s">
        <v>62</v>
      </c>
      <c r="K52" s="12" t="s">
        <v>62</v>
      </c>
      <c r="L52" s="12" t="s">
        <v>62</v>
      </c>
      <c r="M52" s="12" t="s">
        <v>62</v>
      </c>
      <c r="N52" s="12" t="s">
        <v>62</v>
      </c>
      <c r="O52" s="12" t="s">
        <v>313</v>
      </c>
    </row>
    <row r="53" customFormat="false" ht="15" hidden="false" customHeight="true" outlineLevel="0" collapsed="false">
      <c r="A53" s="12" t="s">
        <v>314</v>
      </c>
      <c r="B53" s="12" t="s">
        <v>305</v>
      </c>
      <c r="C53" s="13" t="b">
        <f aca="false">TRUE()</f>
        <v>1</v>
      </c>
      <c r="D53" s="12" t="s">
        <v>62</v>
      </c>
      <c r="E53" s="12" t="s">
        <v>62</v>
      </c>
      <c r="F53" s="12" t="n">
        <v>17</v>
      </c>
      <c r="G53" s="12" t="n">
        <v>0</v>
      </c>
      <c r="H53" s="12" t="s">
        <v>315</v>
      </c>
      <c r="I53" s="12" t="s">
        <v>62</v>
      </c>
      <c r="J53" s="12" t="s">
        <v>62</v>
      </c>
      <c r="K53" s="12" t="s">
        <v>62</v>
      </c>
      <c r="L53" s="12" t="s">
        <v>62</v>
      </c>
      <c r="M53" s="12" t="s">
        <v>62</v>
      </c>
      <c r="N53" s="12" t="s">
        <v>62</v>
      </c>
      <c r="O53" s="12" t="s">
        <v>316</v>
      </c>
    </row>
    <row r="55" customFormat="false" ht="15" hidden="false" customHeight="true" outlineLevel="0" collapsed="false">
      <c r="A55" s="18" t="s">
        <v>317</v>
      </c>
      <c r="B55" s="1" t="s">
        <v>318</v>
      </c>
      <c r="I55" s="1" t="s">
        <v>319</v>
      </c>
    </row>
  </sheetData>
  <mergeCells count="4">
    <mergeCell ref="A1:O1"/>
    <mergeCell ref="A4:O4"/>
    <mergeCell ref="A25:O25"/>
    <mergeCell ref="A49:O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35"/>
    <col collapsed="false" customWidth="true" hidden="false" outlineLevel="0" max="3" min="3" style="1" width="10"/>
    <col collapsed="false" customWidth="true" hidden="false" outlineLevel="0" max="4" min="4" style="1" width="30"/>
    <col collapsed="false" customWidth="true" hidden="false" outlineLevel="0" max="6" min="5" style="1" width="14"/>
    <col collapsed="false" customWidth="true" hidden="false" outlineLevel="0" max="7" min="7" style="1" width="35"/>
    <col collapsed="false" customWidth="true" hidden="false" outlineLevel="0" max="8" min="8" style="1" width="60"/>
    <col collapsed="false" customWidth="true" hidden="false" outlineLevel="0" max="9" min="9" style="1" width="12"/>
    <col collapsed="false" customWidth="true" hidden="false" outlineLevel="0" max="10" min="10" style="1" width="45"/>
  </cols>
  <sheetData>
    <row r="1" customFormat="false" ht="15" hidden="false" customHeight="true" outlineLevel="0" collapsed="false">
      <c r="A1" s="9" t="s">
        <v>320</v>
      </c>
      <c r="B1" s="9"/>
      <c r="C1" s="9"/>
      <c r="D1" s="9"/>
      <c r="E1" s="9"/>
      <c r="F1" s="9"/>
      <c r="G1" s="9"/>
      <c r="H1" s="9"/>
      <c r="I1" s="9"/>
      <c r="J1" s="9"/>
    </row>
    <row r="2" customFormat="false" ht="15" hidden="false" customHeight="true" outlineLevel="0" collapsed="false">
      <c r="A2" s="19" t="s">
        <v>321</v>
      </c>
      <c r="B2" s="19"/>
      <c r="C2" s="19"/>
      <c r="D2" s="19"/>
      <c r="E2" s="19"/>
      <c r="F2" s="19"/>
      <c r="G2" s="19"/>
      <c r="H2" s="19"/>
      <c r="I2" s="19"/>
      <c r="J2" s="19"/>
    </row>
    <row r="4" customFormat="false" ht="15" hidden="false" customHeight="true" outlineLevel="0" collapsed="false">
      <c r="A4" s="10" t="s">
        <v>322</v>
      </c>
      <c r="B4" s="10" t="s">
        <v>323</v>
      </c>
      <c r="C4" s="10" t="s">
        <v>324</v>
      </c>
      <c r="D4" s="10" t="s">
        <v>325</v>
      </c>
      <c r="E4" s="10" t="s">
        <v>326</v>
      </c>
      <c r="F4" s="10" t="s">
        <v>327</v>
      </c>
      <c r="G4" s="10" t="s">
        <v>328</v>
      </c>
      <c r="H4" s="10" t="s">
        <v>329</v>
      </c>
      <c r="I4" s="10" t="s">
        <v>330</v>
      </c>
      <c r="J4" s="10" t="s">
        <v>35</v>
      </c>
    </row>
    <row r="5" customFormat="false" ht="15" hidden="false" customHeight="true" outlineLevel="0" collapsed="false">
      <c r="A5" s="11" t="s">
        <v>331</v>
      </c>
      <c r="B5" s="11"/>
      <c r="C5" s="11"/>
      <c r="D5" s="11"/>
      <c r="E5" s="11"/>
      <c r="F5" s="11"/>
      <c r="G5" s="11"/>
      <c r="H5" s="11"/>
      <c r="I5" s="11"/>
      <c r="J5" s="11"/>
    </row>
    <row r="6" customFormat="false" ht="15" hidden="false" customHeight="true" outlineLevel="0" collapsed="false">
      <c r="A6" s="15" t="s">
        <v>332</v>
      </c>
      <c r="B6" s="15" t="s">
        <v>37</v>
      </c>
      <c r="C6" s="15" t="s">
        <v>333</v>
      </c>
      <c r="D6" s="15" t="s">
        <v>334</v>
      </c>
      <c r="E6" s="15"/>
      <c r="F6" s="15" t="s">
        <v>335</v>
      </c>
      <c r="G6" s="15" t="s">
        <v>336</v>
      </c>
      <c r="H6" s="15" t="s">
        <v>337</v>
      </c>
      <c r="I6" s="15" t="s">
        <v>68</v>
      </c>
      <c r="J6" s="15" t="s">
        <v>338</v>
      </c>
    </row>
    <row r="7" customFormat="false" ht="15" hidden="false" customHeight="true" outlineLevel="0" collapsed="false">
      <c r="A7" s="15" t="s">
        <v>332</v>
      </c>
      <c r="B7" s="15" t="s">
        <v>70</v>
      </c>
      <c r="C7" s="15" t="s">
        <v>333</v>
      </c>
      <c r="D7" s="15" t="s">
        <v>339</v>
      </c>
      <c r="E7" s="15"/>
      <c r="F7" s="15" t="s">
        <v>340</v>
      </c>
      <c r="G7" s="15" t="s">
        <v>341</v>
      </c>
      <c r="H7" s="15" t="s">
        <v>342</v>
      </c>
      <c r="I7" s="15" t="s">
        <v>68</v>
      </c>
      <c r="J7" s="15" t="s">
        <v>343</v>
      </c>
    </row>
    <row r="8" customFormat="false" ht="15" hidden="false" customHeight="true" outlineLevel="0" collapsed="false">
      <c r="A8" s="20" t="s">
        <v>332</v>
      </c>
      <c r="B8" s="20" t="s">
        <v>47</v>
      </c>
      <c r="C8" s="20" t="s">
        <v>333</v>
      </c>
      <c r="D8" s="20" t="s">
        <v>339</v>
      </c>
      <c r="E8" s="20"/>
      <c r="F8" s="20" t="s">
        <v>335</v>
      </c>
      <c r="G8" s="20" t="s">
        <v>336</v>
      </c>
      <c r="H8" s="20" t="s">
        <v>337</v>
      </c>
      <c r="I8" s="20" t="s">
        <v>172</v>
      </c>
      <c r="J8" s="20" t="s">
        <v>344</v>
      </c>
    </row>
    <row r="9" customFormat="false" ht="15" hidden="false" customHeight="true" outlineLevel="0" collapsed="false">
      <c r="A9" s="15" t="s">
        <v>345</v>
      </c>
      <c r="B9" s="15" t="s">
        <v>55</v>
      </c>
      <c r="C9" s="15" t="s">
        <v>333</v>
      </c>
      <c r="D9" s="15" t="s">
        <v>346</v>
      </c>
      <c r="E9" s="15"/>
      <c r="F9" s="15" t="s">
        <v>347</v>
      </c>
      <c r="G9" s="15" t="s">
        <v>348</v>
      </c>
      <c r="H9" s="15" t="s">
        <v>349</v>
      </c>
      <c r="I9" s="15" t="s">
        <v>68</v>
      </c>
      <c r="J9" s="15" t="s">
        <v>350</v>
      </c>
    </row>
    <row r="10" customFormat="false" ht="21.75" hidden="false" customHeight="true" outlineLevel="0" collapsed="false">
      <c r="A10" s="15" t="s">
        <v>351</v>
      </c>
      <c r="B10" s="15" t="s">
        <v>55</v>
      </c>
      <c r="C10" s="15" t="s">
        <v>352</v>
      </c>
      <c r="D10" s="15" t="s">
        <v>353</v>
      </c>
      <c r="E10" s="15"/>
      <c r="F10" s="15" t="s">
        <v>354</v>
      </c>
      <c r="G10" s="15" t="s">
        <v>355</v>
      </c>
      <c r="H10" s="15" t="s">
        <v>356</v>
      </c>
      <c r="I10" s="15" t="s">
        <v>68</v>
      </c>
      <c r="J10" s="15" t="s">
        <v>357</v>
      </c>
    </row>
    <row r="11" customFormat="false" ht="15" hidden="false" customHeight="true" outlineLevel="0" collapsed="false">
      <c r="A11" s="11" t="s">
        <v>358</v>
      </c>
      <c r="B11" s="11"/>
      <c r="C11" s="11"/>
      <c r="D11" s="11"/>
      <c r="E11" s="11"/>
      <c r="F11" s="11"/>
      <c r="G11" s="11"/>
      <c r="H11" s="11"/>
      <c r="I11" s="11"/>
      <c r="J11" s="11"/>
    </row>
    <row r="12" customFormat="false" ht="15" hidden="false" customHeight="true" outlineLevel="0" collapsed="false">
      <c r="A12" s="21" t="s">
        <v>120</v>
      </c>
      <c r="B12" s="21" t="s">
        <v>359</v>
      </c>
      <c r="C12" s="21" t="s">
        <v>360</v>
      </c>
      <c r="D12" s="21" t="s">
        <v>361</v>
      </c>
      <c r="E12" s="21"/>
      <c r="F12" s="21" t="s">
        <v>362</v>
      </c>
      <c r="G12" s="21" t="s">
        <v>363</v>
      </c>
      <c r="H12" s="21" t="s">
        <v>364</v>
      </c>
      <c r="I12" s="21" t="s">
        <v>365</v>
      </c>
      <c r="J12" s="21" t="s">
        <v>366</v>
      </c>
    </row>
    <row r="13" customFormat="false" ht="15" hidden="false" customHeight="true" outlineLevel="0" collapsed="false">
      <c r="A13" s="15" t="s">
        <v>166</v>
      </c>
      <c r="B13" s="15" t="s">
        <v>161</v>
      </c>
      <c r="C13" s="15" t="s">
        <v>360</v>
      </c>
      <c r="D13" s="15" t="s">
        <v>367</v>
      </c>
      <c r="E13" s="15"/>
      <c r="F13" s="15" t="s">
        <v>368</v>
      </c>
      <c r="G13" s="15" t="s">
        <v>369</v>
      </c>
      <c r="H13" s="15" t="s">
        <v>370</v>
      </c>
      <c r="I13" s="15" t="s">
        <v>68</v>
      </c>
      <c r="J13" s="15" t="s">
        <v>371</v>
      </c>
    </row>
    <row r="14" customFormat="false" ht="15" hidden="false" customHeight="true" outlineLevel="0" collapsed="false">
      <c r="A14" s="15" t="s">
        <v>180</v>
      </c>
      <c r="B14" s="15" t="s">
        <v>174</v>
      </c>
      <c r="C14" s="15" t="s">
        <v>360</v>
      </c>
      <c r="D14" s="15" t="s">
        <v>372</v>
      </c>
      <c r="E14" s="15"/>
      <c r="F14" s="15" t="s">
        <v>373</v>
      </c>
      <c r="G14" s="15" t="s">
        <v>374</v>
      </c>
      <c r="H14" s="15" t="s">
        <v>375</v>
      </c>
      <c r="I14" s="15" t="s">
        <v>68</v>
      </c>
      <c r="J14" s="15" t="s">
        <v>376</v>
      </c>
    </row>
    <row r="15" customFormat="false" ht="21.75" hidden="false" customHeight="true" outlineLevel="0" collapsed="false">
      <c r="A15" s="21" t="s">
        <v>377</v>
      </c>
      <c r="B15" s="21" t="s">
        <v>104</v>
      </c>
      <c r="C15" s="21" t="s">
        <v>378</v>
      </c>
      <c r="D15" s="21" t="s">
        <v>379</v>
      </c>
      <c r="E15" s="21"/>
      <c r="F15" s="21" t="s">
        <v>380</v>
      </c>
      <c r="G15" s="21" t="s">
        <v>381</v>
      </c>
      <c r="H15" s="21" t="s">
        <v>382</v>
      </c>
      <c r="I15" s="21" t="s">
        <v>365</v>
      </c>
      <c r="J15" s="21" t="s">
        <v>383</v>
      </c>
    </row>
    <row r="16" customFormat="false" ht="15" hidden="false" customHeight="true" outlineLevel="0" collapsed="false">
      <c r="A16" s="20" t="s">
        <v>384</v>
      </c>
      <c r="B16" s="20" t="s">
        <v>104</v>
      </c>
      <c r="C16" s="20" t="s">
        <v>385</v>
      </c>
      <c r="D16" s="20" t="s">
        <v>386</v>
      </c>
      <c r="E16" s="20" t="s">
        <v>387</v>
      </c>
      <c r="F16" s="20"/>
      <c r="G16" s="20" t="s">
        <v>388</v>
      </c>
      <c r="H16" s="20" t="s">
        <v>389</v>
      </c>
      <c r="I16" s="20" t="s">
        <v>172</v>
      </c>
      <c r="J16" s="20" t="s">
        <v>390</v>
      </c>
    </row>
    <row r="17" customFormat="false" ht="15" hidden="false" customHeight="true" outlineLevel="0" collapsed="false">
      <c r="A17" s="11" t="s">
        <v>391</v>
      </c>
      <c r="B17" s="11"/>
      <c r="C17" s="11"/>
      <c r="D17" s="11"/>
      <c r="E17" s="11"/>
      <c r="F17" s="11"/>
      <c r="G17" s="11"/>
      <c r="H17" s="11"/>
      <c r="I17" s="11"/>
      <c r="J17" s="11"/>
    </row>
    <row r="18" customFormat="false" ht="15" hidden="false" customHeight="true" outlineLevel="0" collapsed="false">
      <c r="A18" s="20" t="s">
        <v>392</v>
      </c>
      <c r="B18" s="20" t="s">
        <v>393</v>
      </c>
      <c r="C18" s="20" t="s">
        <v>394</v>
      </c>
      <c r="D18" s="20" t="s">
        <v>395</v>
      </c>
      <c r="E18" s="20"/>
      <c r="F18" s="20" t="s">
        <v>396</v>
      </c>
      <c r="G18" s="20" t="s">
        <v>397</v>
      </c>
      <c r="H18" s="20" t="s">
        <v>398</v>
      </c>
      <c r="I18" s="20" t="s">
        <v>172</v>
      </c>
      <c r="J18" s="20" t="s">
        <v>399</v>
      </c>
    </row>
    <row r="19" customFormat="false" ht="15" hidden="false" customHeight="true" outlineLevel="0" collapsed="false">
      <c r="A19" s="15" t="s">
        <v>400</v>
      </c>
      <c r="B19" s="15" t="s">
        <v>121</v>
      </c>
      <c r="C19" s="15" t="s">
        <v>401</v>
      </c>
      <c r="D19" s="15" t="s">
        <v>402</v>
      </c>
      <c r="E19" s="15"/>
      <c r="F19" s="15" t="s">
        <v>396</v>
      </c>
      <c r="G19" s="15" t="s">
        <v>403</v>
      </c>
      <c r="H19" s="15" t="s">
        <v>404</v>
      </c>
      <c r="I19" s="15" t="s">
        <v>68</v>
      </c>
      <c r="J19" s="15" t="s">
        <v>405</v>
      </c>
    </row>
    <row r="20" customFormat="false" ht="15" hidden="false" customHeight="true" outlineLevel="0" collapsed="false">
      <c r="A20" s="20" t="s">
        <v>406</v>
      </c>
      <c r="B20" s="20" t="s">
        <v>407</v>
      </c>
      <c r="C20" s="20" t="s">
        <v>408</v>
      </c>
      <c r="D20" s="20" t="s">
        <v>409</v>
      </c>
      <c r="E20" s="20" t="s">
        <v>410</v>
      </c>
      <c r="F20" s="20" t="s">
        <v>411</v>
      </c>
      <c r="G20" s="20" t="s">
        <v>412</v>
      </c>
      <c r="H20" s="20" t="s">
        <v>413</v>
      </c>
      <c r="I20" s="20" t="s">
        <v>172</v>
      </c>
      <c r="J20" s="20" t="s">
        <v>414</v>
      </c>
    </row>
    <row r="21" customFormat="false" ht="15" hidden="false" customHeight="true" outlineLevel="0" collapsed="false">
      <c r="A21" s="11" t="s">
        <v>84</v>
      </c>
      <c r="B21" s="11"/>
      <c r="C21" s="11"/>
      <c r="D21" s="11"/>
      <c r="E21" s="11"/>
      <c r="F21" s="11"/>
      <c r="G21" s="11"/>
      <c r="H21" s="11"/>
      <c r="I21" s="11"/>
      <c r="J21" s="11"/>
    </row>
    <row r="22" customFormat="false" ht="15" hidden="false" customHeight="true" outlineLevel="0" collapsed="false">
      <c r="A22" s="15" t="s">
        <v>193</v>
      </c>
      <c r="B22" s="15" t="s">
        <v>415</v>
      </c>
      <c r="C22" s="15" t="s">
        <v>401</v>
      </c>
      <c r="D22" s="15" t="s">
        <v>416</v>
      </c>
      <c r="E22" s="15"/>
      <c r="F22" s="15" t="s">
        <v>417</v>
      </c>
      <c r="G22" s="15" t="s">
        <v>418</v>
      </c>
      <c r="H22" s="15" t="s">
        <v>419</v>
      </c>
      <c r="I22" s="15" t="s">
        <v>68</v>
      </c>
      <c r="J22" s="15" t="s">
        <v>420</v>
      </c>
    </row>
    <row r="23" customFormat="false" ht="15" hidden="false" customHeight="true" outlineLevel="0" collapsed="false">
      <c r="A23" s="15" t="s">
        <v>193</v>
      </c>
      <c r="B23" s="15" t="s">
        <v>187</v>
      </c>
      <c r="C23" s="15" t="s">
        <v>401</v>
      </c>
      <c r="D23" s="15" t="s">
        <v>421</v>
      </c>
      <c r="E23" s="15"/>
      <c r="F23" s="15" t="s">
        <v>362</v>
      </c>
      <c r="G23" s="15" t="s">
        <v>422</v>
      </c>
      <c r="H23" s="15" t="s">
        <v>423</v>
      </c>
      <c r="I23" s="15" t="s">
        <v>68</v>
      </c>
      <c r="J23" s="15" t="s">
        <v>424</v>
      </c>
    </row>
    <row r="24" customFormat="false" ht="15" hidden="false" customHeight="true" outlineLevel="0" collapsed="false">
      <c r="A24" s="20" t="s">
        <v>103</v>
      </c>
      <c r="B24" s="20" t="s">
        <v>99</v>
      </c>
      <c r="C24" s="20" t="s">
        <v>425</v>
      </c>
      <c r="D24" s="20" t="s">
        <v>426</v>
      </c>
      <c r="E24" s="20"/>
      <c r="F24" s="20" t="s">
        <v>427</v>
      </c>
      <c r="G24" s="20" t="s">
        <v>428</v>
      </c>
      <c r="H24" s="20" t="s">
        <v>429</v>
      </c>
      <c r="I24" s="20" t="s">
        <v>172</v>
      </c>
      <c r="J24" s="20" t="s">
        <v>430</v>
      </c>
    </row>
    <row r="25" customFormat="false" ht="15" hidden="false" customHeight="true" outlineLevel="0" collapsed="false">
      <c r="A25" s="15" t="s">
        <v>431</v>
      </c>
      <c r="B25" s="15" t="s">
        <v>83</v>
      </c>
      <c r="C25" s="15" t="s">
        <v>432</v>
      </c>
      <c r="D25" s="15" t="s">
        <v>433</v>
      </c>
      <c r="E25" s="15" t="s">
        <v>434</v>
      </c>
      <c r="F25" s="15"/>
      <c r="G25" s="15" t="s">
        <v>435</v>
      </c>
      <c r="H25" s="15" t="s">
        <v>436</v>
      </c>
      <c r="I25" s="15" t="s">
        <v>68</v>
      </c>
      <c r="J25" s="15" t="s">
        <v>437</v>
      </c>
    </row>
    <row r="26" customFormat="false" ht="15" hidden="false" customHeight="true" outlineLevel="0" collapsed="false">
      <c r="A26" s="11" t="s">
        <v>438</v>
      </c>
      <c r="B26" s="11"/>
      <c r="C26" s="11"/>
      <c r="D26" s="11"/>
      <c r="E26" s="11"/>
      <c r="F26" s="11"/>
      <c r="G26" s="11"/>
      <c r="H26" s="11"/>
      <c r="I26" s="11"/>
      <c r="J26" s="11"/>
    </row>
    <row r="27" customFormat="false" ht="21.75" hidden="false" customHeight="true" outlineLevel="0" collapsed="false">
      <c r="A27" s="21" t="s">
        <v>439</v>
      </c>
      <c r="B27" s="21" t="s">
        <v>440</v>
      </c>
      <c r="C27" s="21" t="s">
        <v>441</v>
      </c>
      <c r="D27" s="21" t="s">
        <v>442</v>
      </c>
      <c r="E27" s="21" t="s">
        <v>443</v>
      </c>
      <c r="F27" s="21"/>
      <c r="G27" s="21" t="s">
        <v>444</v>
      </c>
      <c r="H27" s="21" t="s">
        <v>445</v>
      </c>
      <c r="I27" s="21" t="s">
        <v>365</v>
      </c>
      <c r="J27" s="21" t="s">
        <v>446</v>
      </c>
    </row>
    <row r="28" customFormat="false" ht="21.75" hidden="false" customHeight="true" outlineLevel="0" collapsed="false">
      <c r="A28" s="15" t="s">
        <v>447</v>
      </c>
      <c r="B28" s="15" t="s">
        <v>138</v>
      </c>
      <c r="C28" s="15" t="s">
        <v>448</v>
      </c>
      <c r="D28" s="15" t="s">
        <v>449</v>
      </c>
      <c r="E28" s="15" t="s">
        <v>450</v>
      </c>
      <c r="F28" s="15" t="s">
        <v>451</v>
      </c>
      <c r="G28" s="15" t="s">
        <v>452</v>
      </c>
      <c r="H28" s="15" t="s">
        <v>453</v>
      </c>
      <c r="I28" s="15" t="s">
        <v>68</v>
      </c>
      <c r="J28" s="15" t="s">
        <v>454</v>
      </c>
    </row>
    <row r="29" customFormat="false" ht="15" hidden="false" customHeight="true" outlineLevel="0" collapsed="false">
      <c r="A29" s="15" t="s">
        <v>137</v>
      </c>
      <c r="B29" s="15" t="s">
        <v>455</v>
      </c>
      <c r="C29" s="15" t="s">
        <v>456</v>
      </c>
      <c r="D29" s="15" t="s">
        <v>457</v>
      </c>
      <c r="E29" s="15"/>
      <c r="F29" s="15" t="s">
        <v>458</v>
      </c>
      <c r="G29" s="15" t="s">
        <v>459</v>
      </c>
      <c r="H29" s="15" t="s">
        <v>460</v>
      </c>
      <c r="I29" s="15" t="s">
        <v>68</v>
      </c>
      <c r="J29" s="15" t="s">
        <v>461</v>
      </c>
    </row>
    <row r="30" customFormat="false" ht="15" hidden="false" customHeight="true" outlineLevel="0" collapsed="false">
      <c r="A30" s="11" t="s">
        <v>462</v>
      </c>
      <c r="B30" s="11"/>
      <c r="C30" s="11"/>
      <c r="D30" s="11"/>
      <c r="E30" s="11"/>
      <c r="F30" s="11"/>
      <c r="G30" s="11"/>
      <c r="H30" s="11"/>
      <c r="I30" s="11"/>
      <c r="J30" s="11"/>
    </row>
    <row r="31" customFormat="false" ht="15" hidden="false" customHeight="true" outlineLevel="0" collapsed="false">
      <c r="A31" s="21" t="s">
        <v>463</v>
      </c>
      <c r="B31" s="21" t="s">
        <v>227</v>
      </c>
      <c r="C31" s="21" t="s">
        <v>360</v>
      </c>
      <c r="D31" s="21" t="s">
        <v>464</v>
      </c>
      <c r="E31" s="21"/>
      <c r="F31" s="21" t="s">
        <v>465</v>
      </c>
      <c r="G31" s="21" t="s">
        <v>466</v>
      </c>
      <c r="H31" s="21" t="s">
        <v>467</v>
      </c>
      <c r="I31" s="21" t="s">
        <v>365</v>
      </c>
      <c r="J31" s="21" t="s">
        <v>468</v>
      </c>
    </row>
    <row r="32" customFormat="false" ht="15" hidden="false" customHeight="true" outlineLevel="0" collapsed="false">
      <c r="A32" s="21" t="s">
        <v>469</v>
      </c>
      <c r="B32" s="21" t="s">
        <v>470</v>
      </c>
      <c r="C32" s="21" t="s">
        <v>471</v>
      </c>
      <c r="D32" s="21" t="s">
        <v>464</v>
      </c>
      <c r="E32" s="21" t="s">
        <v>472</v>
      </c>
      <c r="F32" s="21"/>
      <c r="G32" s="21" t="s">
        <v>473</v>
      </c>
      <c r="H32" s="21" t="s">
        <v>474</v>
      </c>
      <c r="I32" s="21" t="s">
        <v>365</v>
      </c>
      <c r="J32" s="21" t="s">
        <v>475</v>
      </c>
    </row>
    <row r="33" customFormat="false" ht="15" hidden="false" customHeight="true" outlineLevel="0" collapsed="false">
      <c r="A33" s="21" t="s">
        <v>476</v>
      </c>
      <c r="B33" s="21" t="s">
        <v>51</v>
      </c>
      <c r="C33" s="21" t="s">
        <v>471</v>
      </c>
      <c r="D33" s="21" t="s">
        <v>464</v>
      </c>
      <c r="E33" s="21" t="s">
        <v>472</v>
      </c>
      <c r="F33" s="21"/>
      <c r="G33" s="21" t="s">
        <v>477</v>
      </c>
      <c r="H33" s="21" t="s">
        <v>478</v>
      </c>
      <c r="I33" s="21" t="s">
        <v>365</v>
      </c>
      <c r="J33" s="21" t="s">
        <v>479</v>
      </c>
    </row>
    <row r="34" customFormat="false" ht="15" hidden="false" customHeight="true" outlineLevel="0" collapsed="false">
      <c r="A34" s="11" t="s">
        <v>480</v>
      </c>
      <c r="B34" s="11"/>
      <c r="C34" s="11"/>
      <c r="D34" s="11"/>
      <c r="E34" s="11"/>
      <c r="F34" s="11"/>
      <c r="G34" s="11"/>
      <c r="H34" s="11"/>
      <c r="I34" s="11"/>
      <c r="J34" s="11"/>
    </row>
    <row r="35" customFormat="false" ht="21.75" hidden="false" customHeight="true" outlineLevel="0" collapsed="false">
      <c r="A35" s="15" t="s">
        <v>481</v>
      </c>
      <c r="B35" s="15" t="s">
        <v>220</v>
      </c>
      <c r="C35" s="15" t="s">
        <v>471</v>
      </c>
      <c r="D35" s="15" t="s">
        <v>482</v>
      </c>
      <c r="E35" s="15" t="s">
        <v>410</v>
      </c>
      <c r="F35" s="15" t="s">
        <v>483</v>
      </c>
      <c r="G35" s="15" t="s">
        <v>484</v>
      </c>
      <c r="H35" s="15" t="s">
        <v>485</v>
      </c>
      <c r="I35" s="15" t="s">
        <v>68</v>
      </c>
      <c r="J35" s="15" t="s">
        <v>486</v>
      </c>
    </row>
    <row r="36" customFormat="false" ht="21.75" hidden="false" customHeight="true" outlineLevel="0" collapsed="false">
      <c r="A36" s="15" t="s">
        <v>487</v>
      </c>
      <c r="B36" s="15" t="s">
        <v>220</v>
      </c>
      <c r="C36" s="15" t="s">
        <v>471</v>
      </c>
      <c r="D36" s="15" t="s">
        <v>482</v>
      </c>
      <c r="E36" s="15" t="s">
        <v>488</v>
      </c>
      <c r="F36" s="15" t="s">
        <v>489</v>
      </c>
      <c r="G36" s="15" t="s">
        <v>490</v>
      </c>
      <c r="H36" s="15" t="s">
        <v>491</v>
      </c>
      <c r="I36" s="15" t="s">
        <v>68</v>
      </c>
      <c r="J36" s="15" t="s">
        <v>492</v>
      </c>
    </row>
    <row r="37" customFormat="false" ht="15" hidden="false" customHeight="true" outlineLevel="0" collapsed="false">
      <c r="A37" s="21" t="s">
        <v>493</v>
      </c>
      <c r="B37" s="21" t="s">
        <v>494</v>
      </c>
      <c r="C37" s="21" t="s">
        <v>471</v>
      </c>
      <c r="D37" s="21" t="s">
        <v>442</v>
      </c>
      <c r="E37" s="21" t="s">
        <v>495</v>
      </c>
      <c r="F37" s="21"/>
      <c r="G37" s="21" t="s">
        <v>496</v>
      </c>
      <c r="H37" s="21" t="s">
        <v>497</v>
      </c>
      <c r="I37" s="21" t="s">
        <v>365</v>
      </c>
      <c r="J37" s="21" t="s">
        <v>498</v>
      </c>
    </row>
    <row r="38" customFormat="false" ht="15" hidden="false" customHeight="true" outlineLevel="0" collapsed="false">
      <c r="A38" s="11" t="s">
        <v>499</v>
      </c>
      <c r="B38" s="11"/>
      <c r="C38" s="11"/>
      <c r="D38" s="11"/>
      <c r="E38" s="11"/>
      <c r="F38" s="11"/>
      <c r="G38" s="11"/>
      <c r="H38" s="11"/>
      <c r="I38" s="11"/>
      <c r="J38" s="11"/>
    </row>
    <row r="39" customFormat="false" ht="15" hidden="false" customHeight="true" outlineLevel="0" collapsed="false">
      <c r="A39" s="20" t="s">
        <v>67</v>
      </c>
      <c r="B39" s="20" t="s">
        <v>500</v>
      </c>
      <c r="C39" s="20" t="s">
        <v>425</v>
      </c>
      <c r="D39" s="20" t="s">
        <v>501</v>
      </c>
      <c r="E39" s="20"/>
      <c r="F39" s="20" t="s">
        <v>368</v>
      </c>
      <c r="G39" s="20" t="s">
        <v>502</v>
      </c>
      <c r="H39" s="20" t="s">
        <v>503</v>
      </c>
      <c r="I39" s="20" t="s">
        <v>172</v>
      </c>
      <c r="J39" s="20" t="s">
        <v>504</v>
      </c>
    </row>
    <row r="40" customFormat="false" ht="15" hidden="false" customHeight="true" outlineLevel="0" collapsed="false">
      <c r="A40" s="20" t="s">
        <v>505</v>
      </c>
      <c r="B40" s="20" t="s">
        <v>500</v>
      </c>
      <c r="C40" s="20" t="s">
        <v>506</v>
      </c>
      <c r="D40" s="20" t="s">
        <v>507</v>
      </c>
      <c r="E40" s="20" t="s">
        <v>508</v>
      </c>
      <c r="F40" s="20"/>
      <c r="G40" s="20" t="s">
        <v>509</v>
      </c>
      <c r="H40" s="20" t="s">
        <v>510</v>
      </c>
      <c r="I40" s="20" t="s">
        <v>172</v>
      </c>
      <c r="J40" s="20" t="s">
        <v>511</v>
      </c>
    </row>
    <row r="41" customFormat="false" ht="15" hidden="false" customHeight="true" outlineLevel="0" collapsed="false">
      <c r="A41" s="11" t="s">
        <v>512</v>
      </c>
      <c r="B41" s="11"/>
      <c r="C41" s="11"/>
      <c r="D41" s="11"/>
      <c r="E41" s="11"/>
      <c r="F41" s="11"/>
      <c r="G41" s="11"/>
      <c r="H41" s="11"/>
      <c r="I41" s="11"/>
      <c r="J41" s="11"/>
    </row>
    <row r="42" customFormat="false" ht="15" hidden="false" customHeight="true" outlineLevel="0" collapsed="false">
      <c r="A42" s="15" t="s">
        <v>78</v>
      </c>
      <c r="B42" s="15" t="s">
        <v>513</v>
      </c>
      <c r="C42" s="15" t="s">
        <v>514</v>
      </c>
      <c r="D42" s="15" t="s">
        <v>515</v>
      </c>
      <c r="E42" s="15"/>
      <c r="F42" s="15"/>
      <c r="G42" s="15" t="s">
        <v>516</v>
      </c>
      <c r="H42" s="15" t="s">
        <v>517</v>
      </c>
      <c r="I42" s="15" t="s">
        <v>68</v>
      </c>
      <c r="J42" s="15" t="s">
        <v>518</v>
      </c>
    </row>
    <row r="43" customFormat="false" ht="15" hidden="false" customHeight="true" outlineLevel="0" collapsed="false">
      <c r="A43" s="11" t="s">
        <v>519</v>
      </c>
      <c r="B43" s="11"/>
      <c r="C43" s="11"/>
      <c r="D43" s="11"/>
      <c r="E43" s="11"/>
      <c r="F43" s="11"/>
      <c r="G43" s="11"/>
      <c r="H43" s="11"/>
      <c r="I43" s="11"/>
      <c r="J43" s="11"/>
    </row>
    <row r="44" customFormat="false" ht="21.75" hidden="false" customHeight="true" outlineLevel="0" collapsed="false">
      <c r="A44" s="20" t="s">
        <v>520</v>
      </c>
      <c r="B44" s="20" t="s">
        <v>521</v>
      </c>
      <c r="C44" s="20" t="s">
        <v>522</v>
      </c>
      <c r="D44" s="20" t="s">
        <v>523</v>
      </c>
      <c r="E44" s="20"/>
      <c r="F44" s="20" t="s">
        <v>524</v>
      </c>
      <c r="G44" s="20" t="s">
        <v>525</v>
      </c>
      <c r="H44" s="20" t="s">
        <v>526</v>
      </c>
      <c r="I44" s="20" t="s">
        <v>172</v>
      </c>
      <c r="J44" s="20" t="s">
        <v>527</v>
      </c>
    </row>
  </sheetData>
  <mergeCells count="12">
    <mergeCell ref="A1:J1"/>
    <mergeCell ref="A2:J2"/>
    <mergeCell ref="A5:J5"/>
    <mergeCell ref="A11:J11"/>
    <mergeCell ref="A17:J17"/>
    <mergeCell ref="A21:J21"/>
    <mergeCell ref="A26:J26"/>
    <mergeCell ref="A30:J30"/>
    <mergeCell ref="A34:J34"/>
    <mergeCell ref="A38:J38"/>
    <mergeCell ref="A41:J41"/>
    <mergeCell ref="A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30"/>
    <col collapsed="false" customWidth="true" hidden="false" outlineLevel="0" max="4" min="4" style="1" width="12"/>
    <col collapsed="false" customWidth="true" hidden="false" outlineLevel="0" max="5" min="5" style="1" width="35"/>
    <col collapsed="false" customWidth="true" hidden="false" outlineLevel="0" max="6" min="6" style="1" width="70"/>
    <col collapsed="false" customWidth="true" hidden="false" outlineLevel="0" max="7" min="7" style="1" width="60"/>
    <col collapsed="false" customWidth="true" hidden="false" outlineLevel="0" max="8" min="8" style="1" width="22"/>
    <col collapsed="false" customWidth="true" hidden="false" outlineLevel="0" max="9" min="9" style="1" width="6"/>
    <col collapsed="false" customWidth="true" hidden="false" outlineLevel="0" max="10" min="10" style="1" width="8"/>
    <col collapsed="false" customWidth="true" hidden="false" outlineLevel="0" max="11" min="11" style="1" width="10"/>
    <col collapsed="false" customWidth="true" hidden="false" outlineLevel="0" max="12" min="12" style="1" width="30"/>
    <col collapsed="false" customWidth="true" hidden="false" outlineLevel="0" max="13" min="13" style="1" width="40"/>
    <col collapsed="false" customWidth="true" hidden="false" outlineLevel="0" max="14" min="14" style="1" width="12"/>
  </cols>
  <sheetData>
    <row r="1" customFormat="false" ht="15" hidden="false" customHeight="true" outlineLevel="0" collapsed="false">
      <c r="A1" s="9" t="s">
        <v>528</v>
      </c>
      <c r="B1" s="9"/>
      <c r="C1" s="9"/>
      <c r="D1" s="9"/>
      <c r="E1" s="9"/>
      <c r="F1" s="9"/>
      <c r="G1" s="9"/>
      <c r="H1" s="9"/>
      <c r="I1" s="9"/>
      <c r="J1" s="9"/>
      <c r="K1" s="9"/>
      <c r="L1" s="9"/>
      <c r="M1" s="9"/>
      <c r="N1" s="9"/>
    </row>
    <row r="3" customFormat="false" ht="15" hidden="false" customHeight="true" outlineLevel="0" collapsed="false">
      <c r="A3" s="22" t="s">
        <v>529</v>
      </c>
      <c r="B3" s="23" t="s">
        <v>530</v>
      </c>
    </row>
    <row r="4" customFormat="false" ht="15" hidden="false" customHeight="true" outlineLevel="0" collapsed="false">
      <c r="A4" s="22" t="s">
        <v>531</v>
      </c>
      <c r="B4" s="23" t="s">
        <v>532</v>
      </c>
    </row>
    <row r="5" customFormat="false" ht="15" hidden="false" customHeight="true" outlineLevel="0" collapsed="false">
      <c r="A5" s="22" t="s">
        <v>533</v>
      </c>
      <c r="B5" s="23" t="s">
        <v>534</v>
      </c>
    </row>
    <row r="6" customFormat="false" ht="15" hidden="false" customHeight="true" outlineLevel="0" collapsed="false">
      <c r="A6" s="22" t="s">
        <v>535</v>
      </c>
      <c r="B6" s="23" t="s">
        <v>536</v>
      </c>
    </row>
    <row r="7" customFormat="false" ht="15" hidden="false" customHeight="true" outlineLevel="0" collapsed="false">
      <c r="A7" s="22" t="s">
        <v>537</v>
      </c>
      <c r="B7" s="23" t="s">
        <v>538</v>
      </c>
    </row>
    <row r="8" customFormat="false" ht="15" hidden="false" customHeight="true" outlineLevel="0" collapsed="false">
      <c r="A8" s="22" t="s">
        <v>539</v>
      </c>
      <c r="B8" s="23" t="s">
        <v>540</v>
      </c>
    </row>
    <row r="9" customFormat="false" ht="15" hidden="false" customHeight="true" outlineLevel="0" collapsed="false">
      <c r="A9" s="22" t="s">
        <v>541</v>
      </c>
      <c r="B9" s="23" t="s">
        <v>542</v>
      </c>
    </row>
    <row r="11" customFormat="false" ht="23.25" hidden="false" customHeight="true" outlineLevel="0" collapsed="false">
      <c r="A11" s="10" t="s">
        <v>543</v>
      </c>
      <c r="B11" s="10" t="s">
        <v>544</v>
      </c>
      <c r="C11" s="10" t="s">
        <v>545</v>
      </c>
      <c r="D11" s="10" t="s">
        <v>546</v>
      </c>
      <c r="E11" s="10" t="s">
        <v>323</v>
      </c>
      <c r="F11" s="10" t="s">
        <v>547</v>
      </c>
      <c r="G11" s="10" t="s">
        <v>548</v>
      </c>
      <c r="H11" s="10" t="s">
        <v>549</v>
      </c>
      <c r="I11" s="10" t="s">
        <v>550</v>
      </c>
      <c r="J11" s="10" t="s">
        <v>551</v>
      </c>
      <c r="K11" s="10" t="s">
        <v>552</v>
      </c>
      <c r="L11" s="10" t="s">
        <v>553</v>
      </c>
      <c r="M11" s="10" t="s">
        <v>35</v>
      </c>
      <c r="N11" s="10" t="s">
        <v>34</v>
      </c>
    </row>
    <row r="12" customFormat="false" ht="15" hidden="false" customHeight="true" outlineLevel="0" collapsed="false">
      <c r="A12" s="11" t="s">
        <v>554</v>
      </c>
      <c r="B12" s="11"/>
      <c r="C12" s="11"/>
      <c r="D12" s="11"/>
      <c r="E12" s="11"/>
      <c r="F12" s="11"/>
      <c r="G12" s="11"/>
      <c r="H12" s="11"/>
      <c r="I12" s="11"/>
      <c r="J12" s="11"/>
      <c r="K12" s="11"/>
      <c r="L12" s="11"/>
      <c r="M12" s="11"/>
      <c r="N12" s="11"/>
    </row>
    <row r="13" customFormat="false" ht="15" hidden="false" customHeight="true" outlineLevel="0" collapsed="false">
      <c r="A13" s="24" t="s">
        <v>555</v>
      </c>
      <c r="B13" s="24" t="s">
        <v>556</v>
      </c>
      <c r="C13" s="24" t="s">
        <v>557</v>
      </c>
      <c r="D13" s="24" t="s">
        <v>558</v>
      </c>
      <c r="E13" s="24" t="s">
        <v>559</v>
      </c>
      <c r="F13" s="24" t="s">
        <v>560</v>
      </c>
      <c r="G13" s="24" t="s">
        <v>561</v>
      </c>
      <c r="H13" s="24" t="s">
        <v>562</v>
      </c>
      <c r="I13" s="24" t="s">
        <v>563</v>
      </c>
      <c r="J13" s="24" t="s">
        <v>563</v>
      </c>
      <c r="K13" s="24" t="s">
        <v>564</v>
      </c>
      <c r="L13" s="24" t="s">
        <v>42</v>
      </c>
      <c r="M13" s="24" t="s">
        <v>565</v>
      </c>
      <c r="N13" s="24" t="s">
        <v>45</v>
      </c>
    </row>
    <row r="14" customFormat="false" ht="15" hidden="false" customHeight="true" outlineLevel="0" collapsed="false">
      <c r="A14" s="24" t="s">
        <v>555</v>
      </c>
      <c r="B14" s="24" t="s">
        <v>566</v>
      </c>
      <c r="C14" s="24" t="s">
        <v>567</v>
      </c>
      <c r="D14" s="24" t="s">
        <v>558</v>
      </c>
      <c r="E14" s="24" t="s">
        <v>559</v>
      </c>
      <c r="F14" s="24" t="s">
        <v>568</v>
      </c>
      <c r="G14" s="24" t="s">
        <v>569</v>
      </c>
      <c r="H14" s="24" t="s">
        <v>570</v>
      </c>
      <c r="I14" s="24" t="s">
        <v>563</v>
      </c>
      <c r="J14" s="24" t="s">
        <v>563</v>
      </c>
      <c r="K14" s="24" t="s">
        <v>564</v>
      </c>
      <c r="L14" s="24" t="s">
        <v>42</v>
      </c>
      <c r="M14" s="24" t="s">
        <v>571</v>
      </c>
      <c r="N14" s="24" t="s">
        <v>45</v>
      </c>
    </row>
    <row r="15" customFormat="false" ht="15" hidden="false" customHeight="true" outlineLevel="0" collapsed="false">
      <c r="A15" s="24" t="s">
        <v>555</v>
      </c>
      <c r="B15" s="24" t="s">
        <v>572</v>
      </c>
      <c r="C15" s="24" t="s">
        <v>573</v>
      </c>
      <c r="D15" s="24" t="s">
        <v>574</v>
      </c>
      <c r="E15" s="24" t="s">
        <v>559</v>
      </c>
      <c r="F15" s="24" t="s">
        <v>575</v>
      </c>
      <c r="G15" s="24" t="s">
        <v>576</v>
      </c>
      <c r="H15" s="24" t="s">
        <v>577</v>
      </c>
      <c r="I15" s="24" t="s">
        <v>578</v>
      </c>
      <c r="J15" s="24" t="s">
        <v>563</v>
      </c>
      <c r="K15" s="24" t="s">
        <v>564</v>
      </c>
      <c r="L15" s="24" t="s">
        <v>42</v>
      </c>
      <c r="M15" s="24" t="s">
        <v>579</v>
      </c>
      <c r="N15" s="24" t="s">
        <v>45</v>
      </c>
    </row>
    <row r="16" customFormat="false" ht="15" hidden="false" customHeight="true" outlineLevel="0" collapsed="false">
      <c r="A16" s="24" t="s">
        <v>555</v>
      </c>
      <c r="B16" s="24" t="s">
        <v>580</v>
      </c>
      <c r="C16" s="24" t="s">
        <v>581</v>
      </c>
      <c r="D16" s="24" t="s">
        <v>574</v>
      </c>
      <c r="E16" s="24" t="s">
        <v>559</v>
      </c>
      <c r="F16" s="24" t="s">
        <v>582</v>
      </c>
      <c r="G16" s="24" t="s">
        <v>583</v>
      </c>
      <c r="H16" s="24" t="s">
        <v>584</v>
      </c>
      <c r="I16" s="24" t="s">
        <v>578</v>
      </c>
      <c r="J16" s="24" t="s">
        <v>563</v>
      </c>
      <c r="K16" s="24" t="s">
        <v>564</v>
      </c>
      <c r="L16" s="24" t="s">
        <v>42</v>
      </c>
      <c r="M16" s="24" t="s">
        <v>585</v>
      </c>
      <c r="N16" s="24" t="s">
        <v>45</v>
      </c>
    </row>
    <row r="17" customFormat="false" ht="15" hidden="false" customHeight="true" outlineLevel="0" collapsed="false">
      <c r="A17" s="11" t="s">
        <v>586</v>
      </c>
      <c r="B17" s="11"/>
      <c r="C17" s="11"/>
      <c r="D17" s="11"/>
      <c r="E17" s="11"/>
      <c r="F17" s="11"/>
      <c r="G17" s="11"/>
      <c r="H17" s="11"/>
      <c r="I17" s="11"/>
      <c r="J17" s="11"/>
      <c r="K17" s="11"/>
      <c r="L17" s="11"/>
      <c r="M17" s="11"/>
      <c r="N17" s="11"/>
    </row>
    <row r="18" customFormat="false" ht="15" hidden="false" customHeight="true" outlineLevel="0" collapsed="false">
      <c r="A18" s="12" t="s">
        <v>587</v>
      </c>
      <c r="B18" s="12" t="s">
        <v>588</v>
      </c>
      <c r="C18" s="12" t="s">
        <v>589</v>
      </c>
      <c r="D18" s="12" t="s">
        <v>558</v>
      </c>
      <c r="E18" s="12" t="s">
        <v>590</v>
      </c>
      <c r="F18" s="12" t="s">
        <v>591</v>
      </c>
      <c r="G18" s="12" t="s">
        <v>592</v>
      </c>
      <c r="H18" s="12" t="s">
        <v>593</v>
      </c>
      <c r="I18" s="12" t="s">
        <v>563</v>
      </c>
      <c r="J18" s="12" t="s">
        <v>578</v>
      </c>
      <c r="K18" s="12" t="s">
        <v>564</v>
      </c>
      <c r="L18" s="12" t="s">
        <v>42</v>
      </c>
      <c r="M18" s="12" t="s">
        <v>594</v>
      </c>
      <c r="N18" s="12" t="s">
        <v>45</v>
      </c>
    </row>
    <row r="19" customFormat="false" ht="15" hidden="false" customHeight="true" outlineLevel="0" collapsed="false">
      <c r="A19" s="12" t="s">
        <v>587</v>
      </c>
      <c r="B19" s="12" t="s">
        <v>595</v>
      </c>
      <c r="C19" s="12" t="s">
        <v>596</v>
      </c>
      <c r="D19" s="12" t="s">
        <v>597</v>
      </c>
      <c r="E19" s="12" t="s">
        <v>590</v>
      </c>
      <c r="F19" s="12" t="s">
        <v>598</v>
      </c>
      <c r="G19" s="12" t="s">
        <v>599</v>
      </c>
      <c r="H19" s="12" t="s">
        <v>593</v>
      </c>
      <c r="I19" s="12" t="s">
        <v>578</v>
      </c>
      <c r="J19" s="12" t="s">
        <v>578</v>
      </c>
      <c r="K19" s="12" t="s">
        <v>564</v>
      </c>
      <c r="L19" s="12" t="s">
        <v>42</v>
      </c>
      <c r="M19" s="12" t="s">
        <v>600</v>
      </c>
      <c r="N19" s="12" t="s">
        <v>45</v>
      </c>
    </row>
    <row r="20" customFormat="false" ht="15" hidden="false" customHeight="true" outlineLevel="0" collapsed="false">
      <c r="A20" s="11" t="s">
        <v>601</v>
      </c>
      <c r="B20" s="11"/>
      <c r="C20" s="11"/>
      <c r="D20" s="11"/>
      <c r="E20" s="11"/>
      <c r="F20" s="11"/>
      <c r="G20" s="11"/>
      <c r="H20" s="11"/>
      <c r="I20" s="11"/>
      <c r="J20" s="11"/>
      <c r="K20" s="11"/>
      <c r="L20" s="11"/>
      <c r="M20" s="11"/>
      <c r="N20" s="11"/>
    </row>
    <row r="21" customFormat="false" ht="21.75" hidden="false" customHeight="true" outlineLevel="0" collapsed="false">
      <c r="A21" s="15" t="s">
        <v>602</v>
      </c>
      <c r="B21" s="15" t="s">
        <v>603</v>
      </c>
      <c r="C21" s="15" t="s">
        <v>149</v>
      </c>
      <c r="D21" s="15" t="s">
        <v>604</v>
      </c>
      <c r="E21" s="15" t="s">
        <v>145</v>
      </c>
      <c r="F21" s="15" t="s">
        <v>151</v>
      </c>
      <c r="G21" s="15" t="s">
        <v>150</v>
      </c>
      <c r="H21" s="15" t="s">
        <v>605</v>
      </c>
      <c r="I21" s="15" t="s">
        <v>606</v>
      </c>
      <c r="J21" s="15" t="s">
        <v>578</v>
      </c>
      <c r="K21" s="15" t="s">
        <v>541</v>
      </c>
      <c r="L21" s="15" t="s">
        <v>607</v>
      </c>
      <c r="M21" s="15" t="s">
        <v>608</v>
      </c>
      <c r="N21" s="15" t="s">
        <v>45</v>
      </c>
    </row>
    <row r="22" customFormat="false" ht="21.75" hidden="false" customHeight="true" outlineLevel="0" collapsed="false">
      <c r="A22" s="15" t="s">
        <v>602</v>
      </c>
      <c r="B22" s="15" t="s">
        <v>609</v>
      </c>
      <c r="C22" s="15" t="s">
        <v>156</v>
      </c>
      <c r="D22" s="15" t="s">
        <v>604</v>
      </c>
      <c r="E22" s="15" t="s">
        <v>154</v>
      </c>
      <c r="F22" s="15" t="s">
        <v>158</v>
      </c>
      <c r="G22" s="15" t="s">
        <v>157</v>
      </c>
      <c r="H22" s="15" t="s">
        <v>610</v>
      </c>
      <c r="I22" s="15" t="s">
        <v>606</v>
      </c>
      <c r="J22" s="15" t="s">
        <v>578</v>
      </c>
      <c r="K22" s="15" t="s">
        <v>541</v>
      </c>
      <c r="L22" s="15" t="s">
        <v>611</v>
      </c>
      <c r="M22" s="15" t="s">
        <v>612</v>
      </c>
      <c r="N22" s="15" t="s">
        <v>45</v>
      </c>
    </row>
    <row r="23" customFormat="false" ht="21.75" hidden="false" customHeight="true" outlineLevel="0" collapsed="false">
      <c r="A23" s="15" t="s">
        <v>602</v>
      </c>
      <c r="B23" s="15" t="s">
        <v>613</v>
      </c>
      <c r="C23" s="15" t="s">
        <v>204</v>
      </c>
      <c r="D23" s="15" t="s">
        <v>604</v>
      </c>
      <c r="E23" s="15" t="s">
        <v>202</v>
      </c>
      <c r="F23" s="15" t="s">
        <v>206</v>
      </c>
      <c r="G23" s="15" t="s">
        <v>205</v>
      </c>
      <c r="H23" s="15" t="s">
        <v>614</v>
      </c>
      <c r="I23" s="15" t="s">
        <v>606</v>
      </c>
      <c r="J23" s="15" t="s">
        <v>578</v>
      </c>
      <c r="K23" s="15" t="s">
        <v>541</v>
      </c>
      <c r="L23" s="15" t="s">
        <v>406</v>
      </c>
      <c r="M23" s="15" t="s">
        <v>615</v>
      </c>
      <c r="N23" s="15" t="s">
        <v>68</v>
      </c>
    </row>
    <row r="24" customFormat="false" ht="21.75" hidden="false" customHeight="true" outlineLevel="0" collapsed="false">
      <c r="A24" s="15" t="s">
        <v>616</v>
      </c>
      <c r="B24" s="15" t="s">
        <v>617</v>
      </c>
      <c r="C24" s="15" t="s">
        <v>163</v>
      </c>
      <c r="D24" s="15" t="s">
        <v>604</v>
      </c>
      <c r="E24" s="15" t="s">
        <v>618</v>
      </c>
      <c r="F24" s="15" t="s">
        <v>165</v>
      </c>
      <c r="G24" s="15" t="s">
        <v>164</v>
      </c>
      <c r="H24" s="15" t="s">
        <v>619</v>
      </c>
      <c r="I24" s="15" t="s">
        <v>606</v>
      </c>
      <c r="J24" s="15" t="s">
        <v>578</v>
      </c>
      <c r="K24" s="15" t="s">
        <v>541</v>
      </c>
      <c r="L24" s="15" t="s">
        <v>620</v>
      </c>
      <c r="M24" s="15" t="s">
        <v>621</v>
      </c>
      <c r="N24" s="15" t="s">
        <v>68</v>
      </c>
    </row>
    <row r="25" customFormat="false" ht="21.75" hidden="false" customHeight="true" outlineLevel="0" collapsed="false">
      <c r="A25" s="15" t="s">
        <v>616</v>
      </c>
      <c r="B25" s="15" t="s">
        <v>622</v>
      </c>
      <c r="C25" s="15" t="s">
        <v>177</v>
      </c>
      <c r="D25" s="15" t="s">
        <v>604</v>
      </c>
      <c r="E25" s="15" t="s">
        <v>623</v>
      </c>
      <c r="F25" s="15" t="s">
        <v>179</v>
      </c>
      <c r="G25" s="15" t="s">
        <v>178</v>
      </c>
      <c r="H25" s="15" t="s">
        <v>624</v>
      </c>
      <c r="I25" s="15" t="s">
        <v>606</v>
      </c>
      <c r="J25" s="15" t="s">
        <v>578</v>
      </c>
      <c r="K25" s="15" t="s">
        <v>541</v>
      </c>
      <c r="L25" s="15" t="s">
        <v>625</v>
      </c>
      <c r="M25" s="15" t="s">
        <v>626</v>
      </c>
      <c r="N25" s="15" t="s">
        <v>68</v>
      </c>
    </row>
    <row r="26" customFormat="false" ht="15" hidden="false" customHeight="true" outlineLevel="0" collapsed="false">
      <c r="A26" s="15" t="s">
        <v>627</v>
      </c>
      <c r="B26" s="15" t="s">
        <v>628</v>
      </c>
      <c r="C26" s="15" t="s">
        <v>190</v>
      </c>
      <c r="D26" s="15" t="s">
        <v>604</v>
      </c>
      <c r="E26" s="15" t="s">
        <v>187</v>
      </c>
      <c r="F26" s="15" t="s">
        <v>192</v>
      </c>
      <c r="G26" s="15" t="s">
        <v>191</v>
      </c>
      <c r="H26" s="15" t="s">
        <v>629</v>
      </c>
      <c r="I26" s="15" t="s">
        <v>606</v>
      </c>
      <c r="J26" s="15" t="s">
        <v>578</v>
      </c>
      <c r="K26" s="15" t="s">
        <v>541</v>
      </c>
      <c r="L26" s="15" t="s">
        <v>630</v>
      </c>
      <c r="M26" s="15" t="s">
        <v>631</v>
      </c>
      <c r="N26" s="15" t="s">
        <v>68</v>
      </c>
    </row>
    <row r="27" customFormat="false" ht="21.75" hidden="false" customHeight="true" outlineLevel="0" collapsed="false">
      <c r="A27" s="15" t="s">
        <v>627</v>
      </c>
      <c r="B27" s="15" t="s">
        <v>632</v>
      </c>
      <c r="C27" s="15" t="s">
        <v>198</v>
      </c>
      <c r="D27" s="15" t="s">
        <v>604</v>
      </c>
      <c r="E27" s="15" t="s">
        <v>195</v>
      </c>
      <c r="F27" s="15" t="s">
        <v>200</v>
      </c>
      <c r="G27" s="15" t="s">
        <v>199</v>
      </c>
      <c r="H27" s="15" t="s">
        <v>633</v>
      </c>
      <c r="I27" s="15" t="s">
        <v>606</v>
      </c>
      <c r="J27" s="15" t="s">
        <v>578</v>
      </c>
      <c r="K27" s="15" t="s">
        <v>541</v>
      </c>
      <c r="L27" s="15" t="s">
        <v>42</v>
      </c>
      <c r="M27" s="15" t="s">
        <v>634</v>
      </c>
      <c r="N27" s="15" t="s">
        <v>68</v>
      </c>
    </row>
    <row r="28" customFormat="false" ht="21.75" hidden="false" customHeight="true" outlineLevel="0" collapsed="false">
      <c r="A28" s="15" t="s">
        <v>635</v>
      </c>
      <c r="B28" s="15" t="s">
        <v>636</v>
      </c>
      <c r="C28" s="15" t="s">
        <v>211</v>
      </c>
      <c r="D28" s="15" t="s">
        <v>604</v>
      </c>
      <c r="E28" s="15" t="s">
        <v>637</v>
      </c>
      <c r="F28" s="15" t="s">
        <v>213</v>
      </c>
      <c r="G28" s="15" t="s">
        <v>638</v>
      </c>
      <c r="H28" s="15" t="s">
        <v>639</v>
      </c>
      <c r="I28" s="15" t="s">
        <v>606</v>
      </c>
      <c r="J28" s="15" t="s">
        <v>578</v>
      </c>
      <c r="K28" s="15" t="s">
        <v>541</v>
      </c>
      <c r="L28" s="15" t="s">
        <v>640</v>
      </c>
      <c r="M28" s="15" t="s">
        <v>641</v>
      </c>
      <c r="N28" s="15" t="s">
        <v>68</v>
      </c>
    </row>
    <row r="29" customFormat="false" ht="21.75" hidden="false" customHeight="true" outlineLevel="0" collapsed="false">
      <c r="A29" s="15" t="s">
        <v>635</v>
      </c>
      <c r="B29" s="15" t="s">
        <v>642</v>
      </c>
      <c r="C29" s="15" t="s">
        <v>222</v>
      </c>
      <c r="D29" s="15" t="s">
        <v>604</v>
      </c>
      <c r="E29" s="15" t="s">
        <v>220</v>
      </c>
      <c r="F29" s="15" t="s">
        <v>643</v>
      </c>
      <c r="G29" s="15" t="s">
        <v>644</v>
      </c>
      <c r="H29" s="15" t="s">
        <v>645</v>
      </c>
      <c r="I29" s="15" t="s">
        <v>606</v>
      </c>
      <c r="J29" s="15" t="s">
        <v>578</v>
      </c>
      <c r="K29" s="15" t="s">
        <v>541</v>
      </c>
      <c r="L29" s="15" t="s">
        <v>646</v>
      </c>
      <c r="M29" s="15" t="s">
        <v>647</v>
      </c>
      <c r="N29" s="15" t="s">
        <v>68</v>
      </c>
    </row>
    <row r="30" customFormat="false" ht="21.75" hidden="false" customHeight="true" outlineLevel="0" collapsed="false">
      <c r="A30" s="15" t="s">
        <v>635</v>
      </c>
      <c r="B30" s="15" t="s">
        <v>648</v>
      </c>
      <c r="C30" s="15" t="s">
        <v>229</v>
      </c>
      <c r="D30" s="15" t="s">
        <v>604</v>
      </c>
      <c r="E30" s="15" t="s">
        <v>227</v>
      </c>
      <c r="F30" s="15" t="s">
        <v>231</v>
      </c>
      <c r="G30" s="15" t="s">
        <v>649</v>
      </c>
      <c r="H30" s="15" t="s">
        <v>650</v>
      </c>
      <c r="I30" s="15" t="s">
        <v>606</v>
      </c>
      <c r="J30" s="15" t="s">
        <v>578</v>
      </c>
      <c r="K30" s="15" t="s">
        <v>541</v>
      </c>
      <c r="L30" s="15" t="s">
        <v>651</v>
      </c>
      <c r="M30" s="15" t="s">
        <v>464</v>
      </c>
      <c r="N30" s="15" t="s">
        <v>68</v>
      </c>
    </row>
    <row r="31" customFormat="false" ht="15" hidden="false" customHeight="true" outlineLevel="0" collapsed="false">
      <c r="A31" s="15" t="s">
        <v>652</v>
      </c>
      <c r="B31" s="15" t="s">
        <v>653</v>
      </c>
      <c r="C31" s="15" t="s">
        <v>236</v>
      </c>
      <c r="D31" s="15" t="s">
        <v>604</v>
      </c>
      <c r="E31" s="15" t="s">
        <v>234</v>
      </c>
      <c r="F31" s="15" t="s">
        <v>238</v>
      </c>
      <c r="G31" s="15" t="s">
        <v>654</v>
      </c>
      <c r="H31" s="15" t="s">
        <v>655</v>
      </c>
      <c r="I31" s="15" t="s">
        <v>606</v>
      </c>
      <c r="J31" s="15" t="s">
        <v>578</v>
      </c>
      <c r="K31" s="15" t="s">
        <v>541</v>
      </c>
      <c r="L31" s="15" t="s">
        <v>656</v>
      </c>
      <c r="M31" s="15" t="s">
        <v>657</v>
      </c>
      <c r="N31" s="15" t="s">
        <v>68</v>
      </c>
    </row>
    <row r="32" customFormat="false" ht="21.75" hidden="false" customHeight="true" outlineLevel="0" collapsed="false">
      <c r="A32" s="15" t="s">
        <v>635</v>
      </c>
      <c r="B32" s="15" t="s">
        <v>658</v>
      </c>
      <c r="C32" s="15" t="s">
        <v>242</v>
      </c>
      <c r="D32" s="15" t="s">
        <v>604</v>
      </c>
      <c r="E32" s="15" t="s">
        <v>240</v>
      </c>
      <c r="F32" s="15" t="s">
        <v>244</v>
      </c>
      <c r="G32" s="15" t="s">
        <v>659</v>
      </c>
      <c r="H32" s="15" t="s">
        <v>660</v>
      </c>
      <c r="I32" s="15" t="s">
        <v>606</v>
      </c>
      <c r="J32" s="15" t="s">
        <v>578</v>
      </c>
      <c r="K32" s="15" t="s">
        <v>541</v>
      </c>
      <c r="L32" s="15" t="s">
        <v>42</v>
      </c>
      <c r="M32" s="15" t="s">
        <v>661</v>
      </c>
      <c r="N32" s="15" t="s">
        <v>172</v>
      </c>
    </row>
    <row r="33" customFormat="false" ht="21.75" hidden="false" customHeight="true" outlineLevel="0" collapsed="false">
      <c r="A33" s="15" t="s">
        <v>635</v>
      </c>
      <c r="B33" s="15" t="s">
        <v>662</v>
      </c>
      <c r="C33" s="15" t="s">
        <v>248</v>
      </c>
      <c r="D33" s="15" t="s">
        <v>604</v>
      </c>
      <c r="E33" s="15" t="s">
        <v>246</v>
      </c>
      <c r="F33" s="15" t="s">
        <v>250</v>
      </c>
      <c r="G33" s="15" t="s">
        <v>663</v>
      </c>
      <c r="H33" s="15" t="s">
        <v>664</v>
      </c>
      <c r="I33" s="15" t="s">
        <v>606</v>
      </c>
      <c r="J33" s="15" t="s">
        <v>578</v>
      </c>
      <c r="K33" s="15" t="s">
        <v>541</v>
      </c>
      <c r="L33" s="15" t="s">
        <v>42</v>
      </c>
      <c r="M33" s="15" t="s">
        <v>665</v>
      </c>
      <c r="N33" s="15" t="s">
        <v>172</v>
      </c>
    </row>
    <row r="34" customFormat="false" ht="21.75" hidden="false" customHeight="true" outlineLevel="0" collapsed="false">
      <c r="A34" s="15" t="s">
        <v>666</v>
      </c>
      <c r="B34" s="15" t="s">
        <v>667</v>
      </c>
      <c r="C34" s="15" t="s">
        <v>255</v>
      </c>
      <c r="D34" s="15" t="s">
        <v>604</v>
      </c>
      <c r="E34" s="15" t="s">
        <v>253</v>
      </c>
      <c r="F34" s="15" t="s">
        <v>257</v>
      </c>
      <c r="G34" s="15" t="s">
        <v>668</v>
      </c>
      <c r="H34" s="15" t="s">
        <v>669</v>
      </c>
      <c r="I34" s="15" t="s">
        <v>606</v>
      </c>
      <c r="J34" s="15" t="s">
        <v>578</v>
      </c>
      <c r="K34" s="15" t="s">
        <v>541</v>
      </c>
      <c r="L34" s="15" t="s">
        <v>42</v>
      </c>
      <c r="M34" s="15" t="s">
        <v>670</v>
      </c>
      <c r="N34" s="15" t="s">
        <v>172</v>
      </c>
    </row>
    <row r="35" customFormat="false" ht="21.75" hidden="false" customHeight="true" outlineLevel="0" collapsed="false">
      <c r="A35" s="15" t="s">
        <v>616</v>
      </c>
      <c r="B35" s="15" t="s">
        <v>671</v>
      </c>
      <c r="C35" s="15" t="s">
        <v>264</v>
      </c>
      <c r="D35" s="15" t="s">
        <v>604</v>
      </c>
      <c r="E35" s="15" t="s">
        <v>260</v>
      </c>
      <c r="F35" s="15" t="s">
        <v>266</v>
      </c>
      <c r="G35" s="15" t="s">
        <v>672</v>
      </c>
      <c r="H35" s="15" t="s">
        <v>673</v>
      </c>
      <c r="I35" s="15" t="s">
        <v>606</v>
      </c>
      <c r="J35" s="15" t="s">
        <v>578</v>
      </c>
      <c r="K35" s="15" t="s">
        <v>541</v>
      </c>
      <c r="L35" s="15" t="s">
        <v>42</v>
      </c>
      <c r="M35" s="15" t="s">
        <v>674</v>
      </c>
      <c r="N35" s="15" t="s">
        <v>68</v>
      </c>
    </row>
    <row r="36" customFormat="false" ht="15" hidden="false" customHeight="true" outlineLevel="0" collapsed="false">
      <c r="A36" s="15" t="s">
        <v>616</v>
      </c>
      <c r="B36" s="15" t="s">
        <v>675</v>
      </c>
      <c r="C36" s="15" t="s">
        <v>272</v>
      </c>
      <c r="D36" s="15" t="s">
        <v>604</v>
      </c>
      <c r="E36" s="15" t="s">
        <v>676</v>
      </c>
      <c r="F36" s="15" t="s">
        <v>677</v>
      </c>
      <c r="G36" s="15" t="s">
        <v>678</v>
      </c>
      <c r="H36" s="15" t="s">
        <v>679</v>
      </c>
      <c r="I36" s="15" t="s">
        <v>606</v>
      </c>
      <c r="J36" s="15" t="s">
        <v>563</v>
      </c>
      <c r="K36" s="15" t="s">
        <v>541</v>
      </c>
      <c r="L36" s="15" t="s">
        <v>42</v>
      </c>
      <c r="M36" s="15" t="s">
        <v>680</v>
      </c>
      <c r="N36" s="15" t="s">
        <v>172</v>
      </c>
    </row>
    <row r="37" customFormat="false" ht="21.75" hidden="false" customHeight="true" outlineLevel="0" collapsed="false">
      <c r="A37" s="15" t="s">
        <v>616</v>
      </c>
      <c r="B37" s="15" t="s">
        <v>681</v>
      </c>
      <c r="C37" s="15" t="s">
        <v>282</v>
      </c>
      <c r="D37" s="15" t="s">
        <v>604</v>
      </c>
      <c r="E37" s="15" t="s">
        <v>279</v>
      </c>
      <c r="F37" s="15" t="s">
        <v>682</v>
      </c>
      <c r="G37" s="15" t="s">
        <v>683</v>
      </c>
      <c r="H37" s="15" t="s">
        <v>684</v>
      </c>
      <c r="I37" s="15" t="s">
        <v>606</v>
      </c>
      <c r="J37" s="15" t="s">
        <v>563</v>
      </c>
      <c r="K37" s="15" t="s">
        <v>541</v>
      </c>
      <c r="L37" s="15" t="s">
        <v>42</v>
      </c>
      <c r="M37" s="15" t="s">
        <v>286</v>
      </c>
      <c r="N37" s="15" t="s">
        <v>285</v>
      </c>
    </row>
    <row r="38" customFormat="false" ht="15" hidden="false" customHeight="true" outlineLevel="0" collapsed="false">
      <c r="A38" s="15" t="s">
        <v>616</v>
      </c>
      <c r="B38" s="15" t="s">
        <v>685</v>
      </c>
      <c r="C38" s="15" t="s">
        <v>290</v>
      </c>
      <c r="D38" s="15" t="s">
        <v>604</v>
      </c>
      <c r="E38" s="15" t="s">
        <v>287</v>
      </c>
      <c r="F38" s="15" t="s">
        <v>292</v>
      </c>
      <c r="G38" s="15" t="s">
        <v>291</v>
      </c>
      <c r="H38" s="15" t="s">
        <v>686</v>
      </c>
      <c r="I38" s="15" t="s">
        <v>606</v>
      </c>
      <c r="J38" s="15" t="s">
        <v>563</v>
      </c>
      <c r="K38" s="15" t="s">
        <v>541</v>
      </c>
      <c r="L38" s="15" t="s">
        <v>42</v>
      </c>
      <c r="M38" s="15" t="s">
        <v>687</v>
      </c>
      <c r="N38" s="15" t="s">
        <v>172</v>
      </c>
    </row>
  </sheetData>
  <mergeCells count="4">
    <mergeCell ref="A1:N1"/>
    <mergeCell ref="A12:N12"/>
    <mergeCell ref="A17:N17"/>
    <mergeCell ref="A20:N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L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22"/>
    <col collapsed="false" customWidth="true" hidden="false" outlineLevel="0" max="4" min="4" style="1" width="80"/>
    <col collapsed="false" customWidth="true" hidden="false" outlineLevel="0" max="5" min="5" style="1" width="65"/>
    <col collapsed="false" customWidth="true" hidden="false" outlineLevel="0" max="7" min="6" style="1" width="40"/>
    <col collapsed="false" customWidth="true" hidden="false" outlineLevel="0" max="8" min="8" style="1" width="10"/>
    <col collapsed="false" customWidth="true" hidden="false" outlineLevel="0" max="9" min="9" style="1" width="12"/>
    <col collapsed="false" customWidth="true" hidden="false" outlineLevel="0" max="10" min="10" style="1" width="25"/>
    <col collapsed="false" customWidth="true" hidden="false" outlineLevel="0" max="11" min="11" style="1" width="35"/>
    <col collapsed="false" customWidth="true" hidden="false" outlineLevel="0" max="12" min="12" style="1" width="55"/>
  </cols>
  <sheetData>
    <row r="1" customFormat="false" ht="15" hidden="false" customHeight="true" outlineLevel="0" collapsed="false">
      <c r="A1" s="9" t="s">
        <v>688</v>
      </c>
      <c r="B1" s="9"/>
      <c r="C1" s="9"/>
      <c r="D1" s="9"/>
      <c r="E1" s="9"/>
      <c r="F1" s="9"/>
      <c r="G1" s="9"/>
      <c r="H1" s="9"/>
      <c r="I1" s="9"/>
      <c r="J1" s="9"/>
      <c r="K1" s="9"/>
    </row>
    <row r="2" customFormat="false" ht="15" hidden="false" customHeight="true" outlineLevel="0" collapsed="false">
      <c r="A2" s="19" t="s">
        <v>689</v>
      </c>
      <c r="B2" s="19"/>
      <c r="C2" s="19"/>
      <c r="D2" s="19"/>
      <c r="E2" s="19"/>
      <c r="F2" s="19"/>
      <c r="G2" s="19"/>
      <c r="H2" s="19"/>
      <c r="I2" s="19"/>
      <c r="J2" s="19"/>
      <c r="K2" s="19"/>
    </row>
    <row r="4" customFormat="false" ht="39.75" hidden="false" customHeight="true" outlineLevel="0" collapsed="false">
      <c r="A4" s="10" t="s">
        <v>690</v>
      </c>
      <c r="B4" s="10" t="s">
        <v>691</v>
      </c>
      <c r="C4" s="10" t="s">
        <v>692</v>
      </c>
      <c r="D4" s="10" t="s">
        <v>693</v>
      </c>
      <c r="E4" s="10" t="s">
        <v>694</v>
      </c>
      <c r="F4" s="10" t="s">
        <v>695</v>
      </c>
      <c r="G4" s="10" t="s">
        <v>696</v>
      </c>
      <c r="H4" s="10" t="s">
        <v>697</v>
      </c>
      <c r="I4" s="10" t="s">
        <v>698</v>
      </c>
      <c r="J4" s="10" t="s">
        <v>699</v>
      </c>
      <c r="K4" s="10" t="s">
        <v>35</v>
      </c>
      <c r="L4" s="25" t="s">
        <v>700</v>
      </c>
    </row>
    <row r="5" customFormat="false" ht="15" hidden="false" customHeight="true" outlineLevel="0" collapsed="false">
      <c r="A5" s="11" t="s">
        <v>701</v>
      </c>
      <c r="B5" s="11"/>
      <c r="C5" s="11"/>
      <c r="D5" s="11"/>
      <c r="E5" s="11"/>
      <c r="F5" s="11"/>
      <c r="G5" s="11"/>
      <c r="H5" s="11"/>
      <c r="I5" s="11"/>
      <c r="J5" s="11"/>
      <c r="K5" s="11"/>
    </row>
    <row r="6" customFormat="false" ht="60" hidden="false" customHeight="true" outlineLevel="0" collapsed="false">
      <c r="A6" s="26" t="s">
        <v>702</v>
      </c>
      <c r="B6" s="26" t="s">
        <v>703</v>
      </c>
      <c r="C6" s="26" t="s">
        <v>116</v>
      </c>
      <c r="D6" s="26" t="s">
        <v>704</v>
      </c>
      <c r="E6" s="26" t="s">
        <v>705</v>
      </c>
      <c r="F6" s="26" t="s">
        <v>706</v>
      </c>
      <c r="G6" s="26" t="s">
        <v>707</v>
      </c>
      <c r="H6" s="26" t="s">
        <v>708</v>
      </c>
      <c r="I6" s="26" t="s">
        <v>709</v>
      </c>
      <c r="J6" s="26" t="s">
        <v>710</v>
      </c>
      <c r="K6" s="26" t="s">
        <v>711</v>
      </c>
      <c r="L6" s="27" t="s">
        <v>712</v>
      </c>
    </row>
    <row r="7" customFormat="false" ht="60" hidden="false" customHeight="true" outlineLevel="0" collapsed="false">
      <c r="A7" s="26" t="s">
        <v>702</v>
      </c>
      <c r="B7" s="26" t="s">
        <v>713</v>
      </c>
      <c r="C7" s="26" t="s">
        <v>116</v>
      </c>
      <c r="D7" s="26" t="s">
        <v>714</v>
      </c>
      <c r="E7" s="26" t="s">
        <v>715</v>
      </c>
      <c r="F7" s="26" t="s">
        <v>716</v>
      </c>
      <c r="G7" s="26" t="s">
        <v>717</v>
      </c>
      <c r="H7" s="26" t="s">
        <v>708</v>
      </c>
      <c r="I7" s="26" t="s">
        <v>709</v>
      </c>
      <c r="J7" s="26" t="s">
        <v>718</v>
      </c>
      <c r="K7" s="26" t="s">
        <v>719</v>
      </c>
      <c r="L7" s="27" t="s">
        <v>720</v>
      </c>
    </row>
    <row r="8" customFormat="false" ht="60" hidden="false" customHeight="true" outlineLevel="0" collapsed="false">
      <c r="A8" s="26" t="s">
        <v>702</v>
      </c>
      <c r="B8" s="26" t="s">
        <v>721</v>
      </c>
      <c r="C8" s="26" t="s">
        <v>111</v>
      </c>
      <c r="D8" s="26" t="s">
        <v>722</v>
      </c>
      <c r="E8" s="26" t="s">
        <v>723</v>
      </c>
      <c r="F8" s="26"/>
      <c r="G8" s="26" t="s">
        <v>724</v>
      </c>
      <c r="H8" s="26" t="s">
        <v>708</v>
      </c>
      <c r="I8" s="26" t="s">
        <v>709</v>
      </c>
      <c r="J8" s="26" t="s">
        <v>725</v>
      </c>
      <c r="K8" s="26" t="s">
        <v>726</v>
      </c>
      <c r="L8" s="27" t="s">
        <v>727</v>
      </c>
    </row>
    <row r="9" customFormat="false" ht="60" hidden="false" customHeight="true" outlineLevel="0" collapsed="false">
      <c r="A9" s="26" t="s">
        <v>702</v>
      </c>
      <c r="B9" s="26" t="s">
        <v>728</v>
      </c>
      <c r="C9" s="26" t="s">
        <v>116</v>
      </c>
      <c r="D9" s="26" t="s">
        <v>729</v>
      </c>
      <c r="E9" s="26" t="s">
        <v>730</v>
      </c>
      <c r="F9" s="26"/>
      <c r="G9" s="26" t="s">
        <v>717</v>
      </c>
      <c r="H9" s="26" t="s">
        <v>708</v>
      </c>
      <c r="I9" s="26" t="s">
        <v>709</v>
      </c>
      <c r="J9" s="26" t="s">
        <v>731</v>
      </c>
      <c r="K9" s="26"/>
      <c r="L9" s="27" t="s">
        <v>732</v>
      </c>
    </row>
    <row r="10" customFormat="false" ht="60" hidden="false" customHeight="true" outlineLevel="0" collapsed="false">
      <c r="A10" s="26" t="s">
        <v>702</v>
      </c>
      <c r="B10" s="26" t="s">
        <v>733</v>
      </c>
      <c r="C10" s="26" t="s">
        <v>116</v>
      </c>
      <c r="D10" s="26" t="s">
        <v>734</v>
      </c>
      <c r="E10" s="26" t="s">
        <v>735</v>
      </c>
      <c r="F10" s="26"/>
      <c r="G10" s="26"/>
      <c r="H10" s="26" t="s">
        <v>708</v>
      </c>
      <c r="I10" s="26" t="s">
        <v>709</v>
      </c>
      <c r="J10" s="26" t="s">
        <v>736</v>
      </c>
      <c r="K10" s="26" t="s">
        <v>737</v>
      </c>
      <c r="L10" s="27" t="s">
        <v>738</v>
      </c>
    </row>
    <row r="11" customFormat="false" ht="60" hidden="false" customHeight="true" outlineLevel="0" collapsed="false">
      <c r="A11" s="26" t="s">
        <v>702</v>
      </c>
      <c r="B11" s="26" t="s">
        <v>739</v>
      </c>
      <c r="C11" s="26" t="s">
        <v>174</v>
      </c>
      <c r="D11" s="26" t="s">
        <v>740</v>
      </c>
      <c r="E11" s="26" t="s">
        <v>741</v>
      </c>
      <c r="F11" s="26" t="s">
        <v>742</v>
      </c>
      <c r="G11" s="26" t="s">
        <v>717</v>
      </c>
      <c r="H11" s="26" t="s">
        <v>743</v>
      </c>
      <c r="I11" s="26" t="s">
        <v>744</v>
      </c>
      <c r="J11" s="26" t="s">
        <v>745</v>
      </c>
      <c r="K11" s="26" t="s">
        <v>746</v>
      </c>
      <c r="L11" s="27" t="s">
        <v>747</v>
      </c>
    </row>
    <row r="12" customFormat="false" ht="60" hidden="false" customHeight="true" outlineLevel="0" collapsed="false">
      <c r="A12" s="26" t="s">
        <v>702</v>
      </c>
      <c r="B12" s="26" t="s">
        <v>161</v>
      </c>
      <c r="C12" s="26" t="s">
        <v>161</v>
      </c>
      <c r="D12" s="26" t="s">
        <v>748</v>
      </c>
      <c r="E12" s="26" t="s">
        <v>749</v>
      </c>
      <c r="F12" s="26"/>
      <c r="G12" s="26" t="s">
        <v>717</v>
      </c>
      <c r="H12" s="26" t="s">
        <v>743</v>
      </c>
      <c r="I12" s="26" t="s">
        <v>744</v>
      </c>
      <c r="J12" s="26" t="s">
        <v>750</v>
      </c>
      <c r="K12" s="26" t="s">
        <v>751</v>
      </c>
      <c r="L12" s="27" t="s">
        <v>752</v>
      </c>
    </row>
    <row r="13" customFormat="false" ht="60" hidden="false" customHeight="true" outlineLevel="0" collapsed="false">
      <c r="A13" s="26" t="s">
        <v>702</v>
      </c>
      <c r="B13" s="26" t="s">
        <v>753</v>
      </c>
      <c r="C13" s="26" t="s">
        <v>104</v>
      </c>
      <c r="D13" s="26" t="s">
        <v>754</v>
      </c>
      <c r="E13" s="26" t="s">
        <v>755</v>
      </c>
      <c r="F13" s="26"/>
      <c r="G13" s="26" t="s">
        <v>756</v>
      </c>
      <c r="H13" s="26" t="s">
        <v>708</v>
      </c>
      <c r="I13" s="26" t="s">
        <v>709</v>
      </c>
      <c r="J13" s="26" t="s">
        <v>757</v>
      </c>
      <c r="K13" s="26" t="s">
        <v>758</v>
      </c>
      <c r="L13" s="27" t="s">
        <v>759</v>
      </c>
    </row>
    <row r="14" customFormat="false" ht="60" hidden="false" customHeight="true" outlineLevel="0" collapsed="false">
      <c r="A14" s="26" t="s">
        <v>702</v>
      </c>
      <c r="B14" s="26" t="s">
        <v>760</v>
      </c>
      <c r="C14" s="26" t="s">
        <v>132</v>
      </c>
      <c r="D14" s="26" t="s">
        <v>761</v>
      </c>
      <c r="E14" s="26" t="s">
        <v>762</v>
      </c>
      <c r="F14" s="26" t="s">
        <v>763</v>
      </c>
      <c r="G14" s="26" t="s">
        <v>717</v>
      </c>
      <c r="H14" s="26" t="s">
        <v>708</v>
      </c>
      <c r="I14" s="26" t="s">
        <v>709</v>
      </c>
      <c r="J14" s="26" t="s">
        <v>764</v>
      </c>
      <c r="K14" s="26" t="s">
        <v>765</v>
      </c>
      <c r="L14" s="27" t="s">
        <v>766</v>
      </c>
    </row>
    <row r="15" customFormat="false" ht="60" hidden="false" customHeight="true" outlineLevel="0" collapsed="false">
      <c r="A15" s="26" t="s">
        <v>702</v>
      </c>
      <c r="B15" s="26" t="s">
        <v>767</v>
      </c>
      <c r="C15" s="26" t="s">
        <v>287</v>
      </c>
      <c r="D15" s="26" t="s">
        <v>768</v>
      </c>
      <c r="E15" s="26" t="s">
        <v>769</v>
      </c>
      <c r="F15" s="26"/>
      <c r="G15" s="26" t="s">
        <v>717</v>
      </c>
      <c r="H15" s="26" t="s">
        <v>708</v>
      </c>
      <c r="I15" s="26" t="s">
        <v>709</v>
      </c>
      <c r="J15" s="26" t="s">
        <v>770</v>
      </c>
      <c r="K15" s="26" t="s">
        <v>771</v>
      </c>
      <c r="L15" s="27" t="s">
        <v>772</v>
      </c>
    </row>
    <row r="16" customFormat="false" ht="15" hidden="false" customHeight="true" outlineLevel="0" collapsed="false">
      <c r="A16" s="11" t="s">
        <v>773</v>
      </c>
      <c r="B16" s="11"/>
      <c r="C16" s="11"/>
      <c r="D16" s="11"/>
      <c r="E16" s="11"/>
      <c r="F16" s="11"/>
      <c r="G16" s="11"/>
      <c r="H16" s="11"/>
      <c r="I16" s="11"/>
      <c r="J16" s="11"/>
      <c r="K16" s="11"/>
    </row>
    <row r="17" customFormat="false" ht="60" hidden="false" customHeight="true" outlineLevel="0" collapsed="false">
      <c r="A17" s="26" t="s">
        <v>774</v>
      </c>
      <c r="B17" s="26" t="s">
        <v>775</v>
      </c>
      <c r="C17" s="26" t="s">
        <v>145</v>
      </c>
      <c r="D17" s="26" t="s">
        <v>776</v>
      </c>
      <c r="E17" s="26" t="s">
        <v>777</v>
      </c>
      <c r="F17" s="26"/>
      <c r="G17" s="26" t="s">
        <v>778</v>
      </c>
      <c r="H17" s="26" t="s">
        <v>708</v>
      </c>
      <c r="I17" s="26" t="s">
        <v>709</v>
      </c>
      <c r="J17" s="26" t="s">
        <v>779</v>
      </c>
      <c r="K17" s="26" t="s">
        <v>726</v>
      </c>
      <c r="L17" s="27" t="s">
        <v>780</v>
      </c>
    </row>
    <row r="18" customFormat="false" ht="60" hidden="false" customHeight="true" outlineLevel="0" collapsed="false">
      <c r="A18" s="26" t="s">
        <v>774</v>
      </c>
      <c r="B18" s="26" t="s">
        <v>781</v>
      </c>
      <c r="C18" s="26" t="s">
        <v>145</v>
      </c>
      <c r="D18" s="26" t="s">
        <v>782</v>
      </c>
      <c r="E18" s="26" t="s">
        <v>735</v>
      </c>
      <c r="F18" s="26"/>
      <c r="G18" s="26" t="s">
        <v>724</v>
      </c>
      <c r="H18" s="26" t="s">
        <v>708</v>
      </c>
      <c r="I18" s="26" t="s">
        <v>709</v>
      </c>
      <c r="J18" s="26" t="s">
        <v>783</v>
      </c>
      <c r="K18" s="26"/>
      <c r="L18" s="27" t="s">
        <v>784</v>
      </c>
    </row>
    <row r="19" customFormat="false" ht="60" hidden="false" customHeight="true" outlineLevel="0" collapsed="false">
      <c r="A19" s="26" t="s">
        <v>774</v>
      </c>
      <c r="B19" s="26" t="s">
        <v>785</v>
      </c>
      <c r="C19" s="26" t="s">
        <v>121</v>
      </c>
      <c r="D19" s="26" t="s">
        <v>786</v>
      </c>
      <c r="E19" s="26" t="s">
        <v>787</v>
      </c>
      <c r="F19" s="26"/>
      <c r="G19" s="26" t="s">
        <v>788</v>
      </c>
      <c r="H19" s="26" t="s">
        <v>743</v>
      </c>
      <c r="I19" s="26" t="s">
        <v>744</v>
      </c>
      <c r="J19" s="26" t="s">
        <v>789</v>
      </c>
      <c r="K19" s="26" t="s">
        <v>790</v>
      </c>
      <c r="L19" s="27" t="s">
        <v>791</v>
      </c>
    </row>
    <row r="20" customFormat="false" ht="60" hidden="false" customHeight="true" outlineLevel="0" collapsed="false">
      <c r="A20" s="26" t="s">
        <v>774</v>
      </c>
      <c r="B20" s="26" t="s">
        <v>792</v>
      </c>
      <c r="C20" s="26" t="s">
        <v>202</v>
      </c>
      <c r="D20" s="26" t="s">
        <v>793</v>
      </c>
      <c r="E20" s="26" t="s">
        <v>794</v>
      </c>
      <c r="F20" s="26"/>
      <c r="G20" s="26"/>
      <c r="H20" s="26" t="s">
        <v>708</v>
      </c>
      <c r="I20" s="26" t="s">
        <v>709</v>
      </c>
      <c r="J20" s="26" t="s">
        <v>795</v>
      </c>
      <c r="K20" s="26" t="s">
        <v>796</v>
      </c>
      <c r="L20" s="27" t="s">
        <v>797</v>
      </c>
    </row>
    <row r="21" customFormat="false" ht="60" hidden="false" customHeight="true" outlineLevel="0" collapsed="false">
      <c r="A21" s="26" t="s">
        <v>774</v>
      </c>
      <c r="B21" s="26" t="s">
        <v>798</v>
      </c>
      <c r="C21" s="26" t="s">
        <v>799</v>
      </c>
      <c r="D21" s="26" t="s">
        <v>800</v>
      </c>
      <c r="E21" s="26" t="s">
        <v>801</v>
      </c>
      <c r="F21" s="26"/>
      <c r="G21" s="26"/>
      <c r="H21" s="26" t="s">
        <v>743</v>
      </c>
      <c r="I21" s="26" t="s">
        <v>744</v>
      </c>
      <c r="J21" s="26" t="s">
        <v>802</v>
      </c>
      <c r="K21" s="26" t="s">
        <v>803</v>
      </c>
      <c r="L21" s="27" t="s">
        <v>804</v>
      </c>
    </row>
    <row r="22" customFormat="false" ht="60" hidden="false" customHeight="true" outlineLevel="0" collapsed="false">
      <c r="A22" s="26" t="s">
        <v>774</v>
      </c>
      <c r="B22" s="26" t="s">
        <v>805</v>
      </c>
      <c r="C22" s="26" t="s">
        <v>154</v>
      </c>
      <c r="D22" s="26" t="s">
        <v>806</v>
      </c>
      <c r="E22" s="26" t="s">
        <v>807</v>
      </c>
      <c r="F22" s="26"/>
      <c r="G22" s="26" t="s">
        <v>724</v>
      </c>
      <c r="H22" s="26" t="s">
        <v>708</v>
      </c>
      <c r="I22" s="26" t="s">
        <v>709</v>
      </c>
      <c r="J22" s="26" t="s">
        <v>808</v>
      </c>
      <c r="K22" s="26"/>
      <c r="L22" s="27" t="s">
        <v>809</v>
      </c>
    </row>
    <row r="23" customFormat="false" ht="15" hidden="false" customHeight="true" outlineLevel="0" collapsed="false">
      <c r="A23" s="11" t="s">
        <v>810</v>
      </c>
      <c r="B23" s="11"/>
      <c r="C23" s="11"/>
      <c r="D23" s="11"/>
      <c r="E23" s="11"/>
      <c r="F23" s="11"/>
      <c r="G23" s="11"/>
      <c r="H23" s="11"/>
      <c r="I23" s="11"/>
      <c r="J23" s="11"/>
      <c r="K23" s="11"/>
    </row>
    <row r="24" customFormat="false" ht="15" hidden="false" customHeight="true" outlineLevel="0" collapsed="false">
      <c r="A24" s="26" t="s">
        <v>811</v>
      </c>
      <c r="B24" s="26" t="s">
        <v>812</v>
      </c>
      <c r="C24" s="26" t="s">
        <v>253</v>
      </c>
      <c r="D24" s="26" t="s">
        <v>813</v>
      </c>
      <c r="E24" s="26" t="s">
        <v>777</v>
      </c>
      <c r="F24" s="26"/>
      <c r="G24" s="26" t="s">
        <v>724</v>
      </c>
      <c r="H24" s="26" t="s">
        <v>708</v>
      </c>
      <c r="I24" s="26" t="s">
        <v>709</v>
      </c>
      <c r="J24" s="26" t="s">
        <v>814</v>
      </c>
      <c r="K24" s="26" t="s">
        <v>815</v>
      </c>
    </row>
    <row r="25" customFormat="false" ht="21.75" hidden="false" customHeight="true" outlineLevel="0" collapsed="false">
      <c r="A25" s="26" t="s">
        <v>811</v>
      </c>
      <c r="B25" s="26" t="s">
        <v>816</v>
      </c>
      <c r="C25" s="26" t="s">
        <v>253</v>
      </c>
      <c r="D25" s="26" t="s">
        <v>817</v>
      </c>
      <c r="E25" s="26" t="s">
        <v>818</v>
      </c>
      <c r="F25" s="26"/>
      <c r="G25" s="26" t="s">
        <v>724</v>
      </c>
      <c r="H25" s="26" t="s">
        <v>708</v>
      </c>
      <c r="I25" s="26" t="s">
        <v>709</v>
      </c>
      <c r="J25" s="26" t="s">
        <v>819</v>
      </c>
      <c r="K25" s="26"/>
    </row>
    <row r="26" customFormat="false" ht="60" hidden="false" customHeight="true" outlineLevel="0" collapsed="false">
      <c r="A26" s="26" t="s">
        <v>811</v>
      </c>
      <c r="B26" s="26" t="s">
        <v>820</v>
      </c>
      <c r="C26" s="26" t="s">
        <v>821</v>
      </c>
      <c r="D26" s="26" t="s">
        <v>822</v>
      </c>
      <c r="E26" s="26" t="s">
        <v>823</v>
      </c>
      <c r="F26" s="26"/>
      <c r="G26" s="26" t="s">
        <v>717</v>
      </c>
      <c r="H26" s="26" t="s">
        <v>743</v>
      </c>
      <c r="I26" s="26" t="s">
        <v>744</v>
      </c>
      <c r="J26" s="26" t="s">
        <v>824</v>
      </c>
      <c r="K26" s="26" t="s">
        <v>825</v>
      </c>
      <c r="L26" s="27" t="s">
        <v>826</v>
      </c>
    </row>
    <row r="27" customFormat="false" ht="60" hidden="false" customHeight="true" outlineLevel="0" collapsed="false">
      <c r="A27" s="26" t="s">
        <v>811</v>
      </c>
      <c r="B27" s="26" t="s">
        <v>827</v>
      </c>
      <c r="C27" s="26" t="s">
        <v>138</v>
      </c>
      <c r="D27" s="26" t="s">
        <v>828</v>
      </c>
      <c r="E27" s="26" t="s">
        <v>447</v>
      </c>
      <c r="F27" s="26" t="s">
        <v>829</v>
      </c>
      <c r="G27" s="26" t="s">
        <v>830</v>
      </c>
      <c r="H27" s="26" t="s">
        <v>708</v>
      </c>
      <c r="I27" s="26" t="s">
        <v>709</v>
      </c>
      <c r="J27" s="26" t="s">
        <v>831</v>
      </c>
      <c r="K27" s="26"/>
      <c r="L27" s="27" t="s">
        <v>832</v>
      </c>
    </row>
    <row r="28" customFormat="false" ht="15" hidden="false" customHeight="true" outlineLevel="0" collapsed="false">
      <c r="A28" s="11" t="s">
        <v>833</v>
      </c>
      <c r="B28" s="11"/>
      <c r="C28" s="11"/>
      <c r="D28" s="11"/>
      <c r="E28" s="11"/>
      <c r="F28" s="11"/>
      <c r="G28" s="11"/>
      <c r="H28" s="11"/>
      <c r="I28" s="11"/>
      <c r="J28" s="11"/>
      <c r="K28" s="11"/>
    </row>
    <row r="29" customFormat="false" ht="60" hidden="false" customHeight="true" outlineLevel="0" collapsed="false">
      <c r="A29" s="26" t="s">
        <v>834</v>
      </c>
      <c r="B29" s="26" t="s">
        <v>835</v>
      </c>
      <c r="C29" s="26" t="s">
        <v>83</v>
      </c>
      <c r="D29" s="26" t="s">
        <v>836</v>
      </c>
      <c r="E29" s="26" t="s">
        <v>837</v>
      </c>
      <c r="F29" s="26" t="s">
        <v>838</v>
      </c>
      <c r="G29" s="26"/>
      <c r="H29" s="26" t="s">
        <v>708</v>
      </c>
      <c r="I29" s="26" t="s">
        <v>709</v>
      </c>
      <c r="J29" s="26" t="s">
        <v>839</v>
      </c>
      <c r="K29" s="26" t="s">
        <v>726</v>
      </c>
      <c r="L29" s="27" t="s">
        <v>840</v>
      </c>
    </row>
    <row r="30" customFormat="false" ht="60" hidden="false" customHeight="true" outlineLevel="0" collapsed="false">
      <c r="A30" s="26" t="s">
        <v>834</v>
      </c>
      <c r="B30" s="26" t="s">
        <v>841</v>
      </c>
      <c r="C30" s="26" t="s">
        <v>83</v>
      </c>
      <c r="D30" s="26" t="s">
        <v>842</v>
      </c>
      <c r="E30" s="26" t="s">
        <v>843</v>
      </c>
      <c r="F30" s="26"/>
      <c r="G30" s="26"/>
      <c r="H30" s="26" t="s">
        <v>708</v>
      </c>
      <c r="I30" s="26" t="s">
        <v>709</v>
      </c>
      <c r="J30" s="26" t="s">
        <v>844</v>
      </c>
      <c r="K30" s="26"/>
      <c r="L30" s="27" t="s">
        <v>845</v>
      </c>
    </row>
    <row r="31" customFormat="false" ht="60" hidden="false" customHeight="true" outlineLevel="0" collapsed="false">
      <c r="A31" s="26" t="s">
        <v>834</v>
      </c>
      <c r="B31" s="26" t="s">
        <v>846</v>
      </c>
      <c r="C31" s="26" t="s">
        <v>847</v>
      </c>
      <c r="D31" s="26" t="s">
        <v>848</v>
      </c>
      <c r="E31" s="26" t="s">
        <v>849</v>
      </c>
      <c r="F31" s="26"/>
      <c r="G31" s="26"/>
      <c r="H31" s="26" t="s">
        <v>743</v>
      </c>
      <c r="I31" s="26" t="s">
        <v>744</v>
      </c>
      <c r="J31" s="26" t="s">
        <v>850</v>
      </c>
      <c r="K31" s="26" t="s">
        <v>851</v>
      </c>
      <c r="L31" s="27" t="s">
        <v>852</v>
      </c>
    </row>
    <row r="32" customFormat="false" ht="60" hidden="false" customHeight="true" outlineLevel="0" collapsed="false">
      <c r="A32" s="26" t="s">
        <v>834</v>
      </c>
      <c r="B32" s="26" t="s">
        <v>853</v>
      </c>
      <c r="C32" s="26" t="s">
        <v>90</v>
      </c>
      <c r="D32" s="26" t="s">
        <v>854</v>
      </c>
      <c r="E32" s="26" t="s">
        <v>855</v>
      </c>
      <c r="F32" s="26"/>
      <c r="G32" s="26"/>
      <c r="H32" s="26" t="s">
        <v>856</v>
      </c>
      <c r="I32" s="26" t="s">
        <v>857</v>
      </c>
      <c r="J32" s="26" t="s">
        <v>858</v>
      </c>
      <c r="K32" s="26" t="s">
        <v>859</v>
      </c>
      <c r="L32" s="27" t="s">
        <v>860</v>
      </c>
    </row>
    <row r="33" customFormat="false" ht="60" hidden="false" customHeight="true" outlineLevel="0" collapsed="false">
      <c r="A33" s="26" t="s">
        <v>834</v>
      </c>
      <c r="B33" s="26" t="s">
        <v>861</v>
      </c>
      <c r="C33" s="26" t="s">
        <v>99</v>
      </c>
      <c r="D33" s="26" t="s">
        <v>862</v>
      </c>
      <c r="E33" s="26" t="s">
        <v>863</v>
      </c>
      <c r="F33" s="26"/>
      <c r="G33" s="26"/>
      <c r="H33" s="26" t="s">
        <v>708</v>
      </c>
      <c r="I33" s="26" t="s">
        <v>709</v>
      </c>
      <c r="J33" s="26" t="s">
        <v>864</v>
      </c>
      <c r="K33" s="26" t="s">
        <v>865</v>
      </c>
      <c r="L33" s="27" t="s">
        <v>866</v>
      </c>
    </row>
    <row r="34" customFormat="false" ht="15" hidden="false" customHeight="true" outlineLevel="0" collapsed="false">
      <c r="A34" s="11" t="s">
        <v>867</v>
      </c>
      <c r="B34" s="11"/>
      <c r="C34" s="11"/>
      <c r="D34" s="11"/>
      <c r="E34" s="11"/>
      <c r="F34" s="11"/>
      <c r="G34" s="11"/>
      <c r="H34" s="11"/>
      <c r="I34" s="11"/>
      <c r="J34" s="11"/>
      <c r="K34" s="11"/>
    </row>
    <row r="35" customFormat="false" ht="60" hidden="false" customHeight="true" outlineLevel="0" collapsed="false">
      <c r="A35" s="26" t="s">
        <v>868</v>
      </c>
      <c r="B35" s="26" t="s">
        <v>869</v>
      </c>
      <c r="C35" s="26" t="s">
        <v>37</v>
      </c>
      <c r="D35" s="26" t="s">
        <v>870</v>
      </c>
      <c r="E35" s="26" t="s">
        <v>871</v>
      </c>
      <c r="F35" s="26"/>
      <c r="G35" s="26"/>
      <c r="H35" s="26" t="s">
        <v>872</v>
      </c>
      <c r="I35" s="26" t="s">
        <v>873</v>
      </c>
      <c r="J35" s="26" t="s">
        <v>874</v>
      </c>
      <c r="K35" s="26" t="s">
        <v>875</v>
      </c>
      <c r="L35" s="27" t="s">
        <v>876</v>
      </c>
    </row>
    <row r="36" customFormat="false" ht="60" hidden="false" customHeight="true" outlineLevel="0" collapsed="false">
      <c r="A36" s="26" t="s">
        <v>868</v>
      </c>
      <c r="B36" s="26" t="s">
        <v>877</v>
      </c>
      <c r="C36" s="26" t="s">
        <v>47</v>
      </c>
      <c r="D36" s="26" t="s">
        <v>878</v>
      </c>
      <c r="E36" s="26" t="s">
        <v>879</v>
      </c>
      <c r="F36" s="26"/>
      <c r="G36" s="26"/>
      <c r="H36" s="26" t="s">
        <v>872</v>
      </c>
      <c r="I36" s="26" t="s">
        <v>873</v>
      </c>
      <c r="J36" s="26" t="s">
        <v>880</v>
      </c>
      <c r="K36" s="26" t="s">
        <v>881</v>
      </c>
      <c r="L36" s="27" t="s">
        <v>882</v>
      </c>
    </row>
    <row r="37" customFormat="false" ht="32.25" hidden="false" customHeight="true" outlineLevel="0" collapsed="false">
      <c r="A37" s="26" t="s">
        <v>868</v>
      </c>
      <c r="B37" s="26" t="s">
        <v>51</v>
      </c>
      <c r="C37" s="26" t="s">
        <v>51</v>
      </c>
      <c r="D37" s="26" t="s">
        <v>883</v>
      </c>
      <c r="E37" s="26" t="s">
        <v>884</v>
      </c>
      <c r="F37" s="26"/>
      <c r="G37" s="26"/>
      <c r="H37" s="26" t="s">
        <v>708</v>
      </c>
      <c r="I37" s="26" t="s">
        <v>709</v>
      </c>
      <c r="J37" s="26" t="s">
        <v>885</v>
      </c>
      <c r="K37" s="26" t="s">
        <v>886</v>
      </c>
    </row>
    <row r="38" customFormat="false" ht="60" hidden="false" customHeight="true" outlineLevel="0" collapsed="false">
      <c r="A38" s="26" t="s">
        <v>868</v>
      </c>
      <c r="B38" s="26" t="s">
        <v>55</v>
      </c>
      <c r="C38" s="26" t="s">
        <v>55</v>
      </c>
      <c r="D38" s="26" t="s">
        <v>887</v>
      </c>
      <c r="E38" s="26" t="s">
        <v>888</v>
      </c>
      <c r="F38" s="26"/>
      <c r="G38" s="26"/>
      <c r="H38" s="26" t="s">
        <v>708</v>
      </c>
      <c r="I38" s="26" t="s">
        <v>709</v>
      </c>
      <c r="J38" s="26" t="s">
        <v>889</v>
      </c>
      <c r="K38" s="26" t="s">
        <v>890</v>
      </c>
      <c r="L38" s="27" t="s">
        <v>891</v>
      </c>
    </row>
    <row r="39" customFormat="false" ht="60" hidden="false" customHeight="true" outlineLevel="0" collapsed="false">
      <c r="A39" s="26" t="s">
        <v>868</v>
      </c>
      <c r="B39" s="26" t="s">
        <v>892</v>
      </c>
      <c r="C39" s="26" t="s">
        <v>70</v>
      </c>
      <c r="D39" s="26" t="s">
        <v>893</v>
      </c>
      <c r="E39" s="26" t="s">
        <v>894</v>
      </c>
      <c r="F39" s="26"/>
      <c r="G39" s="26" t="s">
        <v>717</v>
      </c>
      <c r="H39" s="26" t="s">
        <v>872</v>
      </c>
      <c r="I39" s="26" t="s">
        <v>873</v>
      </c>
      <c r="J39" s="26" t="s">
        <v>895</v>
      </c>
      <c r="K39" s="26" t="s">
        <v>896</v>
      </c>
      <c r="L39" s="27" t="s">
        <v>897</v>
      </c>
    </row>
    <row r="40" customFormat="false" ht="15" hidden="false" customHeight="true" outlineLevel="0" collapsed="false">
      <c r="A40" s="26" t="s">
        <v>868</v>
      </c>
      <c r="B40" s="26" t="s">
        <v>898</v>
      </c>
      <c r="C40" s="26" t="s">
        <v>64</v>
      </c>
      <c r="D40" s="26" t="s">
        <v>899</v>
      </c>
      <c r="E40" s="26" t="s">
        <v>894</v>
      </c>
      <c r="F40" s="26"/>
      <c r="G40" s="26"/>
      <c r="H40" s="26" t="s">
        <v>872</v>
      </c>
      <c r="I40" s="26" t="s">
        <v>873</v>
      </c>
      <c r="J40" s="26" t="s">
        <v>900</v>
      </c>
      <c r="K40" s="26" t="s">
        <v>901</v>
      </c>
    </row>
    <row r="41" customFormat="false" ht="32.25" hidden="false" customHeight="true" outlineLevel="0" collapsed="false">
      <c r="A41" s="26" t="s">
        <v>868</v>
      </c>
      <c r="B41" s="26" t="s">
        <v>220</v>
      </c>
      <c r="C41" s="26" t="s">
        <v>220</v>
      </c>
      <c r="D41" s="26" t="s">
        <v>902</v>
      </c>
      <c r="E41" s="26" t="s">
        <v>903</v>
      </c>
      <c r="F41" s="26"/>
      <c r="G41" s="26"/>
      <c r="H41" s="26" t="s">
        <v>904</v>
      </c>
      <c r="I41" s="26" t="s">
        <v>709</v>
      </c>
      <c r="J41" s="26" t="s">
        <v>905</v>
      </c>
      <c r="K41" s="26"/>
    </row>
    <row r="42" customFormat="false" ht="60" hidden="false" customHeight="true" outlineLevel="0" collapsed="false">
      <c r="A42" s="26" t="s">
        <v>868</v>
      </c>
      <c r="B42" s="26" t="s">
        <v>906</v>
      </c>
      <c r="C42" s="26" t="s">
        <v>73</v>
      </c>
      <c r="D42" s="26" t="s">
        <v>907</v>
      </c>
      <c r="E42" s="26" t="s">
        <v>908</v>
      </c>
      <c r="F42" s="26"/>
      <c r="G42" s="26"/>
      <c r="H42" s="26" t="s">
        <v>909</v>
      </c>
      <c r="I42" s="26" t="s">
        <v>709</v>
      </c>
      <c r="J42" s="26" t="s">
        <v>910</v>
      </c>
      <c r="K42" s="26" t="s">
        <v>911</v>
      </c>
      <c r="L42" s="27" t="s">
        <v>912</v>
      </c>
    </row>
    <row r="43" customFormat="false" ht="60" hidden="false" customHeight="true" outlineLevel="0" collapsed="false">
      <c r="A43" s="26" t="s">
        <v>868</v>
      </c>
      <c r="B43" s="26" t="s">
        <v>913</v>
      </c>
      <c r="C43" s="26" t="s">
        <v>79</v>
      </c>
      <c r="D43" s="26" t="s">
        <v>914</v>
      </c>
      <c r="E43" s="26" t="s">
        <v>915</v>
      </c>
      <c r="F43" s="26"/>
      <c r="G43" s="26"/>
      <c r="H43" s="26" t="s">
        <v>743</v>
      </c>
      <c r="I43" s="26" t="s">
        <v>744</v>
      </c>
      <c r="J43" s="26" t="s">
        <v>916</v>
      </c>
      <c r="K43" s="26"/>
      <c r="L43" s="27" t="s">
        <v>917</v>
      </c>
    </row>
    <row r="44" customFormat="false" ht="21.75" hidden="false" customHeight="true" outlineLevel="0" collapsed="false">
      <c r="A44" s="26" t="s">
        <v>868</v>
      </c>
      <c r="B44" s="26" t="s">
        <v>918</v>
      </c>
      <c r="C44" s="26" t="s">
        <v>234</v>
      </c>
      <c r="D44" s="26" t="s">
        <v>919</v>
      </c>
      <c r="E44" s="26" t="s">
        <v>920</v>
      </c>
      <c r="F44" s="26"/>
      <c r="G44" s="26"/>
      <c r="H44" s="26" t="s">
        <v>921</v>
      </c>
      <c r="I44" s="26" t="s">
        <v>922</v>
      </c>
      <c r="J44" s="26" t="s">
        <v>923</v>
      </c>
      <c r="K44" s="26" t="s">
        <v>924</v>
      </c>
    </row>
    <row r="45" customFormat="false" ht="15" hidden="false" customHeight="true" outlineLevel="0" collapsed="false">
      <c r="A45" s="11" t="s">
        <v>925</v>
      </c>
      <c r="B45" s="11"/>
      <c r="C45" s="11"/>
      <c r="D45" s="11"/>
      <c r="E45" s="11"/>
      <c r="F45" s="11"/>
      <c r="G45" s="11"/>
      <c r="H45" s="11"/>
      <c r="I45" s="11"/>
      <c r="J45" s="11"/>
      <c r="K45" s="11"/>
    </row>
    <row r="46" customFormat="false" ht="60" hidden="false" customHeight="true" outlineLevel="0" collapsed="false">
      <c r="A46" s="26" t="s">
        <v>926</v>
      </c>
      <c r="B46" s="26" t="s">
        <v>927</v>
      </c>
      <c r="C46" s="26" t="s">
        <v>269</v>
      </c>
      <c r="D46" s="26" t="s">
        <v>928</v>
      </c>
      <c r="E46" s="26" t="s">
        <v>929</v>
      </c>
      <c r="F46" s="26"/>
      <c r="G46" s="26" t="s">
        <v>717</v>
      </c>
      <c r="H46" s="26" t="s">
        <v>708</v>
      </c>
      <c r="I46" s="26" t="s">
        <v>709</v>
      </c>
      <c r="J46" s="26" t="s">
        <v>930</v>
      </c>
      <c r="K46" s="26" t="s">
        <v>931</v>
      </c>
      <c r="L46" s="27" t="s">
        <v>932</v>
      </c>
    </row>
    <row r="47" customFormat="false" ht="60" hidden="false" customHeight="true" outlineLevel="0" collapsed="false">
      <c r="A47" s="26" t="s">
        <v>926</v>
      </c>
      <c r="B47" s="26" t="s">
        <v>933</v>
      </c>
      <c r="C47" s="26" t="s">
        <v>287</v>
      </c>
      <c r="D47" s="26" t="s">
        <v>934</v>
      </c>
      <c r="E47" s="26" t="s">
        <v>935</v>
      </c>
      <c r="F47" s="26"/>
      <c r="G47" s="26" t="s">
        <v>717</v>
      </c>
      <c r="H47" s="26" t="s">
        <v>708</v>
      </c>
      <c r="I47" s="26" t="s">
        <v>709</v>
      </c>
      <c r="J47" s="26" t="s">
        <v>770</v>
      </c>
      <c r="K47" s="26"/>
      <c r="L47" s="27" t="s">
        <v>772</v>
      </c>
    </row>
    <row r="48" customFormat="false" ht="60" hidden="false" customHeight="true" outlineLevel="0" collapsed="false">
      <c r="A48" s="26" t="s">
        <v>926</v>
      </c>
      <c r="B48" s="26" t="s">
        <v>674</v>
      </c>
      <c r="C48" s="26" t="s">
        <v>260</v>
      </c>
      <c r="D48" s="26" t="s">
        <v>936</v>
      </c>
      <c r="E48" s="26" t="s">
        <v>937</v>
      </c>
      <c r="F48" s="26"/>
      <c r="G48" s="26"/>
      <c r="H48" s="26" t="s">
        <v>708</v>
      </c>
      <c r="I48" s="26" t="s">
        <v>709</v>
      </c>
      <c r="J48" s="26" t="s">
        <v>938</v>
      </c>
      <c r="K48" s="26"/>
      <c r="L48" s="27" t="s">
        <v>939</v>
      </c>
    </row>
    <row r="49" customFormat="false" ht="39.75" hidden="false" customHeight="true" outlineLevel="0" collapsed="false">
      <c r="A49" s="28" t="s">
        <v>868</v>
      </c>
      <c r="B49" s="28" t="s">
        <v>64</v>
      </c>
      <c r="C49" s="28" t="s">
        <v>64</v>
      </c>
      <c r="D49" s="29" t="s">
        <v>940</v>
      </c>
      <c r="E49" s="29" t="s">
        <v>941</v>
      </c>
      <c r="F49" s="29"/>
      <c r="G49" s="29" t="s">
        <v>942</v>
      </c>
      <c r="H49" s="29" t="s">
        <v>943</v>
      </c>
      <c r="I49" s="29" t="s">
        <v>873</v>
      </c>
      <c r="J49" s="29" t="s">
        <v>900</v>
      </c>
      <c r="K49" s="29" t="s">
        <v>944</v>
      </c>
    </row>
    <row r="50" customFormat="false" ht="60" hidden="false" customHeight="true" outlineLevel="0" collapsed="false">
      <c r="A50" s="30" t="s">
        <v>868</v>
      </c>
      <c r="B50" s="30" t="s">
        <v>892</v>
      </c>
      <c r="C50" s="30" t="s">
        <v>70</v>
      </c>
      <c r="D50" s="31" t="s">
        <v>945</v>
      </c>
      <c r="E50" s="31" t="s">
        <v>946</v>
      </c>
      <c r="F50" s="31"/>
      <c r="G50" s="31" t="s">
        <v>942</v>
      </c>
      <c r="H50" s="31" t="s">
        <v>943</v>
      </c>
      <c r="I50" s="31" t="s">
        <v>873</v>
      </c>
      <c r="J50" s="31" t="s">
        <v>895</v>
      </c>
      <c r="K50" s="31" t="s">
        <v>947</v>
      </c>
      <c r="L50" s="27" t="s">
        <v>897</v>
      </c>
    </row>
    <row r="51" customFormat="false" ht="39.75" hidden="false" customHeight="true" outlineLevel="0" collapsed="false">
      <c r="A51" s="28" t="s">
        <v>868</v>
      </c>
      <c r="B51" s="28" t="s">
        <v>948</v>
      </c>
      <c r="C51" s="28" t="s">
        <v>73</v>
      </c>
      <c r="D51" s="29" t="s">
        <v>949</v>
      </c>
      <c r="E51" s="29" t="s">
        <v>950</v>
      </c>
      <c r="F51" s="29" t="s">
        <v>951</v>
      </c>
      <c r="G51" s="29" t="s">
        <v>952</v>
      </c>
      <c r="H51" s="29" t="s">
        <v>953</v>
      </c>
      <c r="I51" s="29" t="s">
        <v>922</v>
      </c>
      <c r="J51" s="29" t="s">
        <v>910</v>
      </c>
      <c r="K51" s="29" t="s">
        <v>954</v>
      </c>
    </row>
    <row r="52" customFormat="false" ht="39.75" hidden="false" customHeight="true" outlineLevel="0" collapsed="false">
      <c r="A52" s="30" t="s">
        <v>868</v>
      </c>
      <c r="B52" s="30" t="s">
        <v>918</v>
      </c>
      <c r="C52" s="30" t="s">
        <v>234</v>
      </c>
      <c r="D52" s="31" t="s">
        <v>955</v>
      </c>
      <c r="E52" s="31" t="s">
        <v>956</v>
      </c>
      <c r="F52" s="31" t="s">
        <v>951</v>
      </c>
      <c r="G52" s="31" t="s">
        <v>952</v>
      </c>
      <c r="H52" s="31" t="s">
        <v>953</v>
      </c>
      <c r="I52" s="31" t="s">
        <v>922</v>
      </c>
      <c r="J52" s="31" t="s">
        <v>923</v>
      </c>
      <c r="K52" s="31" t="s">
        <v>957</v>
      </c>
    </row>
    <row r="53" customFormat="false" ht="39.75" hidden="false" customHeight="true" outlineLevel="0" collapsed="false">
      <c r="A53" s="28" t="s">
        <v>868</v>
      </c>
      <c r="B53" s="28" t="s">
        <v>220</v>
      </c>
      <c r="C53" s="28" t="s">
        <v>220</v>
      </c>
      <c r="D53" s="29" t="s">
        <v>958</v>
      </c>
      <c r="E53" s="29" t="s">
        <v>959</v>
      </c>
      <c r="F53" s="29"/>
      <c r="G53" s="29" t="s">
        <v>960</v>
      </c>
      <c r="H53" s="29" t="s">
        <v>961</v>
      </c>
      <c r="I53" s="29" t="s">
        <v>709</v>
      </c>
      <c r="J53" s="29" t="s">
        <v>905</v>
      </c>
      <c r="K53" s="29" t="s">
        <v>962</v>
      </c>
    </row>
    <row r="54" customFormat="false" ht="39.75" hidden="false" customHeight="true" outlineLevel="0" collapsed="false">
      <c r="A54" s="30" t="s">
        <v>868</v>
      </c>
      <c r="B54" s="30" t="s">
        <v>963</v>
      </c>
      <c r="C54" s="30" t="s">
        <v>227</v>
      </c>
      <c r="D54" s="31" t="s">
        <v>964</v>
      </c>
      <c r="E54" s="31" t="s">
        <v>965</v>
      </c>
      <c r="F54" s="31" t="s">
        <v>966</v>
      </c>
      <c r="G54" s="31" t="s">
        <v>967</v>
      </c>
      <c r="H54" s="31" t="s">
        <v>743</v>
      </c>
      <c r="I54" s="31" t="s">
        <v>744</v>
      </c>
      <c r="J54" s="31" t="s">
        <v>968</v>
      </c>
      <c r="K54" s="31" t="s">
        <v>969</v>
      </c>
    </row>
    <row r="55" customFormat="false" ht="39.75" hidden="false" customHeight="true" outlineLevel="0" collapsed="false">
      <c r="A55" s="28" t="s">
        <v>834</v>
      </c>
      <c r="B55" s="28" t="s">
        <v>970</v>
      </c>
      <c r="C55" s="28" t="s">
        <v>187</v>
      </c>
      <c r="D55" s="29" t="s">
        <v>971</v>
      </c>
      <c r="E55" s="29" t="s">
        <v>972</v>
      </c>
      <c r="F55" s="29"/>
      <c r="G55" s="29" t="s">
        <v>973</v>
      </c>
      <c r="H55" s="29" t="s">
        <v>974</v>
      </c>
      <c r="I55" s="29" t="s">
        <v>709</v>
      </c>
      <c r="J55" s="29" t="s">
        <v>975</v>
      </c>
      <c r="K55" s="29" t="s">
        <v>976</v>
      </c>
    </row>
    <row r="56" customFormat="false" ht="39.75" hidden="false" customHeight="true" outlineLevel="0" collapsed="false">
      <c r="A56" s="30" t="s">
        <v>834</v>
      </c>
      <c r="B56" s="30" t="s">
        <v>977</v>
      </c>
      <c r="C56" s="30" t="s">
        <v>195</v>
      </c>
      <c r="D56" s="31" t="s">
        <v>978</v>
      </c>
      <c r="E56" s="31" t="s">
        <v>979</v>
      </c>
      <c r="F56" s="31"/>
      <c r="G56" s="31" t="s">
        <v>980</v>
      </c>
      <c r="H56" s="31" t="s">
        <v>974</v>
      </c>
      <c r="I56" s="31" t="s">
        <v>709</v>
      </c>
      <c r="J56" s="31" t="s">
        <v>981</v>
      </c>
      <c r="K56" s="31" t="s">
        <v>982</v>
      </c>
    </row>
    <row r="57" customFormat="false" ht="39.75" hidden="false" customHeight="true" outlineLevel="0" collapsed="false">
      <c r="A57" s="28" t="s">
        <v>983</v>
      </c>
      <c r="B57" s="28" t="s">
        <v>984</v>
      </c>
      <c r="C57" s="28" t="s">
        <v>253</v>
      </c>
      <c r="D57" s="29" t="s">
        <v>985</v>
      </c>
      <c r="E57" s="29" t="s">
        <v>986</v>
      </c>
      <c r="F57" s="29"/>
      <c r="G57" s="29" t="s">
        <v>987</v>
      </c>
      <c r="H57" s="29" t="s">
        <v>974</v>
      </c>
      <c r="I57" s="29" t="s">
        <v>709</v>
      </c>
      <c r="J57" s="29" t="s">
        <v>988</v>
      </c>
      <c r="K57" s="29" t="s">
        <v>989</v>
      </c>
    </row>
    <row r="58" customFormat="false" ht="39.75" hidden="false" customHeight="true" outlineLevel="0" collapsed="false">
      <c r="A58" s="30" t="s">
        <v>926</v>
      </c>
      <c r="B58" s="30" t="s">
        <v>990</v>
      </c>
      <c r="C58" s="30" t="s">
        <v>253</v>
      </c>
      <c r="D58" s="31" t="s">
        <v>991</v>
      </c>
      <c r="E58" s="31" t="s">
        <v>986</v>
      </c>
      <c r="F58" s="31"/>
      <c r="G58" s="31" t="s">
        <v>992</v>
      </c>
      <c r="H58" s="31" t="s">
        <v>974</v>
      </c>
      <c r="I58" s="31" t="s">
        <v>709</v>
      </c>
      <c r="J58" s="31" t="s">
        <v>993</v>
      </c>
      <c r="K58" s="31" t="s">
        <v>994</v>
      </c>
    </row>
    <row r="59" customFormat="false" ht="39.75" hidden="false" customHeight="true" outlineLevel="0" collapsed="false">
      <c r="A59" s="28" t="s">
        <v>926</v>
      </c>
      <c r="B59" s="28" t="s">
        <v>995</v>
      </c>
      <c r="C59" s="28" t="s">
        <v>279</v>
      </c>
      <c r="D59" s="29" t="s">
        <v>996</v>
      </c>
      <c r="E59" s="29" t="s">
        <v>997</v>
      </c>
      <c r="F59" s="29"/>
      <c r="G59" s="29" t="s">
        <v>998</v>
      </c>
      <c r="H59" s="29" t="s">
        <v>974</v>
      </c>
      <c r="I59" s="29" t="s">
        <v>709</v>
      </c>
      <c r="J59" s="29" t="s">
        <v>999</v>
      </c>
      <c r="K59" s="29" t="s">
        <v>1000</v>
      </c>
    </row>
    <row r="60" customFormat="false" ht="49.5" hidden="false" customHeight="true" outlineLevel="0" collapsed="false">
      <c r="A60" s="32" t="s">
        <v>868</v>
      </c>
      <c r="B60" s="32" t="s">
        <v>1001</v>
      </c>
      <c r="C60" s="32" t="s">
        <v>37</v>
      </c>
      <c r="D60" s="33" t="s">
        <v>1002</v>
      </c>
      <c r="E60" s="33" t="s">
        <v>1003</v>
      </c>
      <c r="F60" s="33"/>
      <c r="G60" s="33" t="s">
        <v>1004</v>
      </c>
      <c r="H60" s="33" t="s">
        <v>943</v>
      </c>
      <c r="I60" s="33" t="s">
        <v>873</v>
      </c>
      <c r="J60" s="33" t="s">
        <v>1005</v>
      </c>
      <c r="K60" s="33" t="s">
        <v>1006</v>
      </c>
      <c r="L60" s="27" t="s">
        <v>1007</v>
      </c>
    </row>
    <row r="61" customFormat="false" ht="49.5" hidden="false" customHeight="true" outlineLevel="0" collapsed="false">
      <c r="A61" s="34" t="s">
        <v>834</v>
      </c>
      <c r="B61" s="34" t="s">
        <v>1008</v>
      </c>
      <c r="C61" s="34" t="s">
        <v>83</v>
      </c>
      <c r="D61" s="35" t="s">
        <v>1009</v>
      </c>
      <c r="E61" s="35" t="s">
        <v>1010</v>
      </c>
      <c r="F61" s="35"/>
      <c r="G61" s="35" t="s">
        <v>942</v>
      </c>
      <c r="H61" s="35" t="s">
        <v>974</v>
      </c>
      <c r="I61" s="35" t="s">
        <v>709</v>
      </c>
      <c r="J61" s="35" t="s">
        <v>1011</v>
      </c>
      <c r="K61" s="35" t="s">
        <v>1012</v>
      </c>
      <c r="L61" s="27" t="s">
        <v>1013</v>
      </c>
    </row>
  </sheetData>
  <mergeCells count="8">
    <mergeCell ref="A1:K1"/>
    <mergeCell ref="A2:K2"/>
    <mergeCell ref="A5:K5"/>
    <mergeCell ref="A16:K16"/>
    <mergeCell ref="A23:K23"/>
    <mergeCell ref="A28:K28"/>
    <mergeCell ref="A34:K34"/>
    <mergeCell ref="A45:K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B6B"/>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8"/>
    <col collapsed="false" customWidth="true" hidden="false" outlineLevel="0" max="3" min="3" style="1" width="12"/>
    <col collapsed="false" customWidth="true" hidden="false" outlineLevel="0" max="4" min="4" style="1" width="14"/>
    <col collapsed="false" customWidth="true" hidden="false" outlineLevel="0" max="5" min="5" style="1" width="8"/>
    <col collapsed="false" customWidth="true" hidden="false" outlineLevel="0" max="6" min="6" style="1" width="35"/>
    <col collapsed="false" customWidth="true" hidden="false" outlineLevel="0" max="7" min="7" style="1" width="40"/>
    <col collapsed="false" customWidth="true" hidden="false" outlineLevel="0" max="9" min="8" style="1" width="12"/>
  </cols>
  <sheetData>
    <row r="1" customFormat="false" ht="15" hidden="false" customHeight="true" outlineLevel="0" collapsed="false">
      <c r="A1" s="9" t="s">
        <v>1014</v>
      </c>
      <c r="B1" s="9"/>
      <c r="C1" s="9"/>
      <c r="D1" s="9"/>
      <c r="E1" s="9"/>
      <c r="F1" s="9"/>
      <c r="G1" s="9"/>
      <c r="H1" s="9"/>
      <c r="I1" s="9"/>
    </row>
    <row r="3" customFormat="false" ht="15" hidden="false" customHeight="true" outlineLevel="0" collapsed="false">
      <c r="A3" s="10" t="s">
        <v>545</v>
      </c>
      <c r="B3" s="10" t="s">
        <v>1015</v>
      </c>
      <c r="C3" s="10" t="s">
        <v>1016</v>
      </c>
      <c r="D3" s="10" t="s">
        <v>22</v>
      </c>
      <c r="E3" s="10" t="s">
        <v>1017</v>
      </c>
      <c r="F3" s="10" t="s">
        <v>323</v>
      </c>
      <c r="G3" s="10" t="s">
        <v>1018</v>
      </c>
      <c r="H3" s="10" t="s">
        <v>1019</v>
      </c>
      <c r="I3" s="10" t="s">
        <v>34</v>
      </c>
    </row>
    <row r="4" customFormat="false" ht="15" hidden="false" customHeight="true" outlineLevel="0" collapsed="false">
      <c r="A4" s="11" t="s">
        <v>1020</v>
      </c>
      <c r="B4" s="11"/>
      <c r="C4" s="11"/>
      <c r="D4" s="11"/>
      <c r="E4" s="11"/>
      <c r="F4" s="11"/>
      <c r="G4" s="11"/>
      <c r="H4" s="11"/>
      <c r="I4" s="11"/>
    </row>
    <row r="5" customFormat="false" ht="15" hidden="false" customHeight="true" outlineLevel="0" collapsed="false">
      <c r="A5" s="15" t="s">
        <v>1021</v>
      </c>
      <c r="B5" s="15" t="s">
        <v>1022</v>
      </c>
      <c r="C5" s="15" t="s">
        <v>1023</v>
      </c>
      <c r="D5" s="15" t="s">
        <v>254</v>
      </c>
      <c r="E5" s="15" t="s">
        <v>1015</v>
      </c>
      <c r="F5" s="15" t="s">
        <v>559</v>
      </c>
      <c r="G5" s="15" t="s">
        <v>1024</v>
      </c>
      <c r="H5" s="15" t="s">
        <v>1025</v>
      </c>
      <c r="I5" s="15" t="s">
        <v>45</v>
      </c>
    </row>
    <row r="6" customFormat="false" ht="15" hidden="false" customHeight="true" outlineLevel="0" collapsed="false">
      <c r="A6" s="15" t="s">
        <v>1026</v>
      </c>
      <c r="B6" s="15" t="s">
        <v>1022</v>
      </c>
      <c r="C6" s="15" t="s">
        <v>1023</v>
      </c>
      <c r="D6" s="15" t="s">
        <v>254</v>
      </c>
      <c r="E6" s="15" t="s">
        <v>1015</v>
      </c>
      <c r="F6" s="15" t="s">
        <v>559</v>
      </c>
      <c r="G6" s="15" t="s">
        <v>1027</v>
      </c>
      <c r="H6" s="15" t="s">
        <v>1025</v>
      </c>
      <c r="I6" s="15" t="s">
        <v>45</v>
      </c>
    </row>
    <row r="7" customFormat="false" ht="15" hidden="false" customHeight="true" outlineLevel="0" collapsed="false">
      <c r="A7" s="15" t="s">
        <v>1028</v>
      </c>
      <c r="B7" s="15" t="s">
        <v>1022</v>
      </c>
      <c r="C7" s="15" t="s">
        <v>1023</v>
      </c>
      <c r="D7" s="15" t="s">
        <v>254</v>
      </c>
      <c r="E7" s="15" t="s">
        <v>1015</v>
      </c>
      <c r="F7" s="15" t="s">
        <v>559</v>
      </c>
      <c r="G7" s="15" t="s">
        <v>1029</v>
      </c>
      <c r="H7" s="15" t="s">
        <v>1025</v>
      </c>
      <c r="I7" s="15" t="s">
        <v>45</v>
      </c>
    </row>
    <row r="8" customFormat="false" ht="15" hidden="false" customHeight="true" outlineLevel="0" collapsed="false">
      <c r="A8" s="11" t="s">
        <v>1030</v>
      </c>
      <c r="B8" s="11"/>
      <c r="C8" s="11"/>
      <c r="D8" s="11"/>
      <c r="E8" s="11"/>
      <c r="F8" s="11"/>
      <c r="G8" s="11"/>
      <c r="H8" s="11"/>
      <c r="I8" s="11"/>
    </row>
    <row r="9" customFormat="false" ht="15" hidden="false" customHeight="true" outlineLevel="0" collapsed="false">
      <c r="A9" s="15" t="s">
        <v>149</v>
      </c>
      <c r="B9" s="15" t="s">
        <v>1031</v>
      </c>
      <c r="C9" s="15" t="s">
        <v>1032</v>
      </c>
      <c r="D9" s="15" t="s">
        <v>1033</v>
      </c>
      <c r="E9" s="15" t="s">
        <v>1015</v>
      </c>
      <c r="F9" s="15" t="s">
        <v>145</v>
      </c>
      <c r="G9" s="15" t="s">
        <v>1034</v>
      </c>
      <c r="H9" s="15" t="s">
        <v>1025</v>
      </c>
      <c r="I9" s="15" t="s">
        <v>45</v>
      </c>
    </row>
    <row r="10" customFormat="false" ht="15" hidden="false" customHeight="true" outlineLevel="0" collapsed="false">
      <c r="A10" s="15" t="s">
        <v>156</v>
      </c>
      <c r="B10" s="15" t="s">
        <v>1031</v>
      </c>
      <c r="C10" s="15" t="s">
        <v>1032</v>
      </c>
      <c r="D10" s="15" t="s">
        <v>1033</v>
      </c>
      <c r="E10" s="15" t="s">
        <v>1015</v>
      </c>
      <c r="F10" s="15" t="s">
        <v>154</v>
      </c>
      <c r="G10" s="15" t="s">
        <v>1035</v>
      </c>
      <c r="H10" s="15" t="s">
        <v>1025</v>
      </c>
      <c r="I10" s="15" t="s">
        <v>45</v>
      </c>
    </row>
    <row r="11" customFormat="false" ht="15" hidden="false" customHeight="true" outlineLevel="0" collapsed="false">
      <c r="A11" s="15" t="s">
        <v>204</v>
      </c>
      <c r="B11" s="15" t="s">
        <v>1031</v>
      </c>
      <c r="C11" s="15" t="s">
        <v>1032</v>
      </c>
      <c r="D11" s="15" t="s">
        <v>1033</v>
      </c>
      <c r="E11" s="15" t="s">
        <v>1015</v>
      </c>
      <c r="F11" s="15" t="s">
        <v>202</v>
      </c>
      <c r="G11" s="15" t="s">
        <v>1036</v>
      </c>
      <c r="H11" s="15" t="s">
        <v>1025</v>
      </c>
      <c r="I11" s="15" t="s">
        <v>68</v>
      </c>
    </row>
    <row r="12" customFormat="false" ht="15" hidden="false" customHeight="true" outlineLevel="0" collapsed="false">
      <c r="A12" s="15" t="s">
        <v>163</v>
      </c>
      <c r="B12" s="15" t="s">
        <v>1031</v>
      </c>
      <c r="C12" s="15" t="s">
        <v>1037</v>
      </c>
      <c r="D12" s="15" t="s">
        <v>358</v>
      </c>
      <c r="E12" s="15" t="s">
        <v>1015</v>
      </c>
      <c r="F12" s="15" t="s">
        <v>618</v>
      </c>
      <c r="G12" s="15" t="s">
        <v>1038</v>
      </c>
      <c r="H12" s="15" t="s">
        <v>1025</v>
      </c>
      <c r="I12" s="15" t="s">
        <v>68</v>
      </c>
    </row>
    <row r="13" customFormat="false" ht="15" hidden="false" customHeight="true" outlineLevel="0" collapsed="false">
      <c r="A13" s="15" t="s">
        <v>177</v>
      </c>
      <c r="B13" s="15" t="s">
        <v>1031</v>
      </c>
      <c r="C13" s="15" t="s">
        <v>1037</v>
      </c>
      <c r="D13" s="15" t="s">
        <v>358</v>
      </c>
      <c r="E13" s="15" t="s">
        <v>1015</v>
      </c>
      <c r="F13" s="15" t="s">
        <v>623</v>
      </c>
      <c r="G13" s="15" t="s">
        <v>1039</v>
      </c>
      <c r="H13" s="15" t="s">
        <v>1025</v>
      </c>
      <c r="I13" s="15" t="s">
        <v>68</v>
      </c>
    </row>
    <row r="14" customFormat="false" ht="15" hidden="false" customHeight="true" outlineLevel="0" collapsed="false">
      <c r="A14" s="15" t="s">
        <v>190</v>
      </c>
      <c r="B14" s="15" t="s">
        <v>1031</v>
      </c>
      <c r="C14" s="15" t="s">
        <v>1040</v>
      </c>
      <c r="D14" s="15" t="s">
        <v>84</v>
      </c>
      <c r="E14" s="15" t="s">
        <v>1015</v>
      </c>
      <c r="F14" s="15" t="s">
        <v>187</v>
      </c>
      <c r="G14" s="15" t="s">
        <v>1041</v>
      </c>
      <c r="H14" s="15" t="s">
        <v>1025</v>
      </c>
      <c r="I14" s="15" t="s">
        <v>68</v>
      </c>
    </row>
    <row r="15" customFormat="false" ht="15" hidden="false" customHeight="true" outlineLevel="0" collapsed="false">
      <c r="A15" s="15" t="s">
        <v>198</v>
      </c>
      <c r="B15" s="15" t="s">
        <v>1031</v>
      </c>
      <c r="C15" s="15" t="s">
        <v>1040</v>
      </c>
      <c r="D15" s="15" t="s">
        <v>84</v>
      </c>
      <c r="E15" s="15" t="s">
        <v>1015</v>
      </c>
      <c r="F15" s="15" t="s">
        <v>195</v>
      </c>
      <c r="G15" s="15" t="s">
        <v>1042</v>
      </c>
      <c r="H15" s="15" t="s">
        <v>1025</v>
      </c>
      <c r="I15" s="15" t="s">
        <v>68</v>
      </c>
    </row>
    <row r="16" customFormat="false" ht="21.75" hidden="false" customHeight="true" outlineLevel="0" collapsed="false">
      <c r="A16" s="15" t="s">
        <v>211</v>
      </c>
      <c r="B16" s="15" t="s">
        <v>1031</v>
      </c>
      <c r="C16" s="15" t="s">
        <v>1043</v>
      </c>
      <c r="D16" s="15" t="s">
        <v>1044</v>
      </c>
      <c r="E16" s="15" t="s">
        <v>1015</v>
      </c>
      <c r="F16" s="15" t="s">
        <v>1045</v>
      </c>
      <c r="G16" s="15" t="s">
        <v>1046</v>
      </c>
      <c r="H16" s="15" t="s">
        <v>1025</v>
      </c>
      <c r="I16" s="15" t="s">
        <v>68</v>
      </c>
    </row>
    <row r="17" customFormat="false" ht="21.75" hidden="false" customHeight="true" outlineLevel="0" collapsed="false">
      <c r="A17" s="15" t="s">
        <v>222</v>
      </c>
      <c r="B17" s="15" t="s">
        <v>1031</v>
      </c>
      <c r="C17" s="15" t="s">
        <v>1043</v>
      </c>
      <c r="D17" s="15" t="s">
        <v>1044</v>
      </c>
      <c r="E17" s="15" t="s">
        <v>1015</v>
      </c>
      <c r="F17" s="15" t="s">
        <v>220</v>
      </c>
      <c r="G17" s="15" t="s">
        <v>1047</v>
      </c>
      <c r="H17" s="15" t="s">
        <v>1025</v>
      </c>
      <c r="I17" s="15" t="s">
        <v>68</v>
      </c>
    </row>
    <row r="18" customFormat="false" ht="21.75" hidden="false" customHeight="true" outlineLevel="0" collapsed="false">
      <c r="A18" s="15" t="s">
        <v>229</v>
      </c>
      <c r="B18" s="15" t="s">
        <v>1031</v>
      </c>
      <c r="C18" s="15" t="s">
        <v>1043</v>
      </c>
      <c r="D18" s="15" t="s">
        <v>1044</v>
      </c>
      <c r="E18" s="15" t="s">
        <v>1015</v>
      </c>
      <c r="F18" s="15" t="s">
        <v>227</v>
      </c>
      <c r="G18" s="15" t="s">
        <v>1048</v>
      </c>
      <c r="H18" s="15" t="s">
        <v>1025</v>
      </c>
      <c r="I18" s="15" t="s">
        <v>68</v>
      </c>
    </row>
    <row r="19" customFormat="false" ht="21.75" hidden="false" customHeight="true" outlineLevel="0" collapsed="false">
      <c r="A19" s="15" t="s">
        <v>236</v>
      </c>
      <c r="B19" s="15" t="s">
        <v>1031</v>
      </c>
      <c r="C19" s="15" t="s">
        <v>1049</v>
      </c>
      <c r="D19" s="15" t="s">
        <v>1044</v>
      </c>
      <c r="E19" s="15" t="s">
        <v>1015</v>
      </c>
      <c r="F19" s="15" t="s">
        <v>234</v>
      </c>
      <c r="G19" s="15" t="s">
        <v>1050</v>
      </c>
      <c r="H19" s="15" t="s">
        <v>1025</v>
      </c>
      <c r="I19" s="15" t="s">
        <v>68</v>
      </c>
    </row>
    <row r="20" customFormat="false" ht="21.75" hidden="false" customHeight="true" outlineLevel="0" collapsed="false">
      <c r="A20" s="15" t="s">
        <v>242</v>
      </c>
      <c r="B20" s="15" t="s">
        <v>1031</v>
      </c>
      <c r="C20" s="15" t="s">
        <v>1043</v>
      </c>
      <c r="D20" s="15" t="s">
        <v>1044</v>
      </c>
      <c r="E20" s="15" t="s">
        <v>1015</v>
      </c>
      <c r="F20" s="15" t="s">
        <v>240</v>
      </c>
      <c r="G20" s="15" t="s">
        <v>1051</v>
      </c>
      <c r="H20" s="15" t="s">
        <v>1025</v>
      </c>
      <c r="I20" s="15" t="s">
        <v>172</v>
      </c>
    </row>
    <row r="21" customFormat="false" ht="21.75" hidden="false" customHeight="true" outlineLevel="0" collapsed="false">
      <c r="A21" s="15" t="s">
        <v>248</v>
      </c>
      <c r="B21" s="15" t="s">
        <v>1031</v>
      </c>
      <c r="C21" s="15" t="s">
        <v>1043</v>
      </c>
      <c r="D21" s="15" t="s">
        <v>1044</v>
      </c>
      <c r="E21" s="15" t="s">
        <v>1015</v>
      </c>
      <c r="F21" s="15" t="s">
        <v>246</v>
      </c>
      <c r="G21" s="15" t="s">
        <v>1052</v>
      </c>
      <c r="H21" s="15" t="s">
        <v>1025</v>
      </c>
      <c r="I21" s="15" t="s">
        <v>172</v>
      </c>
    </row>
    <row r="22" customFormat="false" ht="15" hidden="false" customHeight="true" outlineLevel="0" collapsed="false">
      <c r="A22" s="15" t="s">
        <v>255</v>
      </c>
      <c r="B22" s="15" t="s">
        <v>1031</v>
      </c>
      <c r="C22" s="15" t="s">
        <v>1053</v>
      </c>
      <c r="D22" s="15" t="s">
        <v>254</v>
      </c>
      <c r="E22" s="15" t="s">
        <v>1015</v>
      </c>
      <c r="F22" s="15" t="s">
        <v>253</v>
      </c>
      <c r="G22" s="15" t="s">
        <v>1054</v>
      </c>
      <c r="H22" s="15" t="s">
        <v>1025</v>
      </c>
      <c r="I22" s="15" t="s">
        <v>172</v>
      </c>
    </row>
    <row r="23" customFormat="false" ht="15" hidden="false" customHeight="true" outlineLevel="0" collapsed="false">
      <c r="A23" s="15" t="s">
        <v>264</v>
      </c>
      <c r="B23" s="15" t="s">
        <v>1031</v>
      </c>
      <c r="C23" s="15" t="s">
        <v>1055</v>
      </c>
      <c r="D23" s="15" t="s">
        <v>358</v>
      </c>
      <c r="E23" s="15" t="s">
        <v>1015</v>
      </c>
      <c r="F23" s="15" t="s">
        <v>260</v>
      </c>
      <c r="G23" s="15" t="s">
        <v>1056</v>
      </c>
      <c r="H23" s="15" t="s">
        <v>1025</v>
      </c>
      <c r="I23" s="15" t="s">
        <v>68</v>
      </c>
    </row>
    <row r="24" customFormat="false" ht="15" hidden="false" customHeight="true" outlineLevel="0" collapsed="false">
      <c r="A24" s="15" t="s">
        <v>272</v>
      </c>
      <c r="B24" s="15" t="s">
        <v>1031</v>
      </c>
      <c r="C24" s="15" t="s">
        <v>1057</v>
      </c>
      <c r="D24" s="15" t="s">
        <v>358</v>
      </c>
      <c r="E24" s="15" t="s">
        <v>1015</v>
      </c>
      <c r="F24" s="15" t="s">
        <v>676</v>
      </c>
      <c r="G24" s="15" t="s">
        <v>1058</v>
      </c>
      <c r="H24" s="15" t="s">
        <v>1025</v>
      </c>
      <c r="I24" s="15" t="s">
        <v>172</v>
      </c>
    </row>
    <row r="25" customFormat="false" ht="15" hidden="false" customHeight="true" outlineLevel="0" collapsed="false">
      <c r="A25" s="15" t="s">
        <v>282</v>
      </c>
      <c r="B25" s="15" t="s">
        <v>1031</v>
      </c>
      <c r="C25" s="15" t="s">
        <v>1059</v>
      </c>
      <c r="D25" s="15" t="s">
        <v>358</v>
      </c>
      <c r="E25" s="15" t="s">
        <v>1015</v>
      </c>
      <c r="F25" s="15" t="s">
        <v>279</v>
      </c>
      <c r="G25" s="15" t="s">
        <v>1060</v>
      </c>
      <c r="H25" s="15" t="s">
        <v>1025</v>
      </c>
      <c r="I25" s="15" t="s">
        <v>285</v>
      </c>
    </row>
    <row r="26" customFormat="false" ht="15" hidden="false" customHeight="true" outlineLevel="0" collapsed="false">
      <c r="A26" s="15" t="s">
        <v>290</v>
      </c>
      <c r="B26" s="15" t="s">
        <v>1031</v>
      </c>
      <c r="C26" s="15" t="s">
        <v>1061</v>
      </c>
      <c r="D26" s="15" t="s">
        <v>358</v>
      </c>
      <c r="E26" s="15" t="s">
        <v>1015</v>
      </c>
      <c r="F26" s="15" t="s">
        <v>287</v>
      </c>
      <c r="G26" s="15" t="s">
        <v>1062</v>
      </c>
      <c r="H26" s="15" t="s">
        <v>1025</v>
      </c>
      <c r="I26" s="15" t="s">
        <v>172</v>
      </c>
    </row>
    <row r="27" customFormat="false" ht="15" hidden="false" customHeight="true" outlineLevel="0" collapsed="false">
      <c r="A27" s="36" t="s">
        <v>1063</v>
      </c>
      <c r="B27" s="36"/>
      <c r="C27" s="36"/>
      <c r="D27" s="36"/>
      <c r="E27" s="36"/>
      <c r="F27" s="36"/>
      <c r="G27" s="36"/>
      <c r="H27" s="36"/>
      <c r="I27" s="36"/>
    </row>
    <row r="28" customFormat="false" ht="15" hidden="false" customHeight="true" outlineLevel="0" collapsed="false">
      <c r="A28" s="37" t="s">
        <v>1064</v>
      </c>
      <c r="B28" s="37" t="s">
        <v>1031</v>
      </c>
      <c r="C28" s="37" t="s">
        <v>1065</v>
      </c>
      <c r="D28" s="37" t="s">
        <v>254</v>
      </c>
      <c r="E28" s="37" t="s">
        <v>1015</v>
      </c>
      <c r="F28" s="37" t="s">
        <v>1066</v>
      </c>
      <c r="G28" s="37" t="s">
        <v>1067</v>
      </c>
      <c r="H28" s="37" t="s">
        <v>1025</v>
      </c>
      <c r="I28" s="37" t="s">
        <v>68</v>
      </c>
    </row>
    <row r="29" customFormat="false" ht="15" hidden="false" customHeight="true" outlineLevel="0" collapsed="false">
      <c r="A29" s="38" t="s">
        <v>1068</v>
      </c>
      <c r="B29" s="38" t="s">
        <v>1031</v>
      </c>
      <c r="C29" s="38" t="s">
        <v>1069</v>
      </c>
      <c r="D29" s="38" t="s">
        <v>254</v>
      </c>
      <c r="E29" s="38" t="s">
        <v>1015</v>
      </c>
      <c r="F29" s="38" t="s">
        <v>1066</v>
      </c>
      <c r="G29" s="38" t="s">
        <v>1070</v>
      </c>
      <c r="H29" s="38" t="s">
        <v>1025</v>
      </c>
      <c r="I29" s="38" t="s">
        <v>68</v>
      </c>
    </row>
    <row r="30" customFormat="false" ht="15" hidden="false" customHeight="true" outlineLevel="0" collapsed="false">
      <c r="A30" s="37" t="s">
        <v>1071</v>
      </c>
      <c r="B30" s="37" t="s">
        <v>1031</v>
      </c>
      <c r="C30" s="37" t="s">
        <v>1072</v>
      </c>
      <c r="D30" s="37" t="s">
        <v>1073</v>
      </c>
      <c r="E30" s="37" t="s">
        <v>1015</v>
      </c>
      <c r="F30" s="37" t="s">
        <v>1074</v>
      </c>
      <c r="G30" s="37" t="s">
        <v>1075</v>
      </c>
      <c r="H30" s="37" t="s">
        <v>1025</v>
      </c>
      <c r="I30" s="37" t="s">
        <v>68</v>
      </c>
    </row>
    <row r="31" customFormat="false" ht="15" hidden="false" customHeight="true" outlineLevel="0" collapsed="false">
      <c r="A31" s="38" t="s">
        <v>1076</v>
      </c>
      <c r="B31" s="38" t="s">
        <v>1031</v>
      </c>
      <c r="C31" s="38" t="s">
        <v>1032</v>
      </c>
      <c r="D31" s="38" t="s">
        <v>1033</v>
      </c>
      <c r="E31" s="38" t="s">
        <v>1015</v>
      </c>
      <c r="F31" s="38" t="s">
        <v>1077</v>
      </c>
      <c r="G31" s="38" t="s">
        <v>1078</v>
      </c>
      <c r="H31" s="38" t="s">
        <v>1025</v>
      </c>
      <c r="I31" s="38" t="s">
        <v>68</v>
      </c>
    </row>
    <row r="32" customFormat="false" ht="15" hidden="false" customHeight="true" outlineLevel="0" collapsed="false">
      <c r="A32" s="37" t="s">
        <v>1079</v>
      </c>
      <c r="B32" s="37" t="s">
        <v>1031</v>
      </c>
      <c r="C32" s="37" t="s">
        <v>1037</v>
      </c>
      <c r="D32" s="37" t="s">
        <v>358</v>
      </c>
      <c r="E32" s="37" t="s">
        <v>1015</v>
      </c>
      <c r="F32" s="37" t="s">
        <v>1080</v>
      </c>
      <c r="G32" s="37" t="s">
        <v>1081</v>
      </c>
      <c r="H32" s="37" t="s">
        <v>1025</v>
      </c>
      <c r="I32" s="37" t="s">
        <v>68</v>
      </c>
    </row>
    <row r="33" customFormat="false" ht="15" hidden="false" customHeight="true" outlineLevel="0" collapsed="false">
      <c r="A33" s="11" t="s">
        <v>1082</v>
      </c>
      <c r="B33" s="39"/>
      <c r="C33" s="39"/>
      <c r="D33" s="39"/>
      <c r="E33" s="39"/>
      <c r="F33" s="39"/>
      <c r="G33" s="39"/>
      <c r="H33" s="39"/>
      <c r="I33" s="40"/>
    </row>
    <row r="34" customFormat="false" ht="15" hidden="false" customHeight="true" outlineLevel="0" collapsed="false">
      <c r="A34" s="15" t="s">
        <v>1083</v>
      </c>
      <c r="B34" s="15" t="s">
        <v>1022</v>
      </c>
      <c r="C34" s="15" t="s">
        <v>1023</v>
      </c>
      <c r="D34" s="15" t="s">
        <v>254</v>
      </c>
      <c r="E34" s="15" t="s">
        <v>1015</v>
      </c>
      <c r="F34" s="15" t="s">
        <v>559</v>
      </c>
      <c r="G34" s="15" t="s">
        <v>1084</v>
      </c>
      <c r="H34" s="15" t="s">
        <v>1025</v>
      </c>
      <c r="I34" s="15" t="s">
        <v>45</v>
      </c>
    </row>
    <row r="35" customFormat="false" ht="15" hidden="false" customHeight="true" outlineLevel="0" collapsed="false">
      <c r="A35" s="15" t="s">
        <v>1085</v>
      </c>
      <c r="B35" s="15" t="s">
        <v>1031</v>
      </c>
      <c r="C35" s="15" t="s">
        <v>1023</v>
      </c>
      <c r="D35" s="15" t="s">
        <v>254</v>
      </c>
      <c r="E35" s="15" t="s">
        <v>1015</v>
      </c>
      <c r="F35" s="15" t="s">
        <v>304</v>
      </c>
      <c r="G35" s="15" t="s">
        <v>1086</v>
      </c>
      <c r="H35" s="15" t="s">
        <v>1025</v>
      </c>
      <c r="I35" s="15" t="s">
        <v>68</v>
      </c>
    </row>
    <row r="36" customFormat="false" ht="15" hidden="false" customHeight="true" outlineLevel="0" collapsed="false">
      <c r="A36" s="15" t="s">
        <v>1087</v>
      </c>
      <c r="B36" s="15" t="s">
        <v>1088</v>
      </c>
      <c r="C36" s="15" t="s">
        <v>1089</v>
      </c>
      <c r="D36" s="15" t="s">
        <v>358</v>
      </c>
      <c r="E36" s="15" t="s">
        <v>1015</v>
      </c>
      <c r="F36" s="15" t="s">
        <v>104</v>
      </c>
      <c r="G36" s="15" t="s">
        <v>1090</v>
      </c>
      <c r="H36" s="15" t="s">
        <v>1025</v>
      </c>
      <c r="I36" s="15" t="s">
        <v>68</v>
      </c>
    </row>
    <row r="38" customFormat="false" ht="15" hidden="false" customHeight="true" outlineLevel="0" collapsed="false">
      <c r="A38" s="41" t="s">
        <v>1091</v>
      </c>
    </row>
    <row r="39" customFormat="false" ht="13.5" hidden="false" customHeight="true" outlineLevel="0" collapsed="false">
      <c r="A39" s="42" t="s">
        <v>1092</v>
      </c>
      <c r="B39" s="43"/>
      <c r="C39" s="43"/>
      <c r="D39" s="43"/>
      <c r="E39" s="43"/>
      <c r="F39" s="43"/>
      <c r="G39" s="43"/>
      <c r="H39" s="43"/>
      <c r="I39" s="43"/>
    </row>
    <row r="40" customFormat="false" ht="13.5" hidden="false" customHeight="true" outlineLevel="0" collapsed="false">
      <c r="A40" s="44" t="s">
        <v>40</v>
      </c>
      <c r="B40" s="45" t="s">
        <v>1031</v>
      </c>
      <c r="C40" s="45" t="s">
        <v>1043</v>
      </c>
      <c r="D40" s="45" t="s">
        <v>1044</v>
      </c>
      <c r="E40" s="45" t="s">
        <v>1015</v>
      </c>
      <c r="F40" s="45" t="s">
        <v>37</v>
      </c>
      <c r="G40" s="45" t="s">
        <v>1093</v>
      </c>
      <c r="H40" s="45" t="s">
        <v>1094</v>
      </c>
      <c r="I40" s="45" t="s">
        <v>45</v>
      </c>
    </row>
    <row r="41" customFormat="false" ht="13.5" hidden="false" customHeight="true" outlineLevel="0" collapsed="false">
      <c r="A41" s="46" t="s">
        <v>48</v>
      </c>
      <c r="B41" s="47" t="s">
        <v>1031</v>
      </c>
      <c r="C41" s="47" t="s">
        <v>1043</v>
      </c>
      <c r="D41" s="47" t="s">
        <v>1044</v>
      </c>
      <c r="E41" s="47" t="s">
        <v>1015</v>
      </c>
      <c r="F41" s="47" t="s">
        <v>47</v>
      </c>
      <c r="G41" s="47" t="s">
        <v>1095</v>
      </c>
      <c r="H41" s="47" t="s">
        <v>1094</v>
      </c>
      <c r="I41" s="47" t="s">
        <v>45</v>
      </c>
    </row>
    <row r="42" customFormat="false" ht="13.5" hidden="false" customHeight="true" outlineLevel="0" collapsed="false">
      <c r="A42" s="44" t="s">
        <v>52</v>
      </c>
      <c r="B42" s="45" t="s">
        <v>1031</v>
      </c>
      <c r="C42" s="45" t="s">
        <v>1043</v>
      </c>
      <c r="D42" s="45" t="s">
        <v>1044</v>
      </c>
      <c r="E42" s="45" t="s">
        <v>1015</v>
      </c>
      <c r="F42" s="45" t="s">
        <v>51</v>
      </c>
      <c r="G42" s="45" t="s">
        <v>1096</v>
      </c>
      <c r="H42" s="45" t="s">
        <v>1094</v>
      </c>
      <c r="I42" s="45" t="s">
        <v>45</v>
      </c>
    </row>
    <row r="43" customFormat="false" ht="13.5" hidden="false" customHeight="true" outlineLevel="0" collapsed="false">
      <c r="A43" s="46" t="s">
        <v>56</v>
      </c>
      <c r="B43" s="47" t="s">
        <v>1031</v>
      </c>
      <c r="C43" s="47" t="s">
        <v>1043</v>
      </c>
      <c r="D43" s="47" t="s">
        <v>1044</v>
      </c>
      <c r="E43" s="47" t="s">
        <v>1015</v>
      </c>
      <c r="F43" s="47" t="s">
        <v>55</v>
      </c>
      <c r="G43" s="47" t="s">
        <v>1097</v>
      </c>
      <c r="H43" s="47" t="s">
        <v>1094</v>
      </c>
      <c r="I43" s="47" t="s">
        <v>45</v>
      </c>
    </row>
    <row r="44" customFormat="false" ht="13.5" hidden="false" customHeight="true" outlineLevel="0" collapsed="false">
      <c r="A44" s="44" t="s">
        <v>60</v>
      </c>
      <c r="B44" s="45" t="s">
        <v>1031</v>
      </c>
      <c r="C44" s="45" t="s">
        <v>1043</v>
      </c>
      <c r="D44" s="45" t="s">
        <v>1044</v>
      </c>
      <c r="E44" s="45" t="s">
        <v>1015</v>
      </c>
      <c r="F44" s="45" t="s">
        <v>59</v>
      </c>
      <c r="G44" s="45" t="s">
        <v>1098</v>
      </c>
      <c r="H44" s="45" t="s">
        <v>1094</v>
      </c>
      <c r="I44" s="45" t="s">
        <v>45</v>
      </c>
    </row>
    <row r="45" customFormat="false" ht="13.5" hidden="false" customHeight="true" outlineLevel="0" collapsed="false">
      <c r="A45" s="46" t="s">
        <v>1099</v>
      </c>
      <c r="B45" s="47" t="s">
        <v>1031</v>
      </c>
      <c r="C45" s="47" t="s">
        <v>1043</v>
      </c>
      <c r="D45" s="47" t="s">
        <v>1044</v>
      </c>
      <c r="E45" s="47" t="s">
        <v>1015</v>
      </c>
      <c r="F45" s="47" t="s">
        <v>64</v>
      </c>
      <c r="G45" s="47" t="s">
        <v>1100</v>
      </c>
      <c r="H45" s="47" t="s">
        <v>1101</v>
      </c>
      <c r="I45" s="47" t="s">
        <v>68</v>
      </c>
    </row>
    <row r="46" customFormat="false" ht="13.5" hidden="false" customHeight="true" outlineLevel="0" collapsed="false">
      <c r="A46" s="44" t="s">
        <v>1102</v>
      </c>
      <c r="B46" s="45" t="s">
        <v>1031</v>
      </c>
      <c r="C46" s="45" t="s">
        <v>1043</v>
      </c>
      <c r="D46" s="45" t="s">
        <v>1044</v>
      </c>
      <c r="E46" s="45" t="s">
        <v>1015</v>
      </c>
      <c r="F46" s="45" t="s">
        <v>70</v>
      </c>
      <c r="G46" s="45" t="s">
        <v>1103</v>
      </c>
      <c r="H46" s="45" t="s">
        <v>1101</v>
      </c>
      <c r="I46" s="45" t="s">
        <v>68</v>
      </c>
    </row>
    <row r="47" customFormat="false" ht="13.5" hidden="false" customHeight="true" outlineLevel="0" collapsed="false">
      <c r="A47" s="46" t="s">
        <v>75</v>
      </c>
      <c r="B47" s="47" t="s">
        <v>1031</v>
      </c>
      <c r="C47" s="47" t="s">
        <v>1049</v>
      </c>
      <c r="D47" s="47" t="s">
        <v>512</v>
      </c>
      <c r="E47" s="47" t="s">
        <v>1015</v>
      </c>
      <c r="F47" s="47" t="s">
        <v>73</v>
      </c>
      <c r="G47" s="47" t="s">
        <v>1104</v>
      </c>
      <c r="H47" s="47" t="s">
        <v>1094</v>
      </c>
      <c r="I47" s="47" t="s">
        <v>68</v>
      </c>
    </row>
    <row r="48" customFormat="false" ht="13.5" hidden="false" customHeight="true" outlineLevel="0" collapsed="false">
      <c r="A48" s="44" t="s">
        <v>80</v>
      </c>
      <c r="B48" s="45" t="s">
        <v>1031</v>
      </c>
      <c r="C48" s="45" t="s">
        <v>1049</v>
      </c>
      <c r="D48" s="45" t="s">
        <v>512</v>
      </c>
      <c r="E48" s="45" t="s">
        <v>1015</v>
      </c>
      <c r="F48" s="45" t="s">
        <v>79</v>
      </c>
      <c r="G48" s="45" t="s">
        <v>1105</v>
      </c>
      <c r="H48" s="45" t="s">
        <v>1094</v>
      </c>
      <c r="I48" s="45" t="s">
        <v>68</v>
      </c>
    </row>
    <row r="49" customFormat="false" ht="13.5" hidden="false" customHeight="true" outlineLevel="0" collapsed="false">
      <c r="A49" s="46" t="s">
        <v>86</v>
      </c>
      <c r="B49" s="47" t="s">
        <v>1031</v>
      </c>
      <c r="C49" s="47" t="s">
        <v>1040</v>
      </c>
      <c r="D49" s="47" t="s">
        <v>84</v>
      </c>
      <c r="E49" s="47" t="s">
        <v>1015</v>
      </c>
      <c r="F49" s="47" t="s">
        <v>83</v>
      </c>
      <c r="G49" s="47" t="s">
        <v>1106</v>
      </c>
      <c r="H49" s="47" t="s">
        <v>1094</v>
      </c>
      <c r="I49" s="47" t="s">
        <v>45</v>
      </c>
    </row>
    <row r="50" customFormat="false" ht="13.5" hidden="false" customHeight="true" outlineLevel="0" collapsed="false">
      <c r="A50" s="44" t="s">
        <v>92</v>
      </c>
      <c r="B50" s="45" t="s">
        <v>1031</v>
      </c>
      <c r="C50" s="45" t="s">
        <v>1040</v>
      </c>
      <c r="D50" s="45" t="s">
        <v>84</v>
      </c>
      <c r="E50" s="45" t="s">
        <v>1015</v>
      </c>
      <c r="F50" s="45" t="s">
        <v>1107</v>
      </c>
      <c r="G50" s="45" t="s">
        <v>1108</v>
      </c>
      <c r="H50" s="45" t="s">
        <v>1094</v>
      </c>
      <c r="I50" s="45" t="s">
        <v>45</v>
      </c>
    </row>
    <row r="51" customFormat="false" ht="13.5" hidden="false" customHeight="true" outlineLevel="0" collapsed="false">
      <c r="A51" s="46" t="s">
        <v>101</v>
      </c>
      <c r="B51" s="47" t="s">
        <v>1031</v>
      </c>
      <c r="C51" s="47" t="s">
        <v>1040</v>
      </c>
      <c r="D51" s="47" t="s">
        <v>84</v>
      </c>
      <c r="E51" s="47" t="s">
        <v>1015</v>
      </c>
      <c r="F51" s="47" t="s">
        <v>99</v>
      </c>
      <c r="G51" s="47" t="s">
        <v>1109</v>
      </c>
      <c r="H51" s="47" t="s">
        <v>1094</v>
      </c>
      <c r="I51" s="47" t="s">
        <v>45</v>
      </c>
    </row>
    <row r="52" customFormat="false" ht="13.5" hidden="false" customHeight="true" outlineLevel="0" collapsed="false">
      <c r="A52" s="44" t="s">
        <v>107</v>
      </c>
      <c r="B52" s="45" t="s">
        <v>1031</v>
      </c>
      <c r="C52" s="45" t="s">
        <v>1037</v>
      </c>
      <c r="D52" s="45" t="s">
        <v>358</v>
      </c>
      <c r="E52" s="45" t="s">
        <v>1015</v>
      </c>
      <c r="F52" s="45" t="s">
        <v>104</v>
      </c>
      <c r="G52" s="45" t="s">
        <v>1110</v>
      </c>
      <c r="H52" s="45" t="s">
        <v>1094</v>
      </c>
      <c r="I52" s="45" t="s">
        <v>45</v>
      </c>
    </row>
    <row r="53" customFormat="false" ht="13.5" hidden="false" customHeight="true" outlineLevel="0" collapsed="false">
      <c r="A53" s="46" t="s">
        <v>113</v>
      </c>
      <c r="B53" s="47" t="s">
        <v>1031</v>
      </c>
      <c r="C53" s="47" t="s">
        <v>1111</v>
      </c>
      <c r="D53" s="47" t="s">
        <v>358</v>
      </c>
      <c r="E53" s="47" t="s">
        <v>1015</v>
      </c>
      <c r="F53" s="47" t="s">
        <v>111</v>
      </c>
      <c r="G53" s="47" t="s">
        <v>1112</v>
      </c>
      <c r="H53" s="47" t="s">
        <v>1094</v>
      </c>
      <c r="I53" s="47" t="s">
        <v>45</v>
      </c>
    </row>
    <row r="54" customFormat="false" ht="13.5" hidden="false" customHeight="true" outlineLevel="0" collapsed="false">
      <c r="A54" s="44" t="s">
        <v>118</v>
      </c>
      <c r="B54" s="45" t="s">
        <v>1031</v>
      </c>
      <c r="C54" s="45" t="s">
        <v>1037</v>
      </c>
      <c r="D54" s="45" t="s">
        <v>358</v>
      </c>
      <c r="E54" s="45" t="s">
        <v>1015</v>
      </c>
      <c r="F54" s="45" t="s">
        <v>116</v>
      </c>
      <c r="G54" s="45" t="s">
        <v>1113</v>
      </c>
      <c r="H54" s="45" t="s">
        <v>1094</v>
      </c>
      <c r="I54" s="45" t="s">
        <v>45</v>
      </c>
    </row>
    <row r="55" customFormat="false" ht="13.5" hidden="false" customHeight="true" outlineLevel="0" collapsed="false">
      <c r="A55" s="46" t="s">
        <v>124</v>
      </c>
      <c r="B55" s="47" t="s">
        <v>1031</v>
      </c>
      <c r="C55" s="47" t="s">
        <v>1032</v>
      </c>
      <c r="D55" s="47" t="s">
        <v>1033</v>
      </c>
      <c r="E55" s="47" t="s">
        <v>1015</v>
      </c>
      <c r="F55" s="47" t="s">
        <v>1114</v>
      </c>
      <c r="G55" s="47" t="s">
        <v>1115</v>
      </c>
      <c r="H55" s="47" t="s">
        <v>1101</v>
      </c>
      <c r="I55" s="47" t="s">
        <v>68</v>
      </c>
    </row>
    <row r="56" customFormat="false" ht="13.5" hidden="false" customHeight="true" outlineLevel="0" collapsed="false">
      <c r="A56" s="44" t="s">
        <v>135</v>
      </c>
      <c r="B56" s="45" t="s">
        <v>1031</v>
      </c>
      <c r="C56" s="45" t="s">
        <v>1116</v>
      </c>
      <c r="D56" s="45" t="s">
        <v>1117</v>
      </c>
      <c r="E56" s="45" t="s">
        <v>1015</v>
      </c>
      <c r="F56" s="45" t="s">
        <v>132</v>
      </c>
      <c r="G56" s="45" t="s">
        <v>1118</v>
      </c>
      <c r="H56" s="45" t="s">
        <v>1101</v>
      </c>
      <c r="I56" s="45" t="s">
        <v>68</v>
      </c>
    </row>
    <row r="57" customFormat="false" ht="13.5" hidden="false" customHeight="true" outlineLevel="0" collapsed="false">
      <c r="A57" s="46" t="s">
        <v>140</v>
      </c>
      <c r="B57" s="47" t="s">
        <v>1031</v>
      </c>
      <c r="C57" s="47" t="s">
        <v>1116</v>
      </c>
      <c r="D57" s="47" t="s">
        <v>1117</v>
      </c>
      <c r="E57" s="47" t="s">
        <v>1015</v>
      </c>
      <c r="F57" s="47" t="s">
        <v>138</v>
      </c>
      <c r="G57" s="47" t="s">
        <v>1119</v>
      </c>
      <c r="H57" s="47" t="s">
        <v>1101</v>
      </c>
      <c r="I57" s="47" t="s">
        <v>68</v>
      </c>
    </row>
  </sheetData>
  <mergeCells count="4">
    <mergeCell ref="A1:I1"/>
    <mergeCell ref="A4:I4"/>
    <mergeCell ref="A8:I8"/>
    <mergeCell ref="A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2"/>
    <col collapsed="false" customWidth="true" hidden="false" outlineLevel="0" max="5" min="4" style="1" width="10"/>
    <col collapsed="false" customWidth="true" hidden="false" outlineLevel="0" max="6" min="6" style="1" width="45"/>
  </cols>
  <sheetData>
    <row r="1" customFormat="false" ht="15" hidden="false" customHeight="true" outlineLevel="0" collapsed="false">
      <c r="A1" s="48" t="s">
        <v>1120</v>
      </c>
    </row>
    <row r="3" customFormat="false" ht="23.25" hidden="false" customHeight="true" outlineLevel="0" collapsed="false">
      <c r="A3" s="10" t="s">
        <v>1121</v>
      </c>
      <c r="B3" s="10" t="s">
        <v>1122</v>
      </c>
      <c r="C3" s="10" t="s">
        <v>330</v>
      </c>
      <c r="D3" s="10" t="s">
        <v>1123</v>
      </c>
      <c r="E3" s="10" t="s">
        <v>1124</v>
      </c>
      <c r="F3" s="10" t="s">
        <v>35</v>
      </c>
    </row>
    <row r="4" customFormat="false" ht="15" hidden="false" customHeight="true" outlineLevel="0" collapsed="false">
      <c r="A4" s="26" t="s">
        <v>1125</v>
      </c>
      <c r="B4" s="26" t="s">
        <v>1126</v>
      </c>
      <c r="C4" s="26" t="s">
        <v>365</v>
      </c>
      <c r="D4" s="26" t="s">
        <v>1127</v>
      </c>
      <c r="E4" s="26" t="s">
        <v>1128</v>
      </c>
      <c r="F4" s="26" t="s">
        <v>1129</v>
      </c>
    </row>
    <row r="5" customFormat="false" ht="15" hidden="false" customHeight="true" outlineLevel="0" collapsed="false">
      <c r="A5" s="26" t="s">
        <v>1130</v>
      </c>
      <c r="B5" s="26" t="s">
        <v>1131</v>
      </c>
      <c r="C5" s="26" t="s">
        <v>365</v>
      </c>
      <c r="D5" s="26" t="s">
        <v>1127</v>
      </c>
      <c r="E5" s="26" t="s">
        <v>1132</v>
      </c>
      <c r="F5" s="26" t="s">
        <v>1133</v>
      </c>
    </row>
    <row r="6" customFormat="false" ht="15" hidden="false" customHeight="true" outlineLevel="0" collapsed="false">
      <c r="A6" s="26" t="s">
        <v>1134</v>
      </c>
      <c r="B6" s="26" t="s">
        <v>1135</v>
      </c>
      <c r="C6" s="26" t="s">
        <v>68</v>
      </c>
      <c r="D6" s="26" t="s">
        <v>1127</v>
      </c>
      <c r="E6" s="26" t="s">
        <v>1128</v>
      </c>
      <c r="F6" s="26"/>
    </row>
    <row r="7" customFormat="false" ht="15" hidden="false" customHeight="true" outlineLevel="0" collapsed="false">
      <c r="A7" s="26" t="s">
        <v>1136</v>
      </c>
      <c r="B7" s="26" t="s">
        <v>1137</v>
      </c>
      <c r="C7" s="26" t="s">
        <v>365</v>
      </c>
      <c r="D7" s="26" t="s">
        <v>1127</v>
      </c>
      <c r="E7" s="26" t="s">
        <v>1128</v>
      </c>
      <c r="F7" s="26" t="s">
        <v>1138</v>
      </c>
    </row>
    <row r="8" customFormat="false" ht="15" hidden="false" customHeight="true" outlineLevel="0" collapsed="false">
      <c r="A8" s="26" t="s">
        <v>1139</v>
      </c>
      <c r="B8" s="26" t="s">
        <v>1140</v>
      </c>
      <c r="C8" s="26" t="s">
        <v>68</v>
      </c>
      <c r="D8" s="26" t="s">
        <v>1127</v>
      </c>
      <c r="E8" s="26" t="s">
        <v>1141</v>
      </c>
      <c r="F8" s="26" t="s">
        <v>1142</v>
      </c>
    </row>
    <row r="9" customFormat="false" ht="15" hidden="false" customHeight="true" outlineLevel="0" collapsed="false">
      <c r="A9" s="26" t="s">
        <v>1143</v>
      </c>
      <c r="B9" s="26" t="s">
        <v>1144</v>
      </c>
      <c r="C9" s="26" t="s">
        <v>68</v>
      </c>
      <c r="D9" s="26" t="s">
        <v>1145</v>
      </c>
      <c r="E9" s="26" t="s">
        <v>1141</v>
      </c>
      <c r="F9" s="26" t="s">
        <v>1146</v>
      </c>
    </row>
    <row r="10" customFormat="false" ht="15" hidden="false" customHeight="true" outlineLevel="0" collapsed="false">
      <c r="A10" s="26" t="s">
        <v>1147</v>
      </c>
      <c r="B10" s="26" t="s">
        <v>1148</v>
      </c>
      <c r="C10" s="26" t="s">
        <v>68</v>
      </c>
      <c r="D10" s="26" t="s">
        <v>1127</v>
      </c>
      <c r="E10" s="26" t="s">
        <v>1149</v>
      </c>
      <c r="F10" s="26" t="s">
        <v>1150</v>
      </c>
    </row>
    <row r="11" customFormat="false" ht="21.75" hidden="false" customHeight="true" outlineLevel="0" collapsed="false">
      <c r="A11" s="26" t="s">
        <v>1151</v>
      </c>
      <c r="B11" s="26" t="s">
        <v>1152</v>
      </c>
      <c r="C11" s="26" t="s">
        <v>68</v>
      </c>
      <c r="D11" s="26" t="s">
        <v>1145</v>
      </c>
      <c r="E11" s="26" t="s">
        <v>1153</v>
      </c>
      <c r="F11" s="26" t="s">
        <v>1154</v>
      </c>
    </row>
    <row r="12" customFormat="false" ht="15" hidden="false" customHeight="true" outlineLevel="0" collapsed="false">
      <c r="A12" s="26" t="s">
        <v>1155</v>
      </c>
      <c r="B12" s="26" t="s">
        <v>1156</v>
      </c>
      <c r="C12" s="26" t="s">
        <v>365</v>
      </c>
      <c r="D12" s="26" t="s">
        <v>1127</v>
      </c>
      <c r="E12" s="26" t="s">
        <v>1128</v>
      </c>
      <c r="F12" s="26" t="s">
        <v>1157</v>
      </c>
    </row>
    <row r="13" customFormat="false" ht="21.75" hidden="false" customHeight="true" outlineLevel="0" collapsed="false">
      <c r="A13" s="26" t="s">
        <v>1158</v>
      </c>
      <c r="B13" s="26" t="s">
        <v>1159</v>
      </c>
      <c r="C13" s="26" t="s">
        <v>365</v>
      </c>
      <c r="D13" s="26" t="s">
        <v>1127</v>
      </c>
      <c r="E13" s="26" t="s">
        <v>1149</v>
      </c>
      <c r="F13" s="26" t="s">
        <v>1160</v>
      </c>
    </row>
    <row r="14" customFormat="false" ht="21.75" hidden="false" customHeight="true" outlineLevel="0" collapsed="false">
      <c r="A14" s="26" t="s">
        <v>1161</v>
      </c>
      <c r="B14" s="26" t="s">
        <v>1162</v>
      </c>
      <c r="C14" s="26" t="s">
        <v>172</v>
      </c>
      <c r="D14" s="26" t="s">
        <v>1145</v>
      </c>
      <c r="E14" s="26" t="s">
        <v>1141</v>
      </c>
      <c r="F14" s="26" t="s">
        <v>1163</v>
      </c>
    </row>
    <row r="15" customFormat="false" ht="15" hidden="false" customHeight="true" outlineLevel="0" collapsed="false">
      <c r="A15" s="26" t="s">
        <v>1164</v>
      </c>
      <c r="B15" s="26" t="s">
        <v>1165</v>
      </c>
      <c r="C15" s="26" t="s">
        <v>365</v>
      </c>
      <c r="D15" s="26" t="s">
        <v>1145</v>
      </c>
      <c r="E15" s="26" t="s">
        <v>42</v>
      </c>
      <c r="F15" s="26" t="s">
        <v>1166</v>
      </c>
    </row>
    <row r="16" customFormat="false" ht="15" hidden="false" customHeight="true" outlineLevel="0" collapsed="false">
      <c r="A16" s="26" t="s">
        <v>1167</v>
      </c>
      <c r="B16" s="26" t="s">
        <v>1168</v>
      </c>
      <c r="C16" s="26" t="s">
        <v>68</v>
      </c>
      <c r="D16" s="26" t="s">
        <v>1145</v>
      </c>
      <c r="E16" s="26" t="s">
        <v>42</v>
      </c>
      <c r="F16" s="26" t="s">
        <v>1169</v>
      </c>
    </row>
    <row r="17" customFormat="false" ht="15" hidden="false" customHeight="true" outlineLevel="0" collapsed="false">
      <c r="A17" s="26" t="s">
        <v>1170</v>
      </c>
      <c r="B17" s="26" t="s">
        <v>1171</v>
      </c>
      <c r="C17" s="26" t="s">
        <v>68</v>
      </c>
      <c r="D17" s="26" t="s">
        <v>1145</v>
      </c>
      <c r="E17" s="26" t="s">
        <v>1153</v>
      </c>
      <c r="F17" s="26" t="s">
        <v>1172</v>
      </c>
    </row>
    <row r="18" customFormat="false" ht="13.5" hidden="false" customHeight="true" outlineLevel="0" collapsed="false">
      <c r="A18" s="49" t="s">
        <v>1173</v>
      </c>
      <c r="B18" s="50" t="s">
        <v>1174</v>
      </c>
      <c r="C18" s="51" t="s">
        <v>68</v>
      </c>
      <c r="D18" s="50" t="s">
        <v>1127</v>
      </c>
      <c r="E18" s="50" t="s">
        <v>1175</v>
      </c>
      <c r="F18" s="50" t="s">
        <v>1176</v>
      </c>
    </row>
    <row r="19" customFormat="false" ht="13.5" hidden="false" customHeight="true" outlineLevel="0" collapsed="false">
      <c r="A19" s="52" t="s">
        <v>1177</v>
      </c>
      <c r="B19" s="53" t="s">
        <v>1178</v>
      </c>
      <c r="C19" s="54" t="s">
        <v>365</v>
      </c>
      <c r="D19" s="53" t="s">
        <v>1127</v>
      </c>
      <c r="E19" s="53" t="s">
        <v>1128</v>
      </c>
      <c r="F19" s="53" t="s">
        <v>1179</v>
      </c>
    </row>
    <row r="20" customFormat="false" ht="13.5" hidden="false" customHeight="true" outlineLevel="0" collapsed="false">
      <c r="A20" s="49" t="s">
        <v>1180</v>
      </c>
      <c r="B20" s="50" t="s">
        <v>1181</v>
      </c>
      <c r="C20" s="51" t="s">
        <v>68</v>
      </c>
      <c r="D20" s="50" t="s">
        <v>1127</v>
      </c>
      <c r="E20" s="50" t="s">
        <v>1182</v>
      </c>
      <c r="F20" s="50" t="s">
        <v>1183</v>
      </c>
    </row>
    <row r="21" customFormat="false" ht="13.5" hidden="false" customHeight="true" outlineLevel="0" collapsed="false">
      <c r="A21" s="52" t="s">
        <v>1184</v>
      </c>
      <c r="B21" s="53" t="s">
        <v>1185</v>
      </c>
      <c r="C21" s="55" t="s">
        <v>68</v>
      </c>
      <c r="D21" s="53" t="s">
        <v>1145</v>
      </c>
      <c r="E21" s="53" t="s">
        <v>1153</v>
      </c>
      <c r="F21" s="53" t="s">
        <v>1186</v>
      </c>
    </row>
    <row r="22" customFormat="false" ht="13.5" hidden="false" customHeight="true" outlineLevel="0" collapsed="false">
      <c r="A22" s="49" t="s">
        <v>1187</v>
      </c>
      <c r="B22" s="50" t="s">
        <v>1188</v>
      </c>
      <c r="C22" s="51" t="s">
        <v>68</v>
      </c>
      <c r="D22" s="50" t="s">
        <v>1127</v>
      </c>
      <c r="E22" s="50" t="s">
        <v>1182</v>
      </c>
      <c r="F22" s="50" t="s">
        <v>1189</v>
      </c>
    </row>
    <row r="23" customFormat="false" ht="13.5" hidden="false" customHeight="true" outlineLevel="0" collapsed="false">
      <c r="A23" s="52" t="s">
        <v>1190</v>
      </c>
      <c r="B23" s="53" t="s">
        <v>1191</v>
      </c>
      <c r="C23" s="53" t="s">
        <v>172</v>
      </c>
      <c r="D23" s="53" t="s">
        <v>1145</v>
      </c>
      <c r="E23" s="53" t="s">
        <v>1175</v>
      </c>
      <c r="F23" s="53" t="s">
        <v>1192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16"/>
    <col collapsed="false" customWidth="true" hidden="false" outlineLevel="0" max="4" min="4" style="1" width="10"/>
    <col collapsed="false" customWidth="true" hidden="false" outlineLevel="0" max="7" min="5" style="1" width="38"/>
    <col collapsed="false" customWidth="true" hidden="false" outlineLevel="0" max="10" min="8" style="1" width="24"/>
    <col collapsed="false" customWidth="true" hidden="false" outlineLevel="0" max="12" min="11" style="1" width="22"/>
    <col collapsed="false" customWidth="true" hidden="false" outlineLevel="0" max="13" min="13" style="1" width="32"/>
    <col collapsed="false" customWidth="true" hidden="false" outlineLevel="0" max="14" min="14" style="1" width="16"/>
  </cols>
  <sheetData>
    <row r="1" customFormat="false" ht="24" hidden="false" customHeight="true" outlineLevel="0" collapsed="false">
      <c r="A1" s="56" t="s">
        <v>1193</v>
      </c>
      <c r="B1" s="56"/>
      <c r="C1" s="56"/>
      <c r="D1" s="56"/>
      <c r="E1" s="56"/>
      <c r="F1" s="56"/>
      <c r="G1" s="56"/>
      <c r="H1" s="56"/>
      <c r="I1" s="56"/>
      <c r="J1" s="56"/>
      <c r="K1" s="56"/>
      <c r="L1" s="56"/>
      <c r="M1" s="56"/>
      <c r="N1" s="56"/>
    </row>
    <row r="2" customFormat="false" ht="36" hidden="false" customHeight="true" outlineLevel="0" collapsed="false">
      <c r="A2" s="57" t="s">
        <v>1194</v>
      </c>
      <c r="B2" s="57"/>
      <c r="C2" s="57"/>
      <c r="D2" s="57"/>
      <c r="E2" s="57"/>
      <c r="F2" s="57"/>
      <c r="G2" s="57"/>
      <c r="H2" s="57"/>
      <c r="I2" s="57"/>
      <c r="J2" s="57"/>
      <c r="K2" s="57"/>
      <c r="L2" s="57"/>
      <c r="M2" s="57"/>
      <c r="N2" s="57"/>
    </row>
    <row r="3" customFormat="false" ht="42" hidden="false" customHeight="true" outlineLevel="0" collapsed="false">
      <c r="A3" s="58" t="s">
        <v>21</v>
      </c>
      <c r="B3" s="58" t="s">
        <v>1195</v>
      </c>
      <c r="C3" s="58" t="s">
        <v>1196</v>
      </c>
      <c r="D3" s="58" t="s">
        <v>1197</v>
      </c>
      <c r="E3" s="58" t="s">
        <v>1198</v>
      </c>
      <c r="F3" s="58" t="s">
        <v>1199</v>
      </c>
      <c r="G3" s="58" t="s">
        <v>1200</v>
      </c>
      <c r="H3" s="58" t="s">
        <v>1201</v>
      </c>
      <c r="I3" s="58" t="s">
        <v>1202</v>
      </c>
      <c r="J3" s="58" t="s">
        <v>1203</v>
      </c>
      <c r="K3" s="58" t="s">
        <v>1204</v>
      </c>
      <c r="L3" s="58" t="s">
        <v>1205</v>
      </c>
      <c r="M3" s="58" t="s">
        <v>1206</v>
      </c>
      <c r="N3" s="58" t="s">
        <v>34</v>
      </c>
    </row>
    <row r="4" customFormat="false" ht="18" hidden="false" customHeight="true" outlineLevel="0" collapsed="false">
      <c r="A4" s="59" t="s">
        <v>1207</v>
      </c>
      <c r="B4" s="59"/>
      <c r="C4" s="59"/>
      <c r="D4" s="59"/>
      <c r="E4" s="59"/>
      <c r="F4" s="59"/>
      <c r="G4" s="59"/>
      <c r="H4" s="59"/>
      <c r="I4" s="59"/>
      <c r="J4" s="59"/>
      <c r="K4" s="59"/>
      <c r="L4" s="59"/>
      <c r="M4" s="59"/>
      <c r="N4" s="59"/>
    </row>
    <row r="5" customFormat="false" ht="79.5" hidden="false" customHeight="true" outlineLevel="0" collapsed="false">
      <c r="A5" s="60" t="s">
        <v>37</v>
      </c>
      <c r="B5" s="60" t="s">
        <v>38</v>
      </c>
      <c r="C5" s="61" t="s">
        <v>40</v>
      </c>
      <c r="D5" s="33" t="s">
        <v>1208</v>
      </c>
      <c r="E5" s="62" t="s">
        <v>1209</v>
      </c>
      <c r="F5" s="62" t="s">
        <v>1210</v>
      </c>
      <c r="G5" s="62" t="s">
        <v>1211</v>
      </c>
      <c r="H5" s="33" t="s">
        <v>1212</v>
      </c>
      <c r="I5" s="33" t="s">
        <v>1213</v>
      </c>
      <c r="J5" s="33" t="s">
        <v>1214</v>
      </c>
      <c r="K5" s="63" t="s">
        <v>1215</v>
      </c>
      <c r="L5" s="64" t="s">
        <v>1216</v>
      </c>
      <c r="M5" s="33" t="s">
        <v>874</v>
      </c>
      <c r="N5" s="60" t="s">
        <v>45</v>
      </c>
    </row>
    <row r="6" customFormat="false" ht="79.5" hidden="false" customHeight="true" outlineLevel="0" collapsed="false">
      <c r="A6" s="65" t="s">
        <v>47</v>
      </c>
      <c r="B6" s="65" t="s">
        <v>38</v>
      </c>
      <c r="C6" s="66" t="s">
        <v>48</v>
      </c>
      <c r="D6" s="35" t="s">
        <v>1217</v>
      </c>
      <c r="E6" s="67" t="s">
        <v>1218</v>
      </c>
      <c r="F6" s="67" t="s">
        <v>1219</v>
      </c>
      <c r="G6" s="67" t="s">
        <v>1220</v>
      </c>
      <c r="H6" s="35" t="s">
        <v>1221</v>
      </c>
      <c r="I6" s="35" t="s">
        <v>1222</v>
      </c>
      <c r="J6" s="35" t="s">
        <v>1223</v>
      </c>
      <c r="K6" s="68" t="s">
        <v>1224</v>
      </c>
      <c r="L6" s="69" t="s">
        <v>1225</v>
      </c>
      <c r="M6" s="35" t="s">
        <v>1226</v>
      </c>
      <c r="N6" s="65" t="s">
        <v>45</v>
      </c>
    </row>
    <row r="7" customFormat="false" ht="79.5" hidden="false" customHeight="true" outlineLevel="0" collapsed="false">
      <c r="A7" s="60" t="s">
        <v>64</v>
      </c>
      <c r="B7" s="60" t="s">
        <v>38</v>
      </c>
      <c r="C7" s="61" t="s">
        <v>1099</v>
      </c>
      <c r="D7" s="33" t="s">
        <v>1227</v>
      </c>
      <c r="E7" s="62" t="s">
        <v>1228</v>
      </c>
      <c r="F7" s="62" t="s">
        <v>1229</v>
      </c>
      <c r="G7" s="62" t="s">
        <v>1230</v>
      </c>
      <c r="H7" s="33" t="s">
        <v>1231</v>
      </c>
      <c r="I7" s="33" t="s">
        <v>1232</v>
      </c>
      <c r="J7" s="33" t="s">
        <v>1233</v>
      </c>
      <c r="K7" s="63" t="s">
        <v>1234</v>
      </c>
      <c r="L7" s="64" t="s">
        <v>1235</v>
      </c>
      <c r="M7" s="33" t="s">
        <v>900</v>
      </c>
      <c r="N7" s="60" t="s">
        <v>68</v>
      </c>
    </row>
    <row r="8" customFormat="false" ht="79.5" hidden="false" customHeight="true" outlineLevel="0" collapsed="false">
      <c r="A8" s="65" t="s">
        <v>70</v>
      </c>
      <c r="B8" s="65" t="s">
        <v>38</v>
      </c>
      <c r="C8" s="66" t="s">
        <v>1102</v>
      </c>
      <c r="D8" s="35" t="s">
        <v>1236</v>
      </c>
      <c r="E8" s="67" t="s">
        <v>1237</v>
      </c>
      <c r="F8" s="67" t="s">
        <v>1238</v>
      </c>
      <c r="G8" s="67" t="s">
        <v>1239</v>
      </c>
      <c r="H8" s="35" t="s">
        <v>1240</v>
      </c>
      <c r="I8" s="35" t="s">
        <v>1241</v>
      </c>
      <c r="J8" s="35" t="s">
        <v>1242</v>
      </c>
      <c r="K8" s="68" t="s">
        <v>1243</v>
      </c>
      <c r="L8" s="69" t="s">
        <v>1244</v>
      </c>
      <c r="M8" s="35" t="s">
        <v>895</v>
      </c>
      <c r="N8" s="65" t="s">
        <v>68</v>
      </c>
    </row>
    <row r="9" customFormat="false" ht="79.5" hidden="false" customHeight="true" outlineLevel="0" collapsed="false">
      <c r="A9" s="60" t="s">
        <v>51</v>
      </c>
      <c r="B9" s="60" t="s">
        <v>38</v>
      </c>
      <c r="C9" s="61" t="s">
        <v>52</v>
      </c>
      <c r="D9" s="33" t="s">
        <v>1245</v>
      </c>
      <c r="E9" s="62" t="s">
        <v>1246</v>
      </c>
      <c r="F9" s="62" t="s">
        <v>1247</v>
      </c>
      <c r="G9" s="62" t="s">
        <v>1248</v>
      </c>
      <c r="H9" s="33" t="s">
        <v>1249</v>
      </c>
      <c r="I9" s="33" t="s">
        <v>1250</v>
      </c>
      <c r="J9" s="33" t="s">
        <v>1251</v>
      </c>
      <c r="K9" s="63" t="s">
        <v>1252</v>
      </c>
      <c r="L9" s="64" t="s">
        <v>1253</v>
      </c>
      <c r="M9" s="33" t="s">
        <v>885</v>
      </c>
      <c r="N9" s="60" t="s">
        <v>45</v>
      </c>
    </row>
    <row r="10" customFormat="false" ht="79.5" hidden="false" customHeight="true" outlineLevel="0" collapsed="false">
      <c r="A10" s="65" t="s">
        <v>55</v>
      </c>
      <c r="B10" s="65" t="s">
        <v>38</v>
      </c>
      <c r="C10" s="66" t="s">
        <v>56</v>
      </c>
      <c r="D10" s="35" t="s">
        <v>1254</v>
      </c>
      <c r="E10" s="67" t="s">
        <v>1255</v>
      </c>
      <c r="F10" s="67" t="s">
        <v>1256</v>
      </c>
      <c r="G10" s="67" t="s">
        <v>1257</v>
      </c>
      <c r="H10" s="35" t="s">
        <v>1258</v>
      </c>
      <c r="I10" s="35" t="s">
        <v>1259</v>
      </c>
      <c r="J10" s="35" t="s">
        <v>1260</v>
      </c>
      <c r="K10" s="68" t="s">
        <v>1261</v>
      </c>
      <c r="L10" s="69" t="s">
        <v>1262</v>
      </c>
      <c r="M10" s="35" t="s">
        <v>889</v>
      </c>
      <c r="N10" s="65" t="s">
        <v>45</v>
      </c>
    </row>
    <row r="11" customFormat="false" ht="79.5" hidden="false" customHeight="true" outlineLevel="0" collapsed="false">
      <c r="A11" s="60" t="s">
        <v>1263</v>
      </c>
      <c r="B11" s="60" t="s">
        <v>38</v>
      </c>
      <c r="C11" s="61" t="s">
        <v>60</v>
      </c>
      <c r="D11" s="33" t="s">
        <v>1264</v>
      </c>
      <c r="E11" s="62" t="s">
        <v>1265</v>
      </c>
      <c r="F11" s="62" t="s">
        <v>1266</v>
      </c>
      <c r="G11" s="62" t="s">
        <v>1267</v>
      </c>
      <c r="H11" s="33" t="s">
        <v>1268</v>
      </c>
      <c r="I11" s="33" t="s">
        <v>1269</v>
      </c>
      <c r="J11" s="33" t="s">
        <v>1270</v>
      </c>
      <c r="K11" s="63" t="s">
        <v>1271</v>
      </c>
      <c r="L11" s="64" t="s">
        <v>1272</v>
      </c>
      <c r="M11" s="33" t="s">
        <v>1273</v>
      </c>
      <c r="N11" s="60" t="s">
        <v>45</v>
      </c>
    </row>
    <row r="12" customFormat="false" ht="18" hidden="false" customHeight="true" outlineLevel="0" collapsed="false">
      <c r="A12" s="70" t="s">
        <v>1274</v>
      </c>
      <c r="B12" s="70"/>
      <c r="C12" s="70"/>
      <c r="D12" s="70"/>
      <c r="E12" s="70"/>
      <c r="F12" s="70"/>
      <c r="G12" s="70"/>
      <c r="H12" s="70"/>
      <c r="I12" s="70"/>
      <c r="J12" s="70"/>
      <c r="K12" s="70"/>
      <c r="L12" s="70"/>
      <c r="M12" s="70"/>
      <c r="N12" s="70"/>
    </row>
    <row r="13" customFormat="false" ht="79.5" hidden="false" customHeight="true" outlineLevel="0" collapsed="false">
      <c r="A13" s="60" t="s">
        <v>1275</v>
      </c>
      <c r="B13" s="60" t="s">
        <v>74</v>
      </c>
      <c r="C13" s="61" t="s">
        <v>236</v>
      </c>
      <c r="D13" s="33" t="s">
        <v>655</v>
      </c>
      <c r="E13" s="62" t="s">
        <v>1276</v>
      </c>
      <c r="F13" s="62" t="s">
        <v>1277</v>
      </c>
      <c r="G13" s="62" t="s">
        <v>1278</v>
      </c>
      <c r="H13" s="33" t="s">
        <v>1279</v>
      </c>
      <c r="I13" s="33" t="s">
        <v>1280</v>
      </c>
      <c r="J13" s="33" t="s">
        <v>1281</v>
      </c>
      <c r="K13" s="63" t="s">
        <v>1282</v>
      </c>
      <c r="L13" s="64" t="s">
        <v>1283</v>
      </c>
      <c r="M13" s="33" t="s">
        <v>923</v>
      </c>
      <c r="N13" s="60" t="s">
        <v>68</v>
      </c>
    </row>
    <row r="14" customFormat="false" ht="79.5" hidden="false" customHeight="true" outlineLevel="0" collapsed="false">
      <c r="A14" s="65" t="s">
        <v>1284</v>
      </c>
      <c r="B14" s="65" t="s">
        <v>74</v>
      </c>
      <c r="C14" s="66" t="s">
        <v>75</v>
      </c>
      <c r="D14" s="35" t="s">
        <v>1285</v>
      </c>
      <c r="E14" s="67" t="s">
        <v>1286</v>
      </c>
      <c r="F14" s="67" t="s">
        <v>1287</v>
      </c>
      <c r="G14" s="67" t="s">
        <v>1288</v>
      </c>
      <c r="H14" s="35" t="s">
        <v>1289</v>
      </c>
      <c r="I14" s="35" t="s">
        <v>1290</v>
      </c>
      <c r="J14" s="35" t="s">
        <v>1291</v>
      </c>
      <c r="K14" s="68" t="s">
        <v>1292</v>
      </c>
      <c r="L14" s="69" t="s">
        <v>1293</v>
      </c>
      <c r="M14" s="35" t="s">
        <v>910</v>
      </c>
      <c r="N14" s="65" t="s">
        <v>68</v>
      </c>
    </row>
    <row r="15" customFormat="false" ht="79.5" hidden="false" customHeight="true" outlineLevel="0" collapsed="false">
      <c r="A15" s="60" t="s">
        <v>1294</v>
      </c>
      <c r="B15" s="60" t="s">
        <v>74</v>
      </c>
      <c r="C15" s="61" t="s">
        <v>80</v>
      </c>
      <c r="D15" s="33" t="s">
        <v>1295</v>
      </c>
      <c r="E15" s="62" t="s">
        <v>1296</v>
      </c>
      <c r="F15" s="62" t="s">
        <v>1297</v>
      </c>
      <c r="G15" s="62" t="s">
        <v>1298</v>
      </c>
      <c r="H15" s="33" t="s">
        <v>1299</v>
      </c>
      <c r="I15" s="33" t="s">
        <v>1300</v>
      </c>
      <c r="J15" s="33" t="s">
        <v>1301</v>
      </c>
      <c r="K15" s="63" t="s">
        <v>1302</v>
      </c>
      <c r="L15" s="64" t="s">
        <v>1303</v>
      </c>
      <c r="M15" s="33" t="s">
        <v>1304</v>
      </c>
      <c r="N15" s="60" t="s">
        <v>68</v>
      </c>
    </row>
    <row r="16" customFormat="false" ht="79.5" hidden="false" customHeight="true" outlineLevel="0" collapsed="false">
      <c r="A16" s="65" t="s">
        <v>220</v>
      </c>
      <c r="B16" s="65" t="s">
        <v>38</v>
      </c>
      <c r="C16" s="66" t="s">
        <v>222</v>
      </c>
      <c r="D16" s="35" t="s">
        <v>645</v>
      </c>
      <c r="E16" s="67" t="s">
        <v>1305</v>
      </c>
      <c r="F16" s="67" t="s">
        <v>1306</v>
      </c>
      <c r="G16" s="67" t="s">
        <v>1307</v>
      </c>
      <c r="H16" s="35" t="s">
        <v>1308</v>
      </c>
      <c r="I16" s="35" t="s">
        <v>1309</v>
      </c>
      <c r="J16" s="35" t="s">
        <v>1310</v>
      </c>
      <c r="K16" s="68" t="s">
        <v>1311</v>
      </c>
      <c r="L16" s="69" t="s">
        <v>1312</v>
      </c>
      <c r="M16" s="35" t="s">
        <v>905</v>
      </c>
      <c r="N16" s="65" t="s">
        <v>68</v>
      </c>
    </row>
    <row r="17" customFormat="false" ht="79.5" hidden="false" customHeight="true" outlineLevel="0" collapsed="false">
      <c r="A17" s="60" t="s">
        <v>227</v>
      </c>
      <c r="B17" s="60" t="s">
        <v>38</v>
      </c>
      <c r="C17" s="61" t="s">
        <v>229</v>
      </c>
      <c r="D17" s="33" t="s">
        <v>650</v>
      </c>
      <c r="E17" s="62" t="s">
        <v>1313</v>
      </c>
      <c r="F17" s="62" t="s">
        <v>1314</v>
      </c>
      <c r="G17" s="62" t="s">
        <v>1315</v>
      </c>
      <c r="H17" s="33" t="s">
        <v>1316</v>
      </c>
      <c r="I17" s="33" t="s">
        <v>1317</v>
      </c>
      <c r="J17" s="33" t="s">
        <v>1318</v>
      </c>
      <c r="K17" s="63" t="s">
        <v>1319</v>
      </c>
      <c r="L17" s="64" t="s">
        <v>1320</v>
      </c>
      <c r="M17" s="33" t="s">
        <v>968</v>
      </c>
      <c r="N17" s="60" t="s">
        <v>68</v>
      </c>
    </row>
    <row r="18" customFormat="false" ht="79.5" hidden="false" customHeight="true" outlineLevel="0" collapsed="false">
      <c r="A18" s="65" t="s">
        <v>209</v>
      </c>
      <c r="B18" s="65" t="s">
        <v>38</v>
      </c>
      <c r="C18" s="66" t="s">
        <v>211</v>
      </c>
      <c r="D18" s="35" t="s">
        <v>639</v>
      </c>
      <c r="E18" s="67" t="s">
        <v>1321</v>
      </c>
      <c r="F18" s="67" t="s">
        <v>1322</v>
      </c>
      <c r="G18" s="67" t="s">
        <v>1323</v>
      </c>
      <c r="H18" s="35" t="s">
        <v>1324</v>
      </c>
      <c r="I18" s="35" t="s">
        <v>1325</v>
      </c>
      <c r="J18" s="35" t="s">
        <v>1326</v>
      </c>
      <c r="K18" s="68" t="s">
        <v>1327</v>
      </c>
      <c r="L18" s="69" t="s">
        <v>1328</v>
      </c>
      <c r="M18" s="35" t="s">
        <v>1329</v>
      </c>
      <c r="N18" s="65" t="s">
        <v>68</v>
      </c>
    </row>
    <row r="19" customFormat="false" ht="79.5" hidden="false" customHeight="true" outlineLevel="0" collapsed="false">
      <c r="A19" s="60" t="s">
        <v>240</v>
      </c>
      <c r="B19" s="60" t="s">
        <v>38</v>
      </c>
      <c r="C19" s="61" t="s">
        <v>242</v>
      </c>
      <c r="D19" s="33" t="s">
        <v>660</v>
      </c>
      <c r="E19" s="62" t="s">
        <v>1330</v>
      </c>
      <c r="F19" s="62" t="s">
        <v>1331</v>
      </c>
      <c r="G19" s="62" t="s">
        <v>1332</v>
      </c>
      <c r="H19" s="33" t="s">
        <v>777</v>
      </c>
      <c r="I19" s="33" t="s">
        <v>1333</v>
      </c>
      <c r="J19" s="33" t="s">
        <v>1334</v>
      </c>
      <c r="K19" s="71" t="s">
        <v>1335</v>
      </c>
      <c r="L19" s="64" t="s">
        <v>1336</v>
      </c>
      <c r="M19" s="33" t="s">
        <v>1337</v>
      </c>
      <c r="N19" s="60" t="s">
        <v>172</v>
      </c>
    </row>
    <row r="20" customFormat="false" ht="79.5" hidden="false" customHeight="true" outlineLevel="0" collapsed="false">
      <c r="A20" s="65" t="s">
        <v>246</v>
      </c>
      <c r="B20" s="65" t="s">
        <v>38</v>
      </c>
      <c r="C20" s="66" t="s">
        <v>248</v>
      </c>
      <c r="D20" s="35" t="s">
        <v>664</v>
      </c>
      <c r="E20" s="67" t="s">
        <v>1338</v>
      </c>
      <c r="F20" s="67" t="s">
        <v>1339</v>
      </c>
      <c r="G20" s="67" t="s">
        <v>1340</v>
      </c>
      <c r="H20" s="35" t="s">
        <v>1341</v>
      </c>
      <c r="I20" s="35" t="s">
        <v>1342</v>
      </c>
      <c r="J20" s="35" t="s">
        <v>1343</v>
      </c>
      <c r="K20" s="72" t="s">
        <v>1344</v>
      </c>
      <c r="L20" s="69" t="s">
        <v>1345</v>
      </c>
      <c r="M20" s="35" t="s">
        <v>1346</v>
      </c>
      <c r="N20" s="65" t="s">
        <v>172</v>
      </c>
    </row>
    <row r="21" customFormat="false" ht="18" hidden="false" customHeight="true" outlineLevel="0" collapsed="false">
      <c r="A21" s="70" t="s">
        <v>1347</v>
      </c>
      <c r="B21" s="70"/>
      <c r="C21" s="70"/>
      <c r="D21" s="70"/>
      <c r="E21" s="70"/>
      <c r="F21" s="70"/>
      <c r="G21" s="70"/>
      <c r="H21" s="70"/>
      <c r="I21" s="70"/>
      <c r="J21" s="70"/>
      <c r="K21" s="70"/>
      <c r="L21" s="70"/>
      <c r="M21" s="70"/>
      <c r="N21" s="70"/>
    </row>
    <row r="22" customFormat="false" ht="79.5" hidden="false" customHeight="true" outlineLevel="0" collapsed="false">
      <c r="A22" s="60" t="s">
        <v>1348</v>
      </c>
      <c r="B22" s="60" t="s">
        <v>84</v>
      </c>
      <c r="C22" s="61" t="s">
        <v>86</v>
      </c>
      <c r="D22" s="33" t="s">
        <v>1349</v>
      </c>
      <c r="E22" s="62" t="s">
        <v>1350</v>
      </c>
      <c r="F22" s="62" t="s">
        <v>1351</v>
      </c>
      <c r="G22" s="62" t="s">
        <v>1352</v>
      </c>
      <c r="H22" s="33" t="s">
        <v>1353</v>
      </c>
      <c r="I22" s="33" t="s">
        <v>1354</v>
      </c>
      <c r="J22" s="33" t="s">
        <v>1355</v>
      </c>
      <c r="K22" s="63" t="s">
        <v>1356</v>
      </c>
      <c r="L22" s="64" t="s">
        <v>1357</v>
      </c>
      <c r="M22" s="33" t="s">
        <v>1358</v>
      </c>
      <c r="N22" s="60" t="s">
        <v>45</v>
      </c>
    </row>
    <row r="23" customFormat="false" ht="79.5" hidden="false" customHeight="true" outlineLevel="0" collapsed="false">
      <c r="A23" s="65" t="s">
        <v>90</v>
      </c>
      <c r="B23" s="65" t="s">
        <v>84</v>
      </c>
      <c r="C23" s="66" t="s">
        <v>92</v>
      </c>
      <c r="D23" s="35" t="s">
        <v>1359</v>
      </c>
      <c r="E23" s="67" t="s">
        <v>1360</v>
      </c>
      <c r="F23" s="67" t="s">
        <v>1361</v>
      </c>
      <c r="G23" s="67" t="s">
        <v>1362</v>
      </c>
      <c r="H23" s="35" t="s">
        <v>1363</v>
      </c>
      <c r="I23" s="35" t="s">
        <v>1364</v>
      </c>
      <c r="J23" s="35" t="s">
        <v>1365</v>
      </c>
      <c r="K23" s="68" t="s">
        <v>1366</v>
      </c>
      <c r="L23" s="69" t="s">
        <v>1367</v>
      </c>
      <c r="M23" s="35" t="s">
        <v>1368</v>
      </c>
      <c r="N23" s="65" t="s">
        <v>45</v>
      </c>
    </row>
    <row r="24" customFormat="false" ht="79.5" hidden="false" customHeight="true" outlineLevel="0" collapsed="false">
      <c r="A24" s="60" t="s">
        <v>187</v>
      </c>
      <c r="B24" s="60" t="s">
        <v>84</v>
      </c>
      <c r="C24" s="61" t="s">
        <v>190</v>
      </c>
      <c r="D24" s="33" t="s">
        <v>629</v>
      </c>
      <c r="E24" s="62" t="s">
        <v>1369</v>
      </c>
      <c r="F24" s="62" t="s">
        <v>1370</v>
      </c>
      <c r="G24" s="62" t="s">
        <v>1371</v>
      </c>
      <c r="H24" s="33" t="s">
        <v>1372</v>
      </c>
      <c r="I24" s="33" t="s">
        <v>1373</v>
      </c>
      <c r="J24" s="33" t="s">
        <v>1374</v>
      </c>
      <c r="K24" s="63" t="s">
        <v>1375</v>
      </c>
      <c r="L24" s="64" t="s">
        <v>1376</v>
      </c>
      <c r="M24" s="33" t="s">
        <v>1377</v>
      </c>
      <c r="N24" s="60" t="s">
        <v>68</v>
      </c>
    </row>
    <row r="25" customFormat="false" ht="79.5" hidden="false" customHeight="true" outlineLevel="0" collapsed="false">
      <c r="A25" s="65" t="s">
        <v>99</v>
      </c>
      <c r="B25" s="65" t="s">
        <v>84</v>
      </c>
      <c r="C25" s="66" t="s">
        <v>101</v>
      </c>
      <c r="D25" s="35" t="s">
        <v>1378</v>
      </c>
      <c r="E25" s="67" t="s">
        <v>1379</v>
      </c>
      <c r="F25" s="67" t="s">
        <v>1380</v>
      </c>
      <c r="G25" s="67" t="s">
        <v>1381</v>
      </c>
      <c r="H25" s="35" t="s">
        <v>1382</v>
      </c>
      <c r="I25" s="35" t="s">
        <v>1383</v>
      </c>
      <c r="J25" s="35" t="s">
        <v>1384</v>
      </c>
      <c r="K25" s="68" t="s">
        <v>1385</v>
      </c>
      <c r="L25" s="69" t="s">
        <v>1386</v>
      </c>
      <c r="M25" s="35" t="s">
        <v>1387</v>
      </c>
      <c r="N25" s="65" t="s">
        <v>45</v>
      </c>
    </row>
    <row r="26" customFormat="false" ht="79.5" hidden="false" customHeight="true" outlineLevel="0" collapsed="false">
      <c r="A26" s="60" t="s">
        <v>195</v>
      </c>
      <c r="B26" s="60" t="s">
        <v>84</v>
      </c>
      <c r="C26" s="61" t="s">
        <v>198</v>
      </c>
      <c r="D26" s="33" t="s">
        <v>633</v>
      </c>
      <c r="E26" s="62" t="s">
        <v>1388</v>
      </c>
      <c r="F26" s="62" t="s">
        <v>1389</v>
      </c>
      <c r="G26" s="62" t="s">
        <v>1390</v>
      </c>
      <c r="H26" s="33" t="s">
        <v>1391</v>
      </c>
      <c r="I26" s="33" t="s">
        <v>1392</v>
      </c>
      <c r="J26" s="33" t="s">
        <v>1393</v>
      </c>
      <c r="K26" s="63" t="s">
        <v>1394</v>
      </c>
      <c r="L26" s="64" t="s">
        <v>1395</v>
      </c>
      <c r="M26" s="33" t="s">
        <v>1396</v>
      </c>
      <c r="N26" s="60" t="s">
        <v>68</v>
      </c>
    </row>
    <row r="27" customFormat="false" ht="18" hidden="false" customHeight="true" outlineLevel="0" collapsed="false">
      <c r="A27" s="73" t="s">
        <v>1397</v>
      </c>
      <c r="B27" s="73"/>
      <c r="C27" s="73"/>
      <c r="D27" s="73"/>
      <c r="E27" s="73"/>
      <c r="F27" s="73"/>
      <c r="G27" s="73"/>
      <c r="H27" s="73"/>
      <c r="I27" s="73"/>
      <c r="J27" s="73"/>
      <c r="K27" s="73"/>
      <c r="L27" s="73"/>
      <c r="M27" s="73"/>
      <c r="N27" s="73"/>
    </row>
    <row r="28" customFormat="false" ht="79.5" hidden="false" customHeight="true" outlineLevel="0" collapsed="false">
      <c r="A28" s="74" t="s">
        <v>1398</v>
      </c>
      <c r="B28" s="74" t="s">
        <v>105</v>
      </c>
      <c r="C28" s="75" t="s">
        <v>107</v>
      </c>
      <c r="D28" s="76" t="s">
        <v>1399</v>
      </c>
      <c r="E28" s="77" t="s">
        <v>1400</v>
      </c>
      <c r="F28" s="77" t="s">
        <v>1401</v>
      </c>
      <c r="G28" s="77" t="s">
        <v>1402</v>
      </c>
      <c r="H28" s="76" t="s">
        <v>755</v>
      </c>
      <c r="I28" s="76" t="s">
        <v>1403</v>
      </c>
      <c r="J28" s="76" t="s">
        <v>1404</v>
      </c>
      <c r="K28" s="78" t="s">
        <v>1405</v>
      </c>
      <c r="L28" s="79" t="s">
        <v>1406</v>
      </c>
      <c r="M28" s="76" t="s">
        <v>757</v>
      </c>
      <c r="N28" s="74" t="s">
        <v>45</v>
      </c>
    </row>
    <row r="29" customFormat="false" ht="79.5" hidden="false" customHeight="true" outlineLevel="0" collapsed="false">
      <c r="A29" s="60" t="s">
        <v>111</v>
      </c>
      <c r="B29" s="60" t="s">
        <v>105</v>
      </c>
      <c r="C29" s="61" t="s">
        <v>113</v>
      </c>
      <c r="D29" s="33" t="s">
        <v>1407</v>
      </c>
      <c r="E29" s="62" t="s">
        <v>1408</v>
      </c>
      <c r="F29" s="62" t="s">
        <v>1409</v>
      </c>
      <c r="G29" s="62" t="s">
        <v>1410</v>
      </c>
      <c r="H29" s="33" t="s">
        <v>1411</v>
      </c>
      <c r="I29" s="33" t="s">
        <v>1412</v>
      </c>
      <c r="J29" s="33" t="s">
        <v>1413</v>
      </c>
      <c r="K29" s="63" t="s">
        <v>1414</v>
      </c>
      <c r="L29" s="64" t="s">
        <v>1415</v>
      </c>
      <c r="M29" s="33" t="s">
        <v>725</v>
      </c>
      <c r="N29" s="60" t="s">
        <v>45</v>
      </c>
    </row>
    <row r="30" customFormat="false" ht="79.5" hidden="false" customHeight="true" outlineLevel="0" collapsed="false">
      <c r="A30" s="65" t="s">
        <v>1416</v>
      </c>
      <c r="B30" s="65" t="s">
        <v>105</v>
      </c>
      <c r="C30" s="66" t="s">
        <v>118</v>
      </c>
      <c r="D30" s="35" t="s">
        <v>1417</v>
      </c>
      <c r="E30" s="67" t="s">
        <v>1418</v>
      </c>
      <c r="F30" s="67" t="s">
        <v>1419</v>
      </c>
      <c r="G30" s="67" t="s">
        <v>1420</v>
      </c>
      <c r="H30" s="35" t="s">
        <v>1421</v>
      </c>
      <c r="I30" s="35" t="s">
        <v>1422</v>
      </c>
      <c r="J30" s="35" t="s">
        <v>1423</v>
      </c>
      <c r="K30" s="68" t="s">
        <v>1424</v>
      </c>
      <c r="L30" s="69" t="s">
        <v>1425</v>
      </c>
      <c r="M30" s="35" t="s">
        <v>1426</v>
      </c>
      <c r="N30" s="65" t="s">
        <v>45</v>
      </c>
    </row>
    <row r="31" customFormat="false" ht="79.5" hidden="false" customHeight="true" outlineLevel="0" collapsed="false">
      <c r="A31" s="74" t="s">
        <v>161</v>
      </c>
      <c r="B31" s="74" t="s">
        <v>105</v>
      </c>
      <c r="C31" s="75" t="s">
        <v>163</v>
      </c>
      <c r="D31" s="76" t="s">
        <v>619</v>
      </c>
      <c r="E31" s="77" t="s">
        <v>1427</v>
      </c>
      <c r="F31" s="77" t="s">
        <v>1428</v>
      </c>
      <c r="G31" s="77" t="s">
        <v>1429</v>
      </c>
      <c r="H31" s="76" t="s">
        <v>1430</v>
      </c>
      <c r="I31" s="76" t="s">
        <v>1431</v>
      </c>
      <c r="J31" s="76" t="s">
        <v>1432</v>
      </c>
      <c r="K31" s="78" t="s">
        <v>1433</v>
      </c>
      <c r="L31" s="79" t="s">
        <v>1434</v>
      </c>
      <c r="M31" s="76" t="s">
        <v>750</v>
      </c>
      <c r="N31" s="74" t="s">
        <v>68</v>
      </c>
    </row>
    <row r="32" customFormat="false" ht="79.5" hidden="false" customHeight="true" outlineLevel="0" collapsed="false">
      <c r="A32" s="60" t="s">
        <v>174</v>
      </c>
      <c r="B32" s="60" t="s">
        <v>105</v>
      </c>
      <c r="C32" s="61" t="s">
        <v>177</v>
      </c>
      <c r="D32" s="33" t="s">
        <v>624</v>
      </c>
      <c r="E32" s="62" t="s">
        <v>1435</v>
      </c>
      <c r="F32" s="62" t="s">
        <v>1436</v>
      </c>
      <c r="G32" s="62" t="s">
        <v>1437</v>
      </c>
      <c r="H32" s="33" t="s">
        <v>1438</v>
      </c>
      <c r="I32" s="33" t="s">
        <v>1439</v>
      </c>
      <c r="J32" s="33" t="s">
        <v>1440</v>
      </c>
      <c r="K32" s="63" t="s">
        <v>1441</v>
      </c>
      <c r="L32" s="64" t="s">
        <v>1442</v>
      </c>
      <c r="M32" s="33" t="s">
        <v>745</v>
      </c>
      <c r="N32" s="60" t="s">
        <v>68</v>
      </c>
    </row>
    <row r="33" customFormat="false" ht="18" hidden="false" customHeight="true" outlineLevel="0" collapsed="false">
      <c r="A33" s="80" t="s">
        <v>1443</v>
      </c>
      <c r="B33" s="80"/>
      <c r="C33" s="80"/>
      <c r="D33" s="80"/>
      <c r="E33" s="80"/>
      <c r="F33" s="80"/>
      <c r="G33" s="80"/>
      <c r="H33" s="80"/>
      <c r="I33" s="80"/>
      <c r="J33" s="80"/>
      <c r="K33" s="80"/>
      <c r="L33" s="80"/>
      <c r="M33" s="80"/>
      <c r="N33" s="80"/>
    </row>
    <row r="34" customFormat="false" ht="79.5" hidden="false" customHeight="true" outlineLevel="0" collapsed="false">
      <c r="A34" s="81" t="s">
        <v>121</v>
      </c>
      <c r="B34" s="81" t="s">
        <v>122</v>
      </c>
      <c r="C34" s="82" t="s">
        <v>124</v>
      </c>
      <c r="D34" s="83" t="s">
        <v>1444</v>
      </c>
      <c r="E34" s="84" t="s">
        <v>1445</v>
      </c>
      <c r="F34" s="84" t="s">
        <v>1446</v>
      </c>
      <c r="G34" s="84" t="s">
        <v>1447</v>
      </c>
      <c r="H34" s="83" t="s">
        <v>1448</v>
      </c>
      <c r="I34" s="83" t="s">
        <v>1449</v>
      </c>
      <c r="J34" s="83" t="s">
        <v>1450</v>
      </c>
      <c r="K34" s="85" t="s">
        <v>1451</v>
      </c>
      <c r="L34" s="86" t="s">
        <v>1452</v>
      </c>
      <c r="M34" s="83" t="s">
        <v>789</v>
      </c>
      <c r="N34" s="81" t="s">
        <v>45</v>
      </c>
    </row>
    <row r="35" customFormat="false" ht="79.5" hidden="false" customHeight="true" outlineLevel="0" collapsed="false">
      <c r="A35" s="60" t="s">
        <v>145</v>
      </c>
      <c r="B35" s="60" t="s">
        <v>122</v>
      </c>
      <c r="C35" s="61" t="s">
        <v>149</v>
      </c>
      <c r="D35" s="33" t="s">
        <v>605</v>
      </c>
      <c r="E35" s="62" t="s">
        <v>1453</v>
      </c>
      <c r="F35" s="62" t="s">
        <v>1454</v>
      </c>
      <c r="G35" s="62" t="s">
        <v>1455</v>
      </c>
      <c r="H35" s="33" t="s">
        <v>1456</v>
      </c>
      <c r="I35" s="33" t="s">
        <v>1457</v>
      </c>
      <c r="J35" s="33" t="s">
        <v>1458</v>
      </c>
      <c r="K35" s="63" t="s">
        <v>1459</v>
      </c>
      <c r="L35" s="64" t="s">
        <v>1460</v>
      </c>
      <c r="M35" s="33" t="s">
        <v>1461</v>
      </c>
      <c r="N35" s="60" t="s">
        <v>45</v>
      </c>
    </row>
    <row r="36" customFormat="false" ht="79.5" hidden="false" customHeight="true" outlineLevel="0" collapsed="false">
      <c r="A36" s="81" t="s">
        <v>154</v>
      </c>
      <c r="B36" s="81" t="s">
        <v>122</v>
      </c>
      <c r="C36" s="82" t="s">
        <v>156</v>
      </c>
      <c r="D36" s="83" t="s">
        <v>610</v>
      </c>
      <c r="E36" s="84" t="s">
        <v>1462</v>
      </c>
      <c r="F36" s="84" t="s">
        <v>1463</v>
      </c>
      <c r="G36" s="84" t="s">
        <v>1464</v>
      </c>
      <c r="H36" s="83" t="s">
        <v>1465</v>
      </c>
      <c r="I36" s="83" t="s">
        <v>1466</v>
      </c>
      <c r="J36" s="83" t="s">
        <v>1467</v>
      </c>
      <c r="K36" s="85" t="s">
        <v>1468</v>
      </c>
      <c r="L36" s="86" t="s">
        <v>1469</v>
      </c>
      <c r="M36" s="83" t="s">
        <v>1470</v>
      </c>
      <c r="N36" s="81" t="s">
        <v>45</v>
      </c>
    </row>
    <row r="37" customFormat="false" ht="79.5" hidden="false" customHeight="true" outlineLevel="0" collapsed="false">
      <c r="A37" s="60" t="s">
        <v>202</v>
      </c>
      <c r="B37" s="60" t="s">
        <v>122</v>
      </c>
      <c r="C37" s="61" t="s">
        <v>204</v>
      </c>
      <c r="D37" s="33" t="s">
        <v>614</v>
      </c>
      <c r="E37" s="62" t="s">
        <v>1471</v>
      </c>
      <c r="F37" s="62" t="s">
        <v>1472</v>
      </c>
      <c r="G37" s="62" t="s">
        <v>1473</v>
      </c>
      <c r="H37" s="33" t="s">
        <v>1474</v>
      </c>
      <c r="I37" s="33" t="s">
        <v>1475</v>
      </c>
      <c r="J37" s="33" t="s">
        <v>1476</v>
      </c>
      <c r="K37" s="63" t="s">
        <v>1477</v>
      </c>
      <c r="L37" s="64" t="s">
        <v>1478</v>
      </c>
      <c r="M37" s="33" t="s">
        <v>795</v>
      </c>
      <c r="N37" s="60" t="s">
        <v>68</v>
      </c>
    </row>
    <row r="38" customFormat="false" ht="18" hidden="false" customHeight="true" outlineLevel="0" collapsed="false">
      <c r="A38" s="87" t="s">
        <v>1479</v>
      </c>
      <c r="B38" s="87"/>
      <c r="C38" s="87"/>
      <c r="D38" s="87"/>
      <c r="E38" s="87"/>
      <c r="F38" s="87"/>
      <c r="G38" s="87"/>
      <c r="H38" s="87"/>
      <c r="I38" s="87"/>
      <c r="J38" s="87"/>
      <c r="K38" s="87"/>
      <c r="L38" s="87"/>
      <c r="M38" s="87"/>
      <c r="N38" s="87"/>
    </row>
    <row r="39" customFormat="false" ht="79.5" hidden="false" customHeight="true" outlineLevel="0" collapsed="false">
      <c r="A39" s="88" t="s">
        <v>132</v>
      </c>
      <c r="B39" s="88" t="s">
        <v>133</v>
      </c>
      <c r="C39" s="89" t="s">
        <v>135</v>
      </c>
      <c r="D39" s="90" t="s">
        <v>1480</v>
      </c>
      <c r="E39" s="91" t="s">
        <v>1481</v>
      </c>
      <c r="F39" s="91" t="s">
        <v>1482</v>
      </c>
      <c r="G39" s="91" t="s">
        <v>1483</v>
      </c>
      <c r="H39" s="90" t="s">
        <v>762</v>
      </c>
      <c r="I39" s="90" t="s">
        <v>1484</v>
      </c>
      <c r="J39" s="90" t="s">
        <v>1485</v>
      </c>
      <c r="K39" s="92" t="s">
        <v>1486</v>
      </c>
      <c r="L39" s="93" t="s">
        <v>1487</v>
      </c>
      <c r="M39" s="90" t="s">
        <v>764</v>
      </c>
      <c r="N39" s="88" t="s">
        <v>45</v>
      </c>
    </row>
    <row r="40" customFormat="false" ht="79.5" hidden="false" customHeight="true" outlineLevel="0" collapsed="false">
      <c r="A40" s="88" t="s">
        <v>138</v>
      </c>
      <c r="B40" s="88" t="s">
        <v>133</v>
      </c>
      <c r="C40" s="89" t="s">
        <v>140</v>
      </c>
      <c r="D40" s="90" t="s">
        <v>1488</v>
      </c>
      <c r="E40" s="91" t="s">
        <v>1489</v>
      </c>
      <c r="F40" s="91" t="s">
        <v>1490</v>
      </c>
      <c r="G40" s="91" t="s">
        <v>1491</v>
      </c>
      <c r="H40" s="90" t="s">
        <v>1492</v>
      </c>
      <c r="I40" s="90" t="s">
        <v>1493</v>
      </c>
      <c r="J40" s="90" t="s">
        <v>1494</v>
      </c>
      <c r="K40" s="92" t="s">
        <v>1495</v>
      </c>
      <c r="L40" s="93" t="s">
        <v>1496</v>
      </c>
      <c r="M40" s="90" t="s">
        <v>831</v>
      </c>
      <c r="N40" s="88" t="s">
        <v>45</v>
      </c>
    </row>
    <row r="41" customFormat="false" ht="18" hidden="false" customHeight="true" outlineLevel="0" collapsed="false">
      <c r="A41" s="70" t="s">
        <v>1497</v>
      </c>
      <c r="B41" s="70"/>
      <c r="C41" s="70"/>
      <c r="D41" s="70"/>
      <c r="E41" s="70"/>
      <c r="F41" s="70"/>
      <c r="G41" s="70"/>
      <c r="H41" s="70"/>
      <c r="I41" s="70"/>
      <c r="J41" s="70"/>
      <c r="K41" s="70"/>
      <c r="L41" s="70"/>
      <c r="M41" s="70"/>
      <c r="N41" s="70"/>
    </row>
    <row r="42" customFormat="false" ht="79.5" hidden="false" customHeight="true" outlineLevel="0" collapsed="false">
      <c r="A42" s="74" t="s">
        <v>1498</v>
      </c>
      <c r="B42" s="74" t="s">
        <v>261</v>
      </c>
      <c r="C42" s="75" t="s">
        <v>264</v>
      </c>
      <c r="D42" s="76" t="s">
        <v>673</v>
      </c>
      <c r="E42" s="77" t="s">
        <v>1499</v>
      </c>
      <c r="F42" s="77" t="s">
        <v>1500</v>
      </c>
      <c r="G42" s="77" t="s">
        <v>1501</v>
      </c>
      <c r="H42" s="76" t="s">
        <v>1502</v>
      </c>
      <c r="I42" s="76" t="s">
        <v>1503</v>
      </c>
      <c r="J42" s="76" t="s">
        <v>1504</v>
      </c>
      <c r="K42" s="94" t="s">
        <v>1505</v>
      </c>
      <c r="L42" s="79" t="s">
        <v>1506</v>
      </c>
      <c r="M42" s="76" t="s">
        <v>938</v>
      </c>
      <c r="N42" s="74" t="s">
        <v>68</v>
      </c>
    </row>
    <row r="43" customFormat="false" ht="79.5" hidden="false" customHeight="true" outlineLevel="0" collapsed="false">
      <c r="A43" s="60" t="s">
        <v>1507</v>
      </c>
      <c r="B43" s="60" t="s">
        <v>261</v>
      </c>
      <c r="C43" s="61" t="s">
        <v>272</v>
      </c>
      <c r="D43" s="33" t="s">
        <v>679</v>
      </c>
      <c r="E43" s="62" t="s">
        <v>1508</v>
      </c>
      <c r="F43" s="62" t="s">
        <v>1509</v>
      </c>
      <c r="G43" s="62" t="s">
        <v>1510</v>
      </c>
      <c r="H43" s="33" t="s">
        <v>1511</v>
      </c>
      <c r="I43" s="33" t="s">
        <v>1512</v>
      </c>
      <c r="J43" s="33" t="s">
        <v>1513</v>
      </c>
      <c r="K43" s="71" t="s">
        <v>1514</v>
      </c>
      <c r="L43" s="64" t="s">
        <v>1515</v>
      </c>
      <c r="M43" s="33" t="s">
        <v>930</v>
      </c>
      <c r="N43" s="60" t="s">
        <v>172</v>
      </c>
    </row>
    <row r="44" customFormat="false" ht="79.5" hidden="false" customHeight="true" outlineLevel="0" collapsed="false">
      <c r="A44" s="60" t="s">
        <v>287</v>
      </c>
      <c r="B44" s="60" t="s">
        <v>261</v>
      </c>
      <c r="C44" s="61" t="s">
        <v>290</v>
      </c>
      <c r="D44" s="33" t="s">
        <v>686</v>
      </c>
      <c r="E44" s="62" t="s">
        <v>1516</v>
      </c>
      <c r="F44" s="62" t="s">
        <v>1517</v>
      </c>
      <c r="G44" s="62" t="s">
        <v>1518</v>
      </c>
      <c r="H44" s="33" t="s">
        <v>1519</v>
      </c>
      <c r="I44" s="33" t="s">
        <v>1520</v>
      </c>
      <c r="J44" s="33" t="s">
        <v>1521</v>
      </c>
      <c r="K44" s="71" t="s">
        <v>1522</v>
      </c>
      <c r="L44" s="64" t="s">
        <v>1523</v>
      </c>
      <c r="M44" s="33" t="s">
        <v>770</v>
      </c>
      <c r="N44" s="60" t="s">
        <v>172</v>
      </c>
    </row>
    <row r="45" customFormat="false" ht="79.5" hidden="false" customHeight="true" outlineLevel="0" collapsed="false">
      <c r="A45" s="74" t="s">
        <v>1524</v>
      </c>
      <c r="B45" s="74" t="s">
        <v>254</v>
      </c>
      <c r="C45" s="75" t="s">
        <v>255</v>
      </c>
      <c r="D45" s="76" t="s">
        <v>669</v>
      </c>
      <c r="E45" s="77" t="s">
        <v>1525</v>
      </c>
      <c r="F45" s="77" t="s">
        <v>1526</v>
      </c>
      <c r="G45" s="77" t="s">
        <v>1527</v>
      </c>
      <c r="H45" s="76" t="s">
        <v>1528</v>
      </c>
      <c r="I45" s="76" t="s">
        <v>1529</v>
      </c>
      <c r="J45" s="76" t="s">
        <v>1530</v>
      </c>
      <c r="K45" s="94" t="s">
        <v>1531</v>
      </c>
      <c r="L45" s="79" t="s">
        <v>1532</v>
      </c>
      <c r="M45" s="76" t="s">
        <v>988</v>
      </c>
      <c r="N45" s="74" t="s">
        <v>172</v>
      </c>
    </row>
    <row r="46" customFormat="false" ht="79.5" hidden="false" customHeight="true" outlineLevel="0" collapsed="false">
      <c r="A46" s="60" t="s">
        <v>279</v>
      </c>
      <c r="B46" s="60" t="s">
        <v>261</v>
      </c>
      <c r="C46" s="61" t="s">
        <v>282</v>
      </c>
      <c r="D46" s="33" t="s">
        <v>684</v>
      </c>
      <c r="E46" s="62" t="s">
        <v>1533</v>
      </c>
      <c r="F46" s="62" t="s">
        <v>1534</v>
      </c>
      <c r="G46" s="62" t="s">
        <v>1535</v>
      </c>
      <c r="H46" s="33" t="s">
        <v>1536</v>
      </c>
      <c r="I46" s="33" t="s">
        <v>1537</v>
      </c>
      <c r="J46" s="33" t="s">
        <v>1538</v>
      </c>
      <c r="K46" s="71" t="s">
        <v>1539</v>
      </c>
      <c r="L46" s="64" t="s">
        <v>1540</v>
      </c>
      <c r="M46" s="33" t="s">
        <v>999</v>
      </c>
      <c r="N46" s="60" t="s">
        <v>285</v>
      </c>
    </row>
  </sheetData>
  <mergeCells count="9">
    <mergeCell ref="A1:N1"/>
    <mergeCell ref="A2:N2"/>
    <mergeCell ref="A4:N4"/>
    <mergeCell ref="A12:N12"/>
    <mergeCell ref="A21:N21"/>
    <mergeCell ref="A27:N27"/>
    <mergeCell ref="A33:N33"/>
    <mergeCell ref="A38:N38"/>
    <mergeCell ref="A41:N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2"/>
    <col collapsed="false" customWidth="true" hidden="false" outlineLevel="0" max="3" min="3" style="1" width="6"/>
    <col collapsed="false" customWidth="true" hidden="false" outlineLevel="0" max="4" min="4" style="1" width="8"/>
    <col collapsed="false" customWidth="true" hidden="false" outlineLevel="0" max="6" min="5" style="1" width="14"/>
    <col collapsed="false" customWidth="true" hidden="false" outlineLevel="0" max="7" min="7" style="1" width="20"/>
    <col collapsed="false" customWidth="true" hidden="false" outlineLevel="0" max="8" min="8" style="1" width="24"/>
    <col collapsed="false" customWidth="true" hidden="false" outlineLevel="0" max="9" min="9" style="1" width="14"/>
    <col collapsed="false" customWidth="true" hidden="false" outlineLevel="0" max="10" min="10" style="1" width="44"/>
    <col collapsed="false" customWidth="true" hidden="false" outlineLevel="0" max="11" min="11" style="1" width="40"/>
    <col collapsed="false" customWidth="true" hidden="false" outlineLevel="0" max="13" min="12" style="1" width="22"/>
    <col collapsed="false" customWidth="true" hidden="false" outlineLevel="0" max="14" min="14" style="1" width="26"/>
  </cols>
  <sheetData>
    <row r="1" customFormat="false" ht="21.75" hidden="false" customHeight="true" outlineLevel="0" collapsed="false">
      <c r="A1" s="95" t="s">
        <v>1541</v>
      </c>
      <c r="B1" s="95"/>
      <c r="C1" s="95"/>
      <c r="D1" s="95"/>
      <c r="E1" s="95"/>
      <c r="F1" s="95"/>
      <c r="G1" s="95"/>
      <c r="H1" s="95"/>
      <c r="I1" s="95"/>
      <c r="J1" s="95"/>
      <c r="K1" s="95"/>
      <c r="L1" s="95"/>
      <c r="M1" s="95"/>
      <c r="N1" s="95"/>
    </row>
    <row r="2" customFormat="false" ht="30" hidden="false" customHeight="true" outlineLevel="0" collapsed="false">
      <c r="A2" s="76" t="s">
        <v>1542</v>
      </c>
      <c r="B2" s="76"/>
      <c r="C2" s="76"/>
      <c r="D2" s="76"/>
      <c r="E2" s="76"/>
      <c r="F2" s="76"/>
      <c r="G2" s="76"/>
      <c r="H2" s="76"/>
      <c r="I2" s="76"/>
      <c r="J2" s="76"/>
      <c r="K2" s="76"/>
      <c r="L2" s="76"/>
      <c r="M2" s="76"/>
      <c r="N2" s="76"/>
    </row>
    <row r="3" customFormat="false" ht="39.75" hidden="false" customHeight="true" outlineLevel="0" collapsed="false">
      <c r="A3" s="96" t="s">
        <v>1543</v>
      </c>
      <c r="B3" s="96" t="s">
        <v>1544</v>
      </c>
      <c r="C3" s="96" t="s">
        <v>324</v>
      </c>
      <c r="D3" s="96" t="s">
        <v>1545</v>
      </c>
      <c r="E3" s="96" t="s">
        <v>1546</v>
      </c>
      <c r="F3" s="96" t="s">
        <v>1547</v>
      </c>
      <c r="G3" s="96" t="s">
        <v>1548</v>
      </c>
      <c r="H3" s="96" t="s">
        <v>1549</v>
      </c>
      <c r="I3" s="96" t="s">
        <v>1550</v>
      </c>
      <c r="J3" s="96" t="s">
        <v>1551</v>
      </c>
      <c r="K3" s="96" t="s">
        <v>1552</v>
      </c>
      <c r="L3" s="96" t="s">
        <v>1553</v>
      </c>
      <c r="M3" s="96" t="s">
        <v>1554</v>
      </c>
      <c r="N3" s="96" t="s">
        <v>1555</v>
      </c>
    </row>
    <row r="4" customFormat="false" ht="18" hidden="false" customHeight="true" outlineLevel="0" collapsed="false">
      <c r="A4" s="97" t="s">
        <v>1556</v>
      </c>
      <c r="B4" s="97"/>
      <c r="C4" s="97"/>
      <c r="D4" s="97"/>
      <c r="E4" s="97"/>
      <c r="F4" s="97"/>
      <c r="G4" s="97"/>
      <c r="H4" s="97"/>
      <c r="I4" s="97"/>
      <c r="J4" s="97"/>
      <c r="K4" s="97"/>
      <c r="L4" s="97"/>
      <c r="M4" s="97"/>
      <c r="N4" s="97"/>
    </row>
    <row r="5" customFormat="false" ht="13.5" hidden="false" customHeight="true" outlineLevel="0" collapsed="false">
      <c r="A5" s="98" t="s">
        <v>1557</v>
      </c>
      <c r="B5" s="98"/>
      <c r="C5" s="98"/>
      <c r="D5" s="98"/>
      <c r="E5" s="98"/>
      <c r="F5" s="98"/>
      <c r="G5" s="98"/>
      <c r="H5" s="98"/>
      <c r="I5" s="98"/>
      <c r="J5" s="98"/>
      <c r="K5" s="98"/>
      <c r="L5" s="98"/>
      <c r="M5" s="98"/>
      <c r="N5" s="98"/>
    </row>
    <row r="6" customFormat="false" ht="45" hidden="false" customHeight="true" outlineLevel="0" collapsed="false">
      <c r="A6" s="34" t="s">
        <v>1558</v>
      </c>
      <c r="B6" s="34" t="s">
        <v>1559</v>
      </c>
      <c r="C6" s="99" t="s">
        <v>1543</v>
      </c>
      <c r="D6" s="35"/>
      <c r="E6" s="35"/>
      <c r="F6" s="35"/>
      <c r="G6" s="35"/>
      <c r="H6" s="35"/>
      <c r="I6" s="35" t="s">
        <v>1560</v>
      </c>
      <c r="J6" s="67" t="s">
        <v>1561</v>
      </c>
      <c r="K6" s="35" t="s">
        <v>62</v>
      </c>
      <c r="L6" s="35" t="s">
        <v>1562</v>
      </c>
      <c r="M6" s="72"/>
      <c r="N6" s="35" t="s">
        <v>1563</v>
      </c>
    </row>
    <row r="7" customFormat="false" ht="45" hidden="false" customHeight="true" outlineLevel="0" collapsed="false">
      <c r="A7" s="32" t="s">
        <v>1564</v>
      </c>
      <c r="B7" s="32" t="s">
        <v>1565</v>
      </c>
      <c r="C7" s="100" t="s">
        <v>1543</v>
      </c>
      <c r="D7" s="33"/>
      <c r="E7" s="33"/>
      <c r="F7" s="33"/>
      <c r="G7" s="33"/>
      <c r="H7" s="33"/>
      <c r="I7" s="33" t="s">
        <v>1560</v>
      </c>
      <c r="J7" s="62" t="s">
        <v>62</v>
      </c>
      <c r="K7" s="33" t="s">
        <v>62</v>
      </c>
      <c r="L7" s="33" t="s">
        <v>1562</v>
      </c>
      <c r="M7" s="71"/>
      <c r="N7" s="33"/>
    </row>
    <row r="8" customFormat="false" ht="45" hidden="false" customHeight="true" outlineLevel="0" collapsed="false">
      <c r="A8" s="34" t="s">
        <v>1566</v>
      </c>
      <c r="B8" s="34" t="s">
        <v>1567</v>
      </c>
      <c r="C8" s="99" t="s">
        <v>1543</v>
      </c>
      <c r="D8" s="35"/>
      <c r="E8" s="35"/>
      <c r="F8" s="35"/>
      <c r="G8" s="35"/>
      <c r="H8" s="35"/>
      <c r="I8" s="35" t="s">
        <v>1560</v>
      </c>
      <c r="J8" s="67" t="s">
        <v>62</v>
      </c>
      <c r="K8" s="35" t="s">
        <v>62</v>
      </c>
      <c r="L8" s="35" t="s">
        <v>1562</v>
      </c>
      <c r="M8" s="72"/>
      <c r="N8" s="35" t="s">
        <v>1568</v>
      </c>
    </row>
    <row r="9" customFormat="false" ht="45" hidden="false" customHeight="true" outlineLevel="0" collapsed="false">
      <c r="A9" s="32" t="s">
        <v>1569</v>
      </c>
      <c r="B9" s="32" t="s">
        <v>1570</v>
      </c>
      <c r="C9" s="100" t="s">
        <v>1543</v>
      </c>
      <c r="D9" s="33"/>
      <c r="E9" s="33"/>
      <c r="F9" s="33"/>
      <c r="G9" s="33"/>
      <c r="H9" s="33"/>
      <c r="I9" s="33" t="s">
        <v>1560</v>
      </c>
      <c r="J9" s="62" t="s">
        <v>62</v>
      </c>
      <c r="K9" s="33" t="s">
        <v>62</v>
      </c>
      <c r="L9" s="33" t="s">
        <v>1562</v>
      </c>
      <c r="M9" s="71"/>
      <c r="N9" s="33"/>
    </row>
    <row r="10" customFormat="false" ht="45" hidden="false" customHeight="true" outlineLevel="0" collapsed="false">
      <c r="A10" s="34" t="s">
        <v>1571</v>
      </c>
      <c r="B10" s="34" t="s">
        <v>1572</v>
      </c>
      <c r="C10" s="99" t="s">
        <v>1543</v>
      </c>
      <c r="D10" s="35"/>
      <c r="E10" s="35"/>
      <c r="F10" s="35"/>
      <c r="G10" s="35"/>
      <c r="H10" s="35"/>
      <c r="I10" s="35" t="s">
        <v>1560</v>
      </c>
      <c r="J10" s="67" t="s">
        <v>62</v>
      </c>
      <c r="K10" s="35" t="s">
        <v>62</v>
      </c>
      <c r="L10" s="35" t="s">
        <v>1562</v>
      </c>
      <c r="M10" s="72"/>
      <c r="N10" s="35"/>
    </row>
    <row r="11" customFormat="false" ht="45" hidden="false" customHeight="true" outlineLevel="0" collapsed="false">
      <c r="A11" s="32" t="s">
        <v>1573</v>
      </c>
      <c r="B11" s="32" t="s">
        <v>1574</v>
      </c>
      <c r="C11" s="100" t="s">
        <v>1543</v>
      </c>
      <c r="D11" s="33"/>
      <c r="E11" s="33"/>
      <c r="F11" s="33"/>
      <c r="G11" s="33"/>
      <c r="H11" s="33"/>
      <c r="I11" s="33" t="s">
        <v>1560</v>
      </c>
      <c r="J11" s="62" t="s">
        <v>62</v>
      </c>
      <c r="K11" s="33" t="s">
        <v>62</v>
      </c>
      <c r="L11" s="33" t="s">
        <v>1562</v>
      </c>
      <c r="M11" s="71"/>
      <c r="N11" s="33" t="s">
        <v>1575</v>
      </c>
    </row>
    <row r="12" customFormat="false" ht="45" hidden="false" customHeight="true" outlineLevel="0" collapsed="false">
      <c r="A12" s="34" t="s">
        <v>1576</v>
      </c>
      <c r="B12" s="34" t="s">
        <v>1577</v>
      </c>
      <c r="C12" s="99" t="s">
        <v>1543</v>
      </c>
      <c r="D12" s="35"/>
      <c r="E12" s="35"/>
      <c r="F12" s="35"/>
      <c r="G12" s="35"/>
      <c r="H12" s="35"/>
      <c r="I12" s="35" t="s">
        <v>1560</v>
      </c>
      <c r="J12" s="67" t="s">
        <v>62</v>
      </c>
      <c r="K12" s="35" t="s">
        <v>62</v>
      </c>
      <c r="L12" s="35" t="s">
        <v>1562</v>
      </c>
      <c r="M12" s="72"/>
      <c r="N12" s="35" t="s">
        <v>1578</v>
      </c>
    </row>
    <row r="13" customFormat="false" ht="45" hidden="false" customHeight="true" outlineLevel="0" collapsed="false">
      <c r="A13" s="32" t="s">
        <v>1579</v>
      </c>
      <c r="B13" s="32" t="s">
        <v>1580</v>
      </c>
      <c r="C13" s="100" t="s">
        <v>1543</v>
      </c>
      <c r="D13" s="33"/>
      <c r="E13" s="33"/>
      <c r="F13" s="33"/>
      <c r="G13" s="33"/>
      <c r="H13" s="33"/>
      <c r="I13" s="33" t="s">
        <v>1560</v>
      </c>
      <c r="J13" s="62" t="s">
        <v>62</v>
      </c>
      <c r="K13" s="33" t="s">
        <v>62</v>
      </c>
      <c r="L13" s="33" t="s">
        <v>1562</v>
      </c>
      <c r="M13" s="71"/>
      <c r="N13" s="33"/>
    </row>
    <row r="15" customFormat="false" ht="18" hidden="false" customHeight="true" outlineLevel="0" collapsed="false">
      <c r="A15" s="101" t="s">
        <v>1581</v>
      </c>
      <c r="B15" s="101"/>
      <c r="C15" s="101"/>
      <c r="D15" s="101"/>
      <c r="E15" s="101"/>
      <c r="F15" s="101"/>
      <c r="G15" s="101"/>
      <c r="H15" s="101"/>
      <c r="I15" s="101"/>
      <c r="J15" s="101"/>
      <c r="K15" s="101"/>
      <c r="L15" s="101"/>
      <c r="M15" s="101"/>
      <c r="N15" s="101"/>
    </row>
    <row r="16" customFormat="false" ht="13.5" hidden="false" customHeight="true" outlineLevel="0" collapsed="false">
      <c r="A16" s="102" t="s">
        <v>1582</v>
      </c>
      <c r="B16" s="102"/>
      <c r="C16" s="102"/>
      <c r="D16" s="102"/>
      <c r="E16" s="102"/>
      <c r="F16" s="102"/>
      <c r="G16" s="102"/>
      <c r="H16" s="102"/>
      <c r="I16" s="102"/>
      <c r="J16" s="102"/>
      <c r="K16" s="102"/>
      <c r="L16" s="102"/>
      <c r="M16" s="102"/>
      <c r="N16" s="102"/>
    </row>
    <row r="17" customFormat="false" ht="45" hidden="false" customHeight="true" outlineLevel="0" collapsed="false">
      <c r="A17" s="34" t="s">
        <v>1583</v>
      </c>
      <c r="B17" s="34" t="s">
        <v>1584</v>
      </c>
      <c r="C17" s="99" t="s">
        <v>974</v>
      </c>
      <c r="D17" s="35"/>
      <c r="E17" s="35"/>
      <c r="F17" s="35"/>
      <c r="G17" s="35"/>
      <c r="H17" s="35"/>
      <c r="I17" s="35" t="s">
        <v>1145</v>
      </c>
      <c r="J17" s="67" t="s">
        <v>62</v>
      </c>
      <c r="K17" s="35" t="s">
        <v>62</v>
      </c>
      <c r="L17" s="35" t="s">
        <v>1585</v>
      </c>
      <c r="M17" s="72"/>
      <c r="N17" s="35" t="s">
        <v>1586</v>
      </c>
    </row>
    <row r="18" customFormat="false" ht="45" hidden="false" customHeight="true" outlineLevel="0" collapsed="false">
      <c r="A18" s="32" t="s">
        <v>1587</v>
      </c>
      <c r="B18" s="32" t="s">
        <v>1588</v>
      </c>
      <c r="C18" s="100" t="s">
        <v>1589</v>
      </c>
      <c r="D18" s="33"/>
      <c r="E18" s="33"/>
      <c r="F18" s="33"/>
      <c r="G18" s="33"/>
      <c r="H18" s="33"/>
      <c r="I18" s="33" t="s">
        <v>1145</v>
      </c>
      <c r="J18" s="62" t="s">
        <v>62</v>
      </c>
      <c r="K18" s="33" t="s">
        <v>62</v>
      </c>
      <c r="L18" s="33" t="s">
        <v>1585</v>
      </c>
      <c r="M18" s="71"/>
      <c r="N18" s="33"/>
    </row>
    <row r="19" customFormat="false" ht="45" hidden="false" customHeight="true" outlineLevel="0" collapsed="false">
      <c r="A19" s="34" t="s">
        <v>1590</v>
      </c>
      <c r="B19" s="34" t="s">
        <v>1591</v>
      </c>
      <c r="C19" s="99" t="s">
        <v>974</v>
      </c>
      <c r="D19" s="35"/>
      <c r="E19" s="35"/>
      <c r="F19" s="35"/>
      <c r="G19" s="35"/>
      <c r="H19" s="35"/>
      <c r="I19" s="35" t="s">
        <v>1145</v>
      </c>
      <c r="J19" s="67" t="s">
        <v>62</v>
      </c>
      <c r="K19" s="35" t="s">
        <v>62</v>
      </c>
      <c r="L19" s="35" t="s">
        <v>1585</v>
      </c>
      <c r="M19" s="72"/>
      <c r="N19" s="35"/>
    </row>
    <row r="20" customFormat="false" ht="45" hidden="false" customHeight="true" outlineLevel="0" collapsed="false">
      <c r="A20" s="32" t="s">
        <v>1592</v>
      </c>
      <c r="B20" s="32" t="s">
        <v>1593</v>
      </c>
      <c r="C20" s="100" t="s">
        <v>974</v>
      </c>
      <c r="D20" s="33"/>
      <c r="E20" s="33"/>
      <c r="F20" s="33"/>
      <c r="G20" s="33"/>
      <c r="H20" s="33"/>
      <c r="I20" s="33" t="s">
        <v>1145</v>
      </c>
      <c r="J20" s="62" t="s">
        <v>62</v>
      </c>
      <c r="K20" s="33" t="s">
        <v>62</v>
      </c>
      <c r="L20" s="33" t="s">
        <v>1585</v>
      </c>
      <c r="M20" s="71"/>
      <c r="N20" s="33" t="s">
        <v>1594</v>
      </c>
    </row>
    <row r="21" customFormat="false" ht="45" hidden="false" customHeight="true" outlineLevel="0" collapsed="false">
      <c r="A21" s="34" t="s">
        <v>1595</v>
      </c>
      <c r="B21" s="34" t="s">
        <v>1596</v>
      </c>
      <c r="C21" s="99" t="s">
        <v>943</v>
      </c>
      <c r="D21" s="35"/>
      <c r="E21" s="35"/>
      <c r="F21" s="35"/>
      <c r="G21" s="35"/>
      <c r="H21" s="35"/>
      <c r="I21" s="35" t="s">
        <v>1145</v>
      </c>
      <c r="J21" s="67" t="s">
        <v>62</v>
      </c>
      <c r="K21" s="35" t="s">
        <v>62</v>
      </c>
      <c r="L21" s="35" t="s">
        <v>1585</v>
      </c>
      <c r="M21" s="72"/>
      <c r="N21" s="35"/>
    </row>
    <row r="22" customFormat="false" ht="45" hidden="false" customHeight="true" outlineLevel="0" collapsed="false">
      <c r="A22" s="32" t="s">
        <v>1597</v>
      </c>
      <c r="B22" s="32" t="s">
        <v>1598</v>
      </c>
      <c r="C22" s="100" t="s">
        <v>974</v>
      </c>
      <c r="D22" s="33"/>
      <c r="E22" s="33"/>
      <c r="F22" s="33"/>
      <c r="G22" s="33"/>
      <c r="H22" s="33"/>
      <c r="I22" s="33" t="s">
        <v>1145</v>
      </c>
      <c r="J22" s="62" t="s">
        <v>62</v>
      </c>
      <c r="K22" s="33" t="s">
        <v>62</v>
      </c>
      <c r="L22" s="33" t="s">
        <v>1585</v>
      </c>
      <c r="M22" s="71"/>
      <c r="N22" s="33"/>
    </row>
    <row r="24" customFormat="false" ht="18" hidden="false" customHeight="true" outlineLevel="0" collapsed="false">
      <c r="A24" s="103" t="s">
        <v>1599</v>
      </c>
      <c r="B24" s="103"/>
      <c r="C24" s="103"/>
      <c r="D24" s="103"/>
      <c r="E24" s="103"/>
      <c r="F24" s="103"/>
      <c r="G24" s="103"/>
      <c r="H24" s="103"/>
      <c r="I24" s="103"/>
      <c r="J24" s="103"/>
      <c r="K24" s="103"/>
      <c r="L24" s="103"/>
      <c r="M24" s="103"/>
      <c r="N24" s="103"/>
    </row>
    <row r="25" customFormat="false" ht="13.5" hidden="false" customHeight="true" outlineLevel="0" collapsed="false">
      <c r="A25" s="98" t="s">
        <v>1600</v>
      </c>
      <c r="B25" s="98"/>
      <c r="C25" s="98"/>
      <c r="D25" s="98"/>
      <c r="E25" s="98"/>
      <c r="F25" s="98"/>
      <c r="G25" s="98"/>
      <c r="H25" s="98"/>
      <c r="I25" s="98"/>
      <c r="J25" s="98"/>
      <c r="K25" s="98"/>
      <c r="L25" s="98"/>
      <c r="M25" s="98"/>
      <c r="N25" s="98"/>
    </row>
    <row r="26" customFormat="false" ht="45" hidden="false" customHeight="true" outlineLevel="0" collapsed="false">
      <c r="A26" s="34" t="s">
        <v>1601</v>
      </c>
      <c r="B26" s="34" t="s">
        <v>1602</v>
      </c>
      <c r="C26" s="99" t="s">
        <v>953</v>
      </c>
      <c r="D26" s="35"/>
      <c r="E26" s="35"/>
      <c r="F26" s="35"/>
      <c r="G26" s="35" t="s">
        <v>234</v>
      </c>
      <c r="H26" s="35" t="s">
        <v>923</v>
      </c>
      <c r="I26" s="35" t="s">
        <v>1603</v>
      </c>
      <c r="J26" s="67" t="s">
        <v>1604</v>
      </c>
      <c r="K26" s="35" t="s">
        <v>1605</v>
      </c>
      <c r="L26" s="35" t="s">
        <v>1606</v>
      </c>
      <c r="M26" s="72"/>
      <c r="N26" s="35" t="s">
        <v>1607</v>
      </c>
    </row>
    <row r="27" customFormat="false" ht="45" hidden="false" customHeight="true" outlineLevel="0" collapsed="false">
      <c r="A27" s="32" t="s">
        <v>1608</v>
      </c>
      <c r="B27" s="32" t="s">
        <v>1609</v>
      </c>
      <c r="C27" s="100" t="s">
        <v>953</v>
      </c>
      <c r="D27" s="33"/>
      <c r="E27" s="33"/>
      <c r="F27" s="33"/>
      <c r="G27" s="33" t="s">
        <v>234</v>
      </c>
      <c r="H27" s="33" t="s">
        <v>923</v>
      </c>
      <c r="I27" s="33" t="s">
        <v>1610</v>
      </c>
      <c r="J27" s="62" t="s">
        <v>1611</v>
      </c>
      <c r="K27" s="33" t="s">
        <v>956</v>
      </c>
      <c r="L27" s="33" t="s">
        <v>923</v>
      </c>
      <c r="M27" s="71" t="s">
        <v>78</v>
      </c>
      <c r="N27" s="33" t="s">
        <v>1612</v>
      </c>
    </row>
    <row r="28" customFormat="false" ht="45" hidden="false" customHeight="true" outlineLevel="0" collapsed="false">
      <c r="A28" s="34" t="s">
        <v>1613</v>
      </c>
      <c r="B28" s="34" t="s">
        <v>1614</v>
      </c>
      <c r="C28" s="99" t="s">
        <v>953</v>
      </c>
      <c r="D28" s="35"/>
      <c r="E28" s="35"/>
      <c r="F28" s="35"/>
      <c r="G28" s="35" t="s">
        <v>234</v>
      </c>
      <c r="H28" s="35" t="s">
        <v>923</v>
      </c>
      <c r="I28" s="35" t="s">
        <v>1615</v>
      </c>
      <c r="J28" s="67" t="s">
        <v>1616</v>
      </c>
      <c r="K28" s="35" t="s">
        <v>956</v>
      </c>
      <c r="L28" s="35" t="s">
        <v>1617</v>
      </c>
      <c r="M28" s="72"/>
      <c r="N28" s="35"/>
    </row>
    <row r="29" customFormat="false" ht="45" hidden="false" customHeight="true" outlineLevel="0" collapsed="false">
      <c r="A29" s="32" t="s">
        <v>1618</v>
      </c>
      <c r="B29" s="32" t="s">
        <v>1619</v>
      </c>
      <c r="C29" s="100" t="s">
        <v>1620</v>
      </c>
      <c r="D29" s="33"/>
      <c r="E29" s="33"/>
      <c r="F29" s="33"/>
      <c r="G29" s="33" t="s">
        <v>234</v>
      </c>
      <c r="H29" s="33" t="s">
        <v>923</v>
      </c>
      <c r="I29" s="33" t="s">
        <v>1621</v>
      </c>
      <c r="J29" s="62" t="s">
        <v>1622</v>
      </c>
      <c r="K29" s="33" t="s">
        <v>1623</v>
      </c>
      <c r="L29" s="33" t="s">
        <v>1624</v>
      </c>
      <c r="M29" s="71"/>
      <c r="N29" s="33"/>
    </row>
    <row r="30" customFormat="false" ht="45" hidden="false" customHeight="true" outlineLevel="0" collapsed="false">
      <c r="A30" s="34" t="s">
        <v>1625</v>
      </c>
      <c r="B30" s="34" t="s">
        <v>1626</v>
      </c>
      <c r="C30" s="99" t="s">
        <v>943</v>
      </c>
      <c r="D30" s="35"/>
      <c r="E30" s="35"/>
      <c r="F30" s="35"/>
      <c r="G30" s="35" t="s">
        <v>234</v>
      </c>
      <c r="H30" s="35" t="s">
        <v>923</v>
      </c>
      <c r="I30" s="35" t="s">
        <v>1627</v>
      </c>
      <c r="J30" s="67" t="s">
        <v>1628</v>
      </c>
      <c r="K30" s="35" t="s">
        <v>956</v>
      </c>
      <c r="L30" s="35" t="s">
        <v>1629</v>
      </c>
      <c r="M30" s="72"/>
      <c r="N30" s="35"/>
    </row>
    <row r="31" customFormat="false" ht="45" hidden="false" customHeight="true" outlineLevel="0" collapsed="false">
      <c r="A31" s="32" t="s">
        <v>1630</v>
      </c>
      <c r="B31" s="32" t="s">
        <v>1631</v>
      </c>
      <c r="C31" s="100" t="s">
        <v>953</v>
      </c>
      <c r="D31" s="33"/>
      <c r="E31" s="33"/>
      <c r="F31" s="33"/>
      <c r="G31" s="33" t="s">
        <v>234</v>
      </c>
      <c r="H31" s="33" t="s">
        <v>923</v>
      </c>
      <c r="I31" s="33" t="s">
        <v>1632</v>
      </c>
      <c r="J31" s="62" t="s">
        <v>1633</v>
      </c>
      <c r="K31" s="33" t="s">
        <v>1634</v>
      </c>
      <c r="L31" s="33" t="s">
        <v>1635</v>
      </c>
      <c r="M31" s="71"/>
      <c r="N31" s="33"/>
    </row>
    <row r="32" customFormat="false" ht="45" hidden="false" customHeight="true" outlineLevel="0" collapsed="false">
      <c r="A32" s="34" t="s">
        <v>1636</v>
      </c>
      <c r="B32" s="34" t="s">
        <v>1637</v>
      </c>
      <c r="C32" s="99" t="s">
        <v>943</v>
      </c>
      <c r="D32" s="35"/>
      <c r="E32" s="35"/>
      <c r="F32" s="35"/>
      <c r="G32" s="35" t="s">
        <v>234</v>
      </c>
      <c r="H32" s="35" t="s">
        <v>923</v>
      </c>
      <c r="I32" s="35" t="s">
        <v>1638</v>
      </c>
      <c r="J32" s="67" t="s">
        <v>1639</v>
      </c>
      <c r="K32" s="35" t="s">
        <v>62</v>
      </c>
      <c r="L32" s="35" t="s">
        <v>1640</v>
      </c>
      <c r="M32" s="72"/>
      <c r="N32" s="35"/>
    </row>
    <row r="33" customFormat="false" ht="13.5" hidden="false" customHeight="true" outlineLevel="0" collapsed="false">
      <c r="A33" s="98" t="s">
        <v>1641</v>
      </c>
      <c r="B33" s="98"/>
      <c r="C33" s="98"/>
      <c r="D33" s="98"/>
      <c r="E33" s="98"/>
      <c r="F33" s="98"/>
      <c r="G33" s="98"/>
      <c r="H33" s="98"/>
      <c r="I33" s="98"/>
      <c r="J33" s="98"/>
      <c r="K33" s="98"/>
      <c r="L33" s="98"/>
      <c r="M33" s="98"/>
      <c r="N33" s="98"/>
    </row>
    <row r="34" customFormat="false" ht="45" hidden="false" customHeight="true" outlineLevel="0" collapsed="false">
      <c r="A34" s="34" t="s">
        <v>1642</v>
      </c>
      <c r="B34" s="34" t="s">
        <v>1643</v>
      </c>
      <c r="C34" s="99" t="s">
        <v>943</v>
      </c>
      <c r="D34" s="35"/>
      <c r="E34" s="35"/>
      <c r="F34" s="35"/>
      <c r="G34" s="35" t="s">
        <v>37</v>
      </c>
      <c r="H34" s="35" t="s">
        <v>874</v>
      </c>
      <c r="I34" s="35" t="s">
        <v>1644</v>
      </c>
      <c r="J34" s="67" t="s">
        <v>1645</v>
      </c>
      <c r="K34" s="35" t="s">
        <v>1646</v>
      </c>
      <c r="L34" s="35" t="s">
        <v>874</v>
      </c>
      <c r="M34" s="72" t="s">
        <v>1224</v>
      </c>
      <c r="N34" s="35" t="s">
        <v>1647</v>
      </c>
    </row>
    <row r="35" customFormat="false" ht="45" hidden="false" customHeight="true" outlineLevel="0" collapsed="false">
      <c r="A35" s="32" t="s">
        <v>1648</v>
      </c>
      <c r="B35" s="32" t="s">
        <v>1649</v>
      </c>
      <c r="C35" s="100" t="s">
        <v>943</v>
      </c>
      <c r="D35" s="33"/>
      <c r="E35" s="33"/>
      <c r="F35" s="33"/>
      <c r="G35" s="33" t="s">
        <v>37</v>
      </c>
      <c r="H35" s="33" t="s">
        <v>874</v>
      </c>
      <c r="I35" s="33" t="s">
        <v>1650</v>
      </c>
      <c r="J35" s="62" t="s">
        <v>1651</v>
      </c>
      <c r="K35" s="33" t="s">
        <v>1652</v>
      </c>
      <c r="L35" s="33" t="s">
        <v>1653</v>
      </c>
      <c r="M35" s="71"/>
      <c r="N35" s="33"/>
    </row>
    <row r="36" customFormat="false" ht="45" hidden="false" customHeight="true" outlineLevel="0" collapsed="false">
      <c r="A36" s="34" t="s">
        <v>1654</v>
      </c>
      <c r="B36" s="34" t="s">
        <v>1655</v>
      </c>
      <c r="C36" s="99" t="s">
        <v>943</v>
      </c>
      <c r="D36" s="35"/>
      <c r="E36" s="35"/>
      <c r="F36" s="35"/>
      <c r="G36" s="35" t="s">
        <v>37</v>
      </c>
      <c r="H36" s="35" t="s">
        <v>874</v>
      </c>
      <c r="I36" s="35" t="s">
        <v>1656</v>
      </c>
      <c r="J36" s="67" t="s">
        <v>1657</v>
      </c>
      <c r="K36" s="35" t="s">
        <v>1658</v>
      </c>
      <c r="L36" s="35" t="s">
        <v>1659</v>
      </c>
      <c r="M36" s="72"/>
      <c r="N36" s="35"/>
    </row>
    <row r="37" customFormat="false" ht="45" hidden="false" customHeight="true" outlineLevel="0" collapsed="false">
      <c r="A37" s="32" t="s">
        <v>1660</v>
      </c>
      <c r="B37" s="32" t="s">
        <v>1661</v>
      </c>
      <c r="C37" s="100" t="s">
        <v>943</v>
      </c>
      <c r="D37" s="33"/>
      <c r="E37" s="33"/>
      <c r="F37" s="33"/>
      <c r="G37" s="33" t="s">
        <v>37</v>
      </c>
      <c r="H37" s="33" t="s">
        <v>874</v>
      </c>
      <c r="I37" s="33" t="s">
        <v>1662</v>
      </c>
      <c r="J37" s="62" t="s">
        <v>1663</v>
      </c>
      <c r="K37" s="33" t="s">
        <v>1003</v>
      </c>
      <c r="L37" s="33" t="s">
        <v>1005</v>
      </c>
      <c r="M37" s="71"/>
      <c r="N37" s="33"/>
    </row>
    <row r="38" customFormat="false" ht="45" hidden="false" customHeight="true" outlineLevel="0" collapsed="false">
      <c r="A38" s="34" t="s">
        <v>1664</v>
      </c>
      <c r="B38" s="34" t="s">
        <v>1665</v>
      </c>
      <c r="C38" s="99" t="s">
        <v>943</v>
      </c>
      <c r="D38" s="35"/>
      <c r="E38" s="35"/>
      <c r="F38" s="35"/>
      <c r="G38" s="35" t="s">
        <v>37</v>
      </c>
      <c r="H38" s="35" t="s">
        <v>1005</v>
      </c>
      <c r="I38" s="35" t="s">
        <v>1666</v>
      </c>
      <c r="J38" s="67" t="s">
        <v>1667</v>
      </c>
      <c r="K38" s="35" t="s">
        <v>1003</v>
      </c>
      <c r="L38" s="35" t="s">
        <v>1668</v>
      </c>
      <c r="M38" s="72"/>
      <c r="N38" s="35"/>
    </row>
    <row r="39" customFormat="false" ht="13.5" hidden="false" customHeight="true" outlineLevel="0" collapsed="false">
      <c r="A39" s="98" t="s">
        <v>1669</v>
      </c>
      <c r="B39" s="98"/>
      <c r="C39" s="98"/>
      <c r="D39" s="98"/>
      <c r="E39" s="98"/>
      <c r="F39" s="98"/>
      <c r="G39" s="98"/>
      <c r="H39" s="98"/>
      <c r="I39" s="98"/>
      <c r="J39" s="98"/>
      <c r="K39" s="98"/>
      <c r="L39" s="98"/>
      <c r="M39" s="98"/>
      <c r="N39" s="98"/>
    </row>
    <row r="40" customFormat="false" ht="45" hidden="false" customHeight="true" outlineLevel="0" collapsed="false">
      <c r="A40" s="34" t="s">
        <v>1670</v>
      </c>
      <c r="B40" s="34" t="s">
        <v>1671</v>
      </c>
      <c r="C40" s="99" t="s">
        <v>953</v>
      </c>
      <c r="D40" s="35"/>
      <c r="E40" s="35"/>
      <c r="F40" s="35"/>
      <c r="G40" s="35" t="s">
        <v>79</v>
      </c>
      <c r="H40" s="35" t="s">
        <v>916</v>
      </c>
      <c r="I40" s="35" t="s">
        <v>1672</v>
      </c>
      <c r="J40" s="67" t="s">
        <v>1673</v>
      </c>
      <c r="K40" s="35" t="s">
        <v>950</v>
      </c>
      <c r="L40" s="35" t="s">
        <v>910</v>
      </c>
      <c r="M40" s="72" t="s">
        <v>78</v>
      </c>
      <c r="N40" s="35" t="s">
        <v>954</v>
      </c>
    </row>
    <row r="41" customFormat="false" ht="45" hidden="false" customHeight="true" outlineLevel="0" collapsed="false">
      <c r="A41" s="32" t="s">
        <v>1674</v>
      </c>
      <c r="B41" s="32" t="s">
        <v>1675</v>
      </c>
      <c r="C41" s="100" t="s">
        <v>953</v>
      </c>
      <c r="D41" s="33"/>
      <c r="E41" s="33"/>
      <c r="F41" s="33"/>
      <c r="G41" s="33" t="s">
        <v>79</v>
      </c>
      <c r="H41" s="33" t="s">
        <v>916</v>
      </c>
      <c r="I41" s="33" t="s">
        <v>1676</v>
      </c>
      <c r="J41" s="62" t="s">
        <v>917</v>
      </c>
      <c r="K41" s="33" t="s">
        <v>950</v>
      </c>
      <c r="L41" s="33" t="s">
        <v>1304</v>
      </c>
      <c r="M41" s="71"/>
      <c r="N41" s="33"/>
    </row>
    <row r="42" customFormat="false" ht="45" hidden="false" customHeight="true" outlineLevel="0" collapsed="false">
      <c r="A42" s="34" t="s">
        <v>1677</v>
      </c>
      <c r="B42" s="34" t="s">
        <v>1678</v>
      </c>
      <c r="C42" s="99" t="s">
        <v>943</v>
      </c>
      <c r="D42" s="35"/>
      <c r="E42" s="35"/>
      <c r="F42" s="35"/>
      <c r="G42" s="35" t="s">
        <v>79</v>
      </c>
      <c r="H42" s="35" t="s">
        <v>916</v>
      </c>
      <c r="I42" s="35" t="s">
        <v>1679</v>
      </c>
      <c r="J42" s="67" t="s">
        <v>1680</v>
      </c>
      <c r="K42" s="35" t="s">
        <v>956</v>
      </c>
      <c r="L42" s="35" t="s">
        <v>1629</v>
      </c>
      <c r="M42" s="72"/>
      <c r="N42" s="35"/>
    </row>
    <row r="43" customFormat="false" ht="45" hidden="false" customHeight="true" outlineLevel="0" collapsed="false">
      <c r="A43" s="32" t="s">
        <v>1681</v>
      </c>
      <c r="B43" s="32" t="s">
        <v>1682</v>
      </c>
      <c r="C43" s="100" t="s">
        <v>1620</v>
      </c>
      <c r="D43" s="33"/>
      <c r="E43" s="33"/>
      <c r="F43" s="33"/>
      <c r="G43" s="33" t="s">
        <v>79</v>
      </c>
      <c r="H43" s="33" t="s">
        <v>916</v>
      </c>
      <c r="I43" s="33" t="s">
        <v>1683</v>
      </c>
      <c r="J43" s="62" t="s">
        <v>1684</v>
      </c>
      <c r="K43" s="33" t="s">
        <v>1685</v>
      </c>
      <c r="L43" s="33" t="s">
        <v>1686</v>
      </c>
      <c r="M43" s="71"/>
      <c r="N43" s="33" t="s">
        <v>1687</v>
      </c>
    </row>
    <row r="44" customFormat="false" ht="13.5" hidden="false" customHeight="true" outlineLevel="0" collapsed="false">
      <c r="A44" s="98" t="s">
        <v>1688</v>
      </c>
      <c r="B44" s="98"/>
      <c r="C44" s="98"/>
      <c r="D44" s="98"/>
      <c r="E44" s="98"/>
      <c r="F44" s="98"/>
      <c r="G44" s="98"/>
      <c r="H44" s="98"/>
      <c r="I44" s="98"/>
      <c r="J44" s="98"/>
      <c r="K44" s="98"/>
      <c r="L44" s="98"/>
      <c r="M44" s="98"/>
      <c r="N44" s="98"/>
    </row>
    <row r="45" customFormat="false" ht="45" hidden="false" customHeight="true" outlineLevel="0" collapsed="false">
      <c r="A45" s="34" t="s">
        <v>1689</v>
      </c>
      <c r="B45" s="34" t="s">
        <v>1690</v>
      </c>
      <c r="C45" s="99" t="s">
        <v>943</v>
      </c>
      <c r="D45" s="35"/>
      <c r="E45" s="35"/>
      <c r="F45" s="35"/>
      <c r="G45" s="35" t="s">
        <v>70</v>
      </c>
      <c r="H45" s="35" t="s">
        <v>895</v>
      </c>
      <c r="I45" s="35" t="s">
        <v>1691</v>
      </c>
      <c r="J45" s="67" t="s">
        <v>1692</v>
      </c>
      <c r="K45" s="35" t="s">
        <v>946</v>
      </c>
      <c r="L45" s="35" t="s">
        <v>895</v>
      </c>
      <c r="M45" s="72" t="s">
        <v>1693</v>
      </c>
      <c r="N45" s="35" t="s">
        <v>1694</v>
      </c>
    </row>
    <row r="46" customFormat="false" ht="45" hidden="false" customHeight="true" outlineLevel="0" collapsed="false">
      <c r="A46" s="32" t="s">
        <v>1695</v>
      </c>
      <c r="B46" s="32" t="s">
        <v>1696</v>
      </c>
      <c r="C46" s="100" t="s">
        <v>743</v>
      </c>
      <c r="D46" s="33"/>
      <c r="E46" s="33"/>
      <c r="F46" s="33"/>
      <c r="G46" s="33" t="s">
        <v>70</v>
      </c>
      <c r="H46" s="33" t="s">
        <v>895</v>
      </c>
      <c r="I46" s="33" t="s">
        <v>1697</v>
      </c>
      <c r="J46" s="62" t="s">
        <v>1698</v>
      </c>
      <c r="K46" s="33" t="s">
        <v>1699</v>
      </c>
      <c r="L46" s="33" t="s">
        <v>1700</v>
      </c>
      <c r="M46" s="71"/>
      <c r="N46" s="33"/>
    </row>
    <row r="47" customFormat="false" ht="45" hidden="false" customHeight="true" outlineLevel="0" collapsed="false">
      <c r="A47" s="34" t="s">
        <v>1701</v>
      </c>
      <c r="B47" s="34" t="s">
        <v>1702</v>
      </c>
      <c r="C47" s="99" t="s">
        <v>743</v>
      </c>
      <c r="D47" s="35"/>
      <c r="E47" s="35"/>
      <c r="F47" s="35"/>
      <c r="G47" s="35" t="s">
        <v>70</v>
      </c>
      <c r="H47" s="35" t="s">
        <v>895</v>
      </c>
      <c r="I47" s="35" t="s">
        <v>1703</v>
      </c>
      <c r="J47" s="67" t="s">
        <v>1704</v>
      </c>
      <c r="K47" s="35" t="s">
        <v>1705</v>
      </c>
      <c r="L47" s="35" t="s">
        <v>1706</v>
      </c>
      <c r="M47" s="72"/>
      <c r="N47" s="35"/>
    </row>
    <row r="48" customFormat="false" ht="45" hidden="false" customHeight="true" outlineLevel="0" collapsed="false">
      <c r="A48" s="32" t="s">
        <v>1707</v>
      </c>
      <c r="B48" s="32" t="s">
        <v>1708</v>
      </c>
      <c r="C48" s="100" t="s">
        <v>943</v>
      </c>
      <c r="D48" s="33"/>
      <c r="E48" s="33"/>
      <c r="F48" s="33"/>
      <c r="G48" s="33" t="s">
        <v>70</v>
      </c>
      <c r="H48" s="33" t="s">
        <v>895</v>
      </c>
      <c r="I48" s="33" t="s">
        <v>1709</v>
      </c>
      <c r="J48" s="62" t="s">
        <v>1710</v>
      </c>
      <c r="K48" s="33" t="s">
        <v>1711</v>
      </c>
      <c r="L48" s="33" t="s">
        <v>1712</v>
      </c>
      <c r="M48" s="71"/>
      <c r="N48" s="33"/>
    </row>
    <row r="49" customFormat="false" ht="13.5" hidden="false" customHeight="true" outlineLevel="0" collapsed="false">
      <c r="A49" s="98" t="s">
        <v>1713</v>
      </c>
      <c r="B49" s="98"/>
      <c r="C49" s="98"/>
      <c r="D49" s="98"/>
      <c r="E49" s="98"/>
      <c r="F49" s="98"/>
      <c r="G49" s="98"/>
      <c r="H49" s="98"/>
      <c r="I49" s="98"/>
      <c r="J49" s="98"/>
      <c r="K49" s="98"/>
      <c r="L49" s="98"/>
      <c r="M49" s="98"/>
      <c r="N49" s="98"/>
    </row>
    <row r="50" customFormat="false" ht="45" hidden="false" customHeight="true" outlineLevel="0" collapsed="false">
      <c r="A50" s="34" t="s">
        <v>1714</v>
      </c>
      <c r="B50" s="34" t="s">
        <v>1715</v>
      </c>
      <c r="C50" s="99" t="s">
        <v>974</v>
      </c>
      <c r="D50" s="35"/>
      <c r="E50" s="35"/>
      <c r="F50" s="35"/>
      <c r="G50" s="35" t="s">
        <v>1716</v>
      </c>
      <c r="H50" s="35" t="s">
        <v>885</v>
      </c>
      <c r="I50" s="35" t="s">
        <v>1717</v>
      </c>
      <c r="J50" s="67" t="s">
        <v>1718</v>
      </c>
      <c r="K50" s="35" t="s">
        <v>1719</v>
      </c>
      <c r="L50" s="35" t="s">
        <v>889</v>
      </c>
      <c r="M50" s="72" t="s">
        <v>1720</v>
      </c>
      <c r="N50" s="35" t="s">
        <v>1721</v>
      </c>
    </row>
    <row r="51" customFormat="false" ht="45" hidden="false" customHeight="true" outlineLevel="0" collapsed="false">
      <c r="A51" s="32" t="s">
        <v>1722</v>
      </c>
      <c r="B51" s="32" t="s">
        <v>1723</v>
      </c>
      <c r="C51" s="100" t="s">
        <v>974</v>
      </c>
      <c r="D51" s="33"/>
      <c r="E51" s="33"/>
      <c r="F51" s="33"/>
      <c r="G51" s="33" t="s">
        <v>1716</v>
      </c>
      <c r="H51" s="33" t="s">
        <v>885</v>
      </c>
      <c r="I51" s="33" t="s">
        <v>1724</v>
      </c>
      <c r="J51" s="62" t="s">
        <v>1725</v>
      </c>
      <c r="K51" s="33" t="s">
        <v>1726</v>
      </c>
      <c r="L51" s="33" t="s">
        <v>885</v>
      </c>
      <c r="M51" s="71" t="s">
        <v>1727</v>
      </c>
      <c r="N51" s="33" t="s">
        <v>1728</v>
      </c>
    </row>
    <row r="52" customFormat="false" ht="13.5" hidden="false" customHeight="true" outlineLevel="0" collapsed="false">
      <c r="A52" s="98" t="s">
        <v>1729</v>
      </c>
      <c r="B52" s="98"/>
      <c r="C52" s="98"/>
      <c r="D52" s="98"/>
      <c r="E52" s="98"/>
      <c r="F52" s="98"/>
      <c r="G52" s="98"/>
      <c r="H52" s="98"/>
      <c r="I52" s="98"/>
      <c r="J52" s="98"/>
      <c r="K52" s="98"/>
      <c r="L52" s="98"/>
      <c r="M52" s="98"/>
      <c r="N52" s="98"/>
    </row>
    <row r="53" customFormat="false" ht="45" hidden="false" customHeight="true" outlineLevel="0" collapsed="false">
      <c r="A53" s="34" t="s">
        <v>1730</v>
      </c>
      <c r="B53" s="34" t="s">
        <v>1731</v>
      </c>
      <c r="C53" s="99" t="s">
        <v>943</v>
      </c>
      <c r="D53" s="35"/>
      <c r="E53" s="35"/>
      <c r="F53" s="35"/>
      <c r="G53" s="35" t="s">
        <v>1732</v>
      </c>
      <c r="H53" s="35" t="s">
        <v>900</v>
      </c>
      <c r="I53" s="35" t="s">
        <v>1733</v>
      </c>
      <c r="J53" s="67" t="s">
        <v>1734</v>
      </c>
      <c r="K53" s="35" t="s">
        <v>941</v>
      </c>
      <c r="L53" s="35" t="s">
        <v>900</v>
      </c>
      <c r="M53" s="72" t="s">
        <v>1735</v>
      </c>
      <c r="N53" s="35"/>
    </row>
    <row r="54" customFormat="false" ht="45" hidden="false" customHeight="true" outlineLevel="0" collapsed="false">
      <c r="A54" s="32" t="s">
        <v>1736</v>
      </c>
      <c r="B54" s="32" t="s">
        <v>1737</v>
      </c>
      <c r="C54" s="100" t="s">
        <v>943</v>
      </c>
      <c r="D54" s="33"/>
      <c r="E54" s="33"/>
      <c r="F54" s="33"/>
      <c r="G54" s="33" t="s">
        <v>1732</v>
      </c>
      <c r="H54" s="33" t="s">
        <v>900</v>
      </c>
      <c r="I54" s="33" t="s">
        <v>1679</v>
      </c>
      <c r="J54" s="62" t="s">
        <v>1738</v>
      </c>
      <c r="K54" s="33" t="s">
        <v>1739</v>
      </c>
      <c r="L54" s="33" t="s">
        <v>880</v>
      </c>
      <c r="M54" s="71"/>
      <c r="N54" s="33"/>
    </row>
    <row r="55" customFormat="false" ht="45" hidden="false" customHeight="true" outlineLevel="0" collapsed="false">
      <c r="A55" s="34" t="s">
        <v>1740</v>
      </c>
      <c r="B55" s="34" t="s">
        <v>1741</v>
      </c>
      <c r="C55" s="99" t="s">
        <v>743</v>
      </c>
      <c r="D55" s="35"/>
      <c r="E55" s="35"/>
      <c r="F55" s="35"/>
      <c r="G55" s="35" t="s">
        <v>1732</v>
      </c>
      <c r="H55" s="35" t="s">
        <v>900</v>
      </c>
      <c r="I55" s="35" t="s">
        <v>1742</v>
      </c>
      <c r="J55" s="67" t="s">
        <v>1743</v>
      </c>
      <c r="K55" s="35" t="s">
        <v>1744</v>
      </c>
      <c r="L55" s="35" t="s">
        <v>1745</v>
      </c>
      <c r="M55" s="72"/>
      <c r="N55" s="35"/>
    </row>
    <row r="56" customFormat="false" ht="13.5" hidden="false" customHeight="true" outlineLevel="0" collapsed="false">
      <c r="A56" s="98" t="s">
        <v>1746</v>
      </c>
      <c r="B56" s="98"/>
      <c r="C56" s="98"/>
      <c r="D56" s="98"/>
      <c r="E56" s="98"/>
      <c r="F56" s="98"/>
      <c r="G56" s="98"/>
      <c r="H56" s="98"/>
      <c r="I56" s="98"/>
      <c r="J56" s="98"/>
      <c r="K56" s="98"/>
      <c r="L56" s="98"/>
      <c r="M56" s="98"/>
      <c r="N56" s="98"/>
    </row>
    <row r="57" customFormat="false" ht="45" hidden="false" customHeight="true" outlineLevel="0" collapsed="false">
      <c r="A57" s="34" t="s">
        <v>1747</v>
      </c>
      <c r="B57" s="34" t="s">
        <v>1748</v>
      </c>
      <c r="C57" s="99" t="s">
        <v>961</v>
      </c>
      <c r="D57" s="35"/>
      <c r="E57" s="35"/>
      <c r="F57" s="35"/>
      <c r="G57" s="35" t="s">
        <v>1749</v>
      </c>
      <c r="H57" s="35" t="s">
        <v>905</v>
      </c>
      <c r="I57" s="35" t="s">
        <v>1750</v>
      </c>
      <c r="J57" s="67" t="s">
        <v>1751</v>
      </c>
      <c r="K57" s="35" t="s">
        <v>1308</v>
      </c>
      <c r="L57" s="35" t="s">
        <v>905</v>
      </c>
      <c r="M57" s="72" t="s">
        <v>1752</v>
      </c>
      <c r="N57" s="35" t="s">
        <v>1753</v>
      </c>
    </row>
    <row r="58" customFormat="false" ht="45" hidden="false" customHeight="true" outlineLevel="0" collapsed="false">
      <c r="A58" s="32" t="s">
        <v>1754</v>
      </c>
      <c r="B58" s="32" t="s">
        <v>1755</v>
      </c>
      <c r="C58" s="100" t="s">
        <v>743</v>
      </c>
      <c r="D58" s="33"/>
      <c r="E58" s="33"/>
      <c r="F58" s="33"/>
      <c r="G58" s="33" t="s">
        <v>1749</v>
      </c>
      <c r="H58" s="33" t="s">
        <v>905</v>
      </c>
      <c r="I58" s="33" t="s">
        <v>1756</v>
      </c>
      <c r="J58" s="62" t="s">
        <v>1757</v>
      </c>
      <c r="K58" s="33" t="s">
        <v>965</v>
      </c>
      <c r="L58" s="33" t="s">
        <v>968</v>
      </c>
      <c r="M58" s="71" t="s">
        <v>1758</v>
      </c>
      <c r="N58" s="33" t="s">
        <v>1759</v>
      </c>
    </row>
    <row r="60" customFormat="false" ht="18" hidden="false" customHeight="true" outlineLevel="0" collapsed="false">
      <c r="A60" s="104" t="s">
        <v>1760</v>
      </c>
      <c r="B60" s="104"/>
      <c r="C60" s="104"/>
      <c r="D60" s="104"/>
      <c r="E60" s="104"/>
      <c r="F60" s="104"/>
      <c r="G60" s="104"/>
      <c r="H60" s="104"/>
      <c r="I60" s="104"/>
      <c r="J60" s="104"/>
      <c r="K60" s="104"/>
      <c r="L60" s="104"/>
      <c r="M60" s="104"/>
      <c r="N60" s="104"/>
    </row>
    <row r="61" customFormat="false" ht="15" hidden="false" customHeight="true" outlineLevel="0" collapsed="false">
      <c r="A61" s="105" t="s">
        <v>1761</v>
      </c>
      <c r="B61" s="105"/>
      <c r="C61" s="105"/>
      <c r="D61" s="105"/>
      <c r="E61" s="105"/>
      <c r="F61" s="105"/>
      <c r="G61" s="105"/>
      <c r="H61" s="105"/>
      <c r="I61" s="105"/>
      <c r="J61" s="105"/>
      <c r="K61" s="105"/>
      <c r="L61" s="105"/>
      <c r="M61" s="105"/>
      <c r="N61" s="105"/>
    </row>
    <row r="62" customFormat="false" ht="13.5" hidden="false" customHeight="true" outlineLevel="0" collapsed="false">
      <c r="A62" s="106" t="s">
        <v>1762</v>
      </c>
      <c r="B62" s="106"/>
      <c r="C62" s="106"/>
      <c r="D62" s="106"/>
      <c r="E62" s="106"/>
      <c r="F62" s="106"/>
      <c r="G62" s="106"/>
      <c r="H62" s="106"/>
      <c r="I62" s="106"/>
      <c r="J62" s="106"/>
      <c r="K62" s="106"/>
      <c r="L62" s="106"/>
      <c r="M62" s="106"/>
      <c r="N62" s="106"/>
    </row>
    <row r="63" customFormat="false" ht="45" hidden="false" customHeight="true" outlineLevel="0" collapsed="false">
      <c r="A63" s="34" t="s">
        <v>1763</v>
      </c>
      <c r="B63" s="34" t="s">
        <v>1764</v>
      </c>
      <c r="C63" s="99" t="s">
        <v>974</v>
      </c>
      <c r="D63" s="35"/>
      <c r="E63" s="35"/>
      <c r="F63" s="35"/>
      <c r="G63" s="35" t="s">
        <v>1765</v>
      </c>
      <c r="H63" s="35" t="s">
        <v>710</v>
      </c>
      <c r="I63" s="35" t="s">
        <v>1766</v>
      </c>
      <c r="J63" s="67" t="s">
        <v>1767</v>
      </c>
      <c r="K63" s="35" t="s">
        <v>705</v>
      </c>
      <c r="L63" s="35" t="s">
        <v>710</v>
      </c>
      <c r="M63" s="72" t="s">
        <v>1424</v>
      </c>
      <c r="N63" s="35" t="s">
        <v>1768</v>
      </c>
    </row>
    <row r="64" customFormat="false" ht="45" hidden="false" customHeight="true" outlineLevel="0" collapsed="false">
      <c r="A64" s="32" t="s">
        <v>1769</v>
      </c>
      <c r="B64" s="32" t="s">
        <v>1770</v>
      </c>
      <c r="C64" s="100" t="s">
        <v>974</v>
      </c>
      <c r="D64" s="33"/>
      <c r="E64" s="33"/>
      <c r="F64" s="33"/>
      <c r="G64" s="33" t="s">
        <v>1765</v>
      </c>
      <c r="H64" s="33" t="s">
        <v>710</v>
      </c>
      <c r="I64" s="33" t="s">
        <v>1771</v>
      </c>
      <c r="J64" s="62" t="s">
        <v>1772</v>
      </c>
      <c r="K64" s="33" t="s">
        <v>715</v>
      </c>
      <c r="L64" s="33" t="s">
        <v>718</v>
      </c>
      <c r="M64" s="71" t="s">
        <v>1424</v>
      </c>
      <c r="N64" s="33"/>
    </row>
    <row r="65" customFormat="false" ht="45" hidden="false" customHeight="true" outlineLevel="0" collapsed="false">
      <c r="A65" s="34" t="s">
        <v>1773</v>
      </c>
      <c r="B65" s="34" t="s">
        <v>1774</v>
      </c>
      <c r="C65" s="99" t="s">
        <v>743</v>
      </c>
      <c r="D65" s="35"/>
      <c r="E65" s="35"/>
      <c r="F65" s="35"/>
      <c r="G65" s="35" t="s">
        <v>1765</v>
      </c>
      <c r="H65" s="35" t="s">
        <v>710</v>
      </c>
      <c r="I65" s="35" t="s">
        <v>1775</v>
      </c>
      <c r="J65" s="67" t="s">
        <v>1776</v>
      </c>
      <c r="K65" s="35" t="s">
        <v>749</v>
      </c>
      <c r="L65" s="35" t="s">
        <v>750</v>
      </c>
      <c r="M65" s="72" t="s">
        <v>1777</v>
      </c>
      <c r="N65" s="35" t="s">
        <v>1778</v>
      </c>
    </row>
    <row r="66" customFormat="false" ht="45" hidden="false" customHeight="true" outlineLevel="0" collapsed="false">
      <c r="A66" s="32" t="s">
        <v>1779</v>
      </c>
      <c r="B66" s="32" t="s">
        <v>1780</v>
      </c>
      <c r="C66" s="100" t="s">
        <v>743</v>
      </c>
      <c r="D66" s="33"/>
      <c r="E66" s="33"/>
      <c r="F66" s="33"/>
      <c r="G66" s="33" t="s">
        <v>1765</v>
      </c>
      <c r="H66" s="33" t="s">
        <v>710</v>
      </c>
      <c r="I66" s="33" t="s">
        <v>1781</v>
      </c>
      <c r="J66" s="62" t="s">
        <v>747</v>
      </c>
      <c r="K66" s="33" t="s">
        <v>741</v>
      </c>
      <c r="L66" s="33" t="s">
        <v>745</v>
      </c>
      <c r="M66" s="71" t="s">
        <v>1782</v>
      </c>
      <c r="N66" s="33" t="s">
        <v>1783</v>
      </c>
    </row>
    <row r="67" customFormat="false" ht="13.5" hidden="false" customHeight="true" outlineLevel="0" collapsed="false">
      <c r="A67" s="106" t="s">
        <v>1784</v>
      </c>
      <c r="B67" s="106"/>
      <c r="C67" s="106"/>
      <c r="D67" s="106"/>
      <c r="E67" s="106"/>
      <c r="F67" s="106"/>
      <c r="G67" s="106"/>
      <c r="H67" s="106"/>
      <c r="I67" s="106"/>
      <c r="J67" s="106"/>
      <c r="K67" s="106"/>
      <c r="L67" s="106"/>
      <c r="M67" s="106"/>
      <c r="N67" s="106"/>
    </row>
    <row r="68" customFormat="false" ht="45" hidden="false" customHeight="true" outlineLevel="0" collapsed="false">
      <c r="A68" s="34" t="s">
        <v>1785</v>
      </c>
      <c r="B68" s="34" t="s">
        <v>1786</v>
      </c>
      <c r="C68" s="99" t="s">
        <v>974</v>
      </c>
      <c r="D68" s="35"/>
      <c r="E68" s="35"/>
      <c r="F68" s="35"/>
      <c r="G68" s="35" t="s">
        <v>111</v>
      </c>
      <c r="H68" s="35" t="s">
        <v>725</v>
      </c>
      <c r="I68" s="35" t="s">
        <v>1787</v>
      </c>
      <c r="J68" s="67" t="s">
        <v>1788</v>
      </c>
      <c r="K68" s="35" t="s">
        <v>723</v>
      </c>
      <c r="L68" s="35" t="s">
        <v>725</v>
      </c>
      <c r="M68" s="72" t="s">
        <v>1789</v>
      </c>
      <c r="N68" s="35" t="s">
        <v>1790</v>
      </c>
    </row>
    <row r="69" customFormat="false" ht="45" hidden="false" customHeight="true" outlineLevel="0" collapsed="false">
      <c r="A69" s="32" t="s">
        <v>1791</v>
      </c>
      <c r="B69" s="32" t="s">
        <v>1792</v>
      </c>
      <c r="C69" s="100" t="s">
        <v>974</v>
      </c>
      <c r="D69" s="33"/>
      <c r="E69" s="33"/>
      <c r="F69" s="33"/>
      <c r="G69" s="33" t="s">
        <v>111</v>
      </c>
      <c r="H69" s="33" t="s">
        <v>725</v>
      </c>
      <c r="I69" s="33" t="s">
        <v>1793</v>
      </c>
      <c r="J69" s="62" t="s">
        <v>1794</v>
      </c>
      <c r="K69" s="33" t="s">
        <v>730</v>
      </c>
      <c r="L69" s="33" t="s">
        <v>731</v>
      </c>
      <c r="M69" s="71"/>
      <c r="N69" s="33"/>
    </row>
    <row r="70" customFormat="false" ht="45" hidden="false" customHeight="true" outlineLevel="0" collapsed="false">
      <c r="A70" s="34" t="s">
        <v>1795</v>
      </c>
      <c r="B70" s="34" t="s">
        <v>1796</v>
      </c>
      <c r="C70" s="99" t="s">
        <v>974</v>
      </c>
      <c r="D70" s="35"/>
      <c r="E70" s="35"/>
      <c r="F70" s="35"/>
      <c r="G70" s="35" t="s">
        <v>111</v>
      </c>
      <c r="H70" s="35" t="s">
        <v>725</v>
      </c>
      <c r="I70" s="35" t="s">
        <v>1797</v>
      </c>
      <c r="J70" s="67" t="s">
        <v>1798</v>
      </c>
      <c r="K70" s="35" t="s">
        <v>730</v>
      </c>
      <c r="L70" s="35" t="s">
        <v>736</v>
      </c>
      <c r="M70" s="72"/>
      <c r="N70" s="35"/>
    </row>
    <row r="71" customFormat="false" ht="13.5" hidden="false" customHeight="true" outlineLevel="0" collapsed="false">
      <c r="A71" s="106" t="s">
        <v>1799</v>
      </c>
      <c r="B71" s="106"/>
      <c r="C71" s="106"/>
      <c r="D71" s="106"/>
      <c r="E71" s="106"/>
      <c r="F71" s="106"/>
      <c r="G71" s="106"/>
      <c r="H71" s="106"/>
      <c r="I71" s="106"/>
      <c r="J71" s="106"/>
      <c r="K71" s="106"/>
      <c r="L71" s="106"/>
      <c r="M71" s="106"/>
      <c r="N71" s="106"/>
    </row>
    <row r="72" customFormat="false" ht="45" hidden="false" customHeight="true" outlineLevel="0" collapsed="false">
      <c r="A72" s="34" t="s">
        <v>1800</v>
      </c>
      <c r="B72" s="34" t="s">
        <v>1801</v>
      </c>
      <c r="C72" s="99" t="s">
        <v>974</v>
      </c>
      <c r="D72" s="35"/>
      <c r="E72" s="35"/>
      <c r="F72" s="35"/>
      <c r="G72" s="35" t="s">
        <v>104</v>
      </c>
      <c r="H72" s="35" t="s">
        <v>757</v>
      </c>
      <c r="I72" s="35" t="s">
        <v>1802</v>
      </c>
      <c r="J72" s="67" t="s">
        <v>1803</v>
      </c>
      <c r="K72" s="35" t="s">
        <v>755</v>
      </c>
      <c r="L72" s="35" t="s">
        <v>757</v>
      </c>
      <c r="M72" s="72" t="s">
        <v>1804</v>
      </c>
      <c r="N72" s="35" t="s">
        <v>1805</v>
      </c>
    </row>
    <row r="73" customFormat="false" ht="45" hidden="false" customHeight="true" outlineLevel="0" collapsed="false">
      <c r="A73" s="32" t="s">
        <v>1806</v>
      </c>
      <c r="B73" s="32" t="s">
        <v>1807</v>
      </c>
      <c r="C73" s="100" t="s">
        <v>743</v>
      </c>
      <c r="D73" s="33"/>
      <c r="E73" s="33"/>
      <c r="F73" s="33"/>
      <c r="G73" s="33" t="s">
        <v>104</v>
      </c>
      <c r="H73" s="33" t="s">
        <v>757</v>
      </c>
      <c r="I73" s="33" t="s">
        <v>1808</v>
      </c>
      <c r="J73" s="62" t="s">
        <v>1809</v>
      </c>
      <c r="K73" s="33" t="s">
        <v>1810</v>
      </c>
      <c r="L73" s="33" t="s">
        <v>1811</v>
      </c>
      <c r="M73" s="71"/>
      <c r="N73" s="33"/>
    </row>
    <row r="74" customFormat="false" ht="13.5" hidden="false" customHeight="true" outlineLevel="0" collapsed="false">
      <c r="A74" s="106" t="s">
        <v>1812</v>
      </c>
      <c r="B74" s="106"/>
      <c r="C74" s="106"/>
      <c r="D74" s="106"/>
      <c r="E74" s="106"/>
      <c r="F74" s="106"/>
      <c r="G74" s="106"/>
      <c r="H74" s="106"/>
      <c r="I74" s="106"/>
      <c r="J74" s="106"/>
      <c r="K74" s="106"/>
      <c r="L74" s="106"/>
      <c r="M74" s="106"/>
      <c r="N74" s="106"/>
    </row>
    <row r="75" customFormat="false" ht="45" hidden="false" customHeight="true" outlineLevel="0" collapsed="false">
      <c r="A75" s="34" t="s">
        <v>1813</v>
      </c>
      <c r="B75" s="34" t="s">
        <v>1814</v>
      </c>
      <c r="C75" s="99" t="s">
        <v>974</v>
      </c>
      <c r="D75" s="35"/>
      <c r="E75" s="35"/>
      <c r="F75" s="35"/>
      <c r="G75" s="35" t="s">
        <v>1815</v>
      </c>
      <c r="H75" s="35" t="s">
        <v>764</v>
      </c>
      <c r="I75" s="35" t="s">
        <v>1816</v>
      </c>
      <c r="J75" s="67" t="s">
        <v>766</v>
      </c>
      <c r="K75" s="35" t="s">
        <v>762</v>
      </c>
      <c r="L75" s="35" t="s">
        <v>764</v>
      </c>
      <c r="M75" s="72"/>
      <c r="N75" s="35" t="s">
        <v>1817</v>
      </c>
    </row>
    <row r="76" customFormat="false" ht="45" hidden="false" customHeight="true" outlineLevel="0" collapsed="false">
      <c r="A76" s="32" t="s">
        <v>1818</v>
      </c>
      <c r="B76" s="32" t="s">
        <v>1819</v>
      </c>
      <c r="C76" s="100" t="s">
        <v>974</v>
      </c>
      <c r="D76" s="33"/>
      <c r="E76" s="33"/>
      <c r="F76" s="33"/>
      <c r="G76" s="33" t="s">
        <v>1815</v>
      </c>
      <c r="H76" s="33" t="s">
        <v>764</v>
      </c>
      <c r="I76" s="33" t="s">
        <v>1820</v>
      </c>
      <c r="J76" s="62" t="s">
        <v>1821</v>
      </c>
      <c r="K76" s="33" t="s">
        <v>1822</v>
      </c>
      <c r="L76" s="33" t="s">
        <v>764</v>
      </c>
      <c r="M76" s="71"/>
      <c r="N76" s="33" t="s">
        <v>1823</v>
      </c>
    </row>
    <row r="77" customFormat="false" ht="45" hidden="false" customHeight="true" outlineLevel="0" collapsed="false">
      <c r="A77" s="34" t="s">
        <v>1824</v>
      </c>
      <c r="B77" s="34" t="s">
        <v>1825</v>
      </c>
      <c r="C77" s="99" t="s">
        <v>974</v>
      </c>
      <c r="D77" s="35"/>
      <c r="E77" s="35"/>
      <c r="F77" s="35"/>
      <c r="G77" s="35" t="s">
        <v>1815</v>
      </c>
      <c r="H77" s="35" t="s">
        <v>764</v>
      </c>
      <c r="I77" s="35" t="s">
        <v>1826</v>
      </c>
      <c r="J77" s="67" t="s">
        <v>772</v>
      </c>
      <c r="K77" s="35" t="s">
        <v>1827</v>
      </c>
      <c r="L77" s="35" t="s">
        <v>770</v>
      </c>
      <c r="M77" s="72"/>
      <c r="N77" s="35" t="s">
        <v>1828</v>
      </c>
    </row>
    <row r="78" customFormat="false" ht="45" hidden="false" customHeight="true" outlineLevel="0" collapsed="false">
      <c r="A78" s="32" t="s">
        <v>1829</v>
      </c>
      <c r="B78" s="32" t="s">
        <v>1830</v>
      </c>
      <c r="C78" s="100" t="s">
        <v>974</v>
      </c>
      <c r="D78" s="33"/>
      <c r="E78" s="33"/>
      <c r="F78" s="33"/>
      <c r="G78" s="33" t="s">
        <v>1815</v>
      </c>
      <c r="H78" s="33" t="s">
        <v>764</v>
      </c>
      <c r="I78" s="33" t="s">
        <v>1831</v>
      </c>
      <c r="J78" s="62" t="s">
        <v>1832</v>
      </c>
      <c r="K78" s="33" t="s">
        <v>894</v>
      </c>
      <c r="L78" s="33" t="s">
        <v>770</v>
      </c>
      <c r="M78" s="71"/>
      <c r="N78" s="33"/>
    </row>
    <row r="80" customFormat="false" ht="18" hidden="false" customHeight="true" outlineLevel="0" collapsed="false">
      <c r="A80" s="101" t="s">
        <v>1833</v>
      </c>
      <c r="B80" s="101"/>
      <c r="C80" s="101"/>
      <c r="D80" s="101"/>
      <c r="E80" s="101"/>
      <c r="F80" s="101"/>
      <c r="G80" s="101"/>
      <c r="H80" s="101"/>
      <c r="I80" s="101"/>
      <c r="J80" s="101"/>
      <c r="K80" s="101"/>
      <c r="L80" s="101"/>
      <c r="M80" s="101"/>
      <c r="N80" s="101"/>
    </row>
    <row r="81" customFormat="false" ht="15" hidden="false" customHeight="true" outlineLevel="0" collapsed="false">
      <c r="A81" s="107" t="s">
        <v>1834</v>
      </c>
      <c r="B81" s="107"/>
      <c r="C81" s="107"/>
      <c r="D81" s="107"/>
      <c r="E81" s="107"/>
      <c r="F81" s="107"/>
      <c r="G81" s="107"/>
      <c r="H81" s="107"/>
      <c r="I81" s="107"/>
      <c r="J81" s="107"/>
      <c r="K81" s="107"/>
      <c r="L81" s="107"/>
      <c r="M81" s="107"/>
      <c r="N81" s="107"/>
    </row>
    <row r="82" customFormat="false" ht="13.5" hidden="false" customHeight="true" outlineLevel="0" collapsed="false">
      <c r="A82" s="102" t="s">
        <v>1835</v>
      </c>
      <c r="B82" s="102"/>
      <c r="C82" s="102"/>
      <c r="D82" s="102"/>
      <c r="E82" s="102"/>
      <c r="F82" s="102"/>
      <c r="G82" s="102"/>
      <c r="H82" s="102"/>
      <c r="I82" s="102"/>
      <c r="J82" s="102"/>
      <c r="K82" s="102"/>
      <c r="L82" s="102"/>
      <c r="M82" s="102"/>
      <c r="N82" s="102"/>
    </row>
    <row r="83" customFormat="false" ht="45" hidden="false" customHeight="true" outlineLevel="0" collapsed="false">
      <c r="A83" s="34" t="s">
        <v>1836</v>
      </c>
      <c r="B83" s="34" t="s">
        <v>1837</v>
      </c>
      <c r="C83" s="99" t="s">
        <v>974</v>
      </c>
      <c r="D83" s="35"/>
      <c r="E83" s="35"/>
      <c r="F83" s="35"/>
      <c r="G83" s="35" t="s">
        <v>145</v>
      </c>
      <c r="H83" s="35" t="s">
        <v>779</v>
      </c>
      <c r="I83" s="35" t="s">
        <v>1838</v>
      </c>
      <c r="J83" s="67" t="s">
        <v>1839</v>
      </c>
      <c r="K83" s="35" t="s">
        <v>1840</v>
      </c>
      <c r="L83" s="35" t="s">
        <v>779</v>
      </c>
      <c r="M83" s="72"/>
      <c r="N83" s="35" t="s">
        <v>1841</v>
      </c>
    </row>
    <row r="84" customFormat="false" ht="45" hidden="false" customHeight="true" outlineLevel="0" collapsed="false">
      <c r="A84" s="32" t="s">
        <v>1842</v>
      </c>
      <c r="B84" s="32" t="s">
        <v>1843</v>
      </c>
      <c r="C84" s="100" t="s">
        <v>974</v>
      </c>
      <c r="D84" s="33"/>
      <c r="E84" s="33"/>
      <c r="F84" s="33"/>
      <c r="G84" s="33" t="s">
        <v>145</v>
      </c>
      <c r="H84" s="33" t="s">
        <v>779</v>
      </c>
      <c r="I84" s="33" t="s">
        <v>1844</v>
      </c>
      <c r="J84" s="62" t="s">
        <v>1845</v>
      </c>
      <c r="K84" s="33" t="s">
        <v>735</v>
      </c>
      <c r="L84" s="33" t="s">
        <v>783</v>
      </c>
      <c r="M84" s="71"/>
      <c r="N84" s="33"/>
    </row>
    <row r="85" customFormat="false" ht="45" hidden="false" customHeight="true" outlineLevel="0" collapsed="false">
      <c r="A85" s="34" t="s">
        <v>1846</v>
      </c>
      <c r="B85" s="34" t="s">
        <v>1847</v>
      </c>
      <c r="C85" s="99" t="s">
        <v>974</v>
      </c>
      <c r="D85" s="35"/>
      <c r="E85" s="35"/>
      <c r="F85" s="35"/>
      <c r="G85" s="35" t="s">
        <v>145</v>
      </c>
      <c r="H85" s="35" t="s">
        <v>779</v>
      </c>
      <c r="I85" s="35" t="s">
        <v>1848</v>
      </c>
      <c r="J85" s="67" t="s">
        <v>1849</v>
      </c>
      <c r="K85" s="35" t="s">
        <v>735</v>
      </c>
      <c r="L85" s="35" t="s">
        <v>1850</v>
      </c>
      <c r="M85" s="72"/>
      <c r="N85" s="35"/>
    </row>
    <row r="86" customFormat="false" ht="45" hidden="false" customHeight="true" outlineLevel="0" collapsed="false">
      <c r="A86" s="32" t="s">
        <v>1851</v>
      </c>
      <c r="B86" s="32" t="s">
        <v>1852</v>
      </c>
      <c r="C86" s="100" t="s">
        <v>974</v>
      </c>
      <c r="D86" s="33"/>
      <c r="E86" s="33"/>
      <c r="F86" s="33"/>
      <c r="G86" s="33" t="s">
        <v>145</v>
      </c>
      <c r="H86" s="33" t="s">
        <v>779</v>
      </c>
      <c r="I86" s="33" t="s">
        <v>1853</v>
      </c>
      <c r="J86" s="62" t="s">
        <v>1854</v>
      </c>
      <c r="K86" s="33" t="s">
        <v>735</v>
      </c>
      <c r="L86" s="33" t="s">
        <v>1855</v>
      </c>
      <c r="M86" s="71"/>
      <c r="N86" s="33"/>
    </row>
    <row r="87" customFormat="false" ht="45" hidden="false" customHeight="true" outlineLevel="0" collapsed="false">
      <c r="A87" s="34" t="s">
        <v>1856</v>
      </c>
      <c r="B87" s="34" t="s">
        <v>1857</v>
      </c>
      <c r="C87" s="99" t="s">
        <v>974</v>
      </c>
      <c r="D87" s="35"/>
      <c r="E87" s="35"/>
      <c r="F87" s="35"/>
      <c r="G87" s="35" t="s">
        <v>145</v>
      </c>
      <c r="H87" s="35" t="s">
        <v>779</v>
      </c>
      <c r="I87" s="35" t="s">
        <v>1858</v>
      </c>
      <c r="J87" s="67" t="s">
        <v>1859</v>
      </c>
      <c r="K87" s="35" t="s">
        <v>1860</v>
      </c>
      <c r="L87" s="35" t="s">
        <v>808</v>
      </c>
      <c r="M87" s="72"/>
      <c r="N87" s="35"/>
    </row>
    <row r="88" customFormat="false" ht="13.5" hidden="false" customHeight="true" outlineLevel="0" collapsed="false">
      <c r="A88" s="102" t="s">
        <v>1861</v>
      </c>
      <c r="B88" s="102"/>
      <c r="C88" s="102"/>
      <c r="D88" s="102"/>
      <c r="E88" s="102"/>
      <c r="F88" s="102"/>
      <c r="G88" s="102"/>
      <c r="H88" s="102"/>
      <c r="I88" s="102"/>
      <c r="J88" s="102"/>
      <c r="K88" s="102"/>
      <c r="L88" s="102"/>
      <c r="M88" s="102"/>
      <c r="N88" s="102"/>
    </row>
    <row r="89" customFormat="false" ht="45" hidden="false" customHeight="true" outlineLevel="0" collapsed="false">
      <c r="A89" s="34" t="s">
        <v>1862</v>
      </c>
      <c r="B89" s="34" t="s">
        <v>1863</v>
      </c>
      <c r="C89" s="99" t="s">
        <v>743</v>
      </c>
      <c r="D89" s="35"/>
      <c r="E89" s="35"/>
      <c r="F89" s="35"/>
      <c r="G89" s="35" t="s">
        <v>1864</v>
      </c>
      <c r="H89" s="35" t="s">
        <v>789</v>
      </c>
      <c r="I89" s="35" t="s">
        <v>1865</v>
      </c>
      <c r="J89" s="67" t="s">
        <v>1866</v>
      </c>
      <c r="K89" s="35" t="s">
        <v>823</v>
      </c>
      <c r="L89" s="35" t="s">
        <v>789</v>
      </c>
      <c r="M89" s="72" t="s">
        <v>1867</v>
      </c>
      <c r="N89" s="35" t="s">
        <v>1868</v>
      </c>
    </row>
    <row r="90" customFormat="false" ht="45" hidden="false" customHeight="true" outlineLevel="0" collapsed="false">
      <c r="A90" s="32" t="s">
        <v>1869</v>
      </c>
      <c r="B90" s="32" t="s">
        <v>1870</v>
      </c>
      <c r="C90" s="100" t="s">
        <v>743</v>
      </c>
      <c r="D90" s="33"/>
      <c r="E90" s="33"/>
      <c r="F90" s="33"/>
      <c r="G90" s="33" t="s">
        <v>1864</v>
      </c>
      <c r="H90" s="33" t="s">
        <v>789</v>
      </c>
      <c r="I90" s="33" t="s">
        <v>1871</v>
      </c>
      <c r="J90" s="62" t="s">
        <v>1872</v>
      </c>
      <c r="K90" s="33" t="s">
        <v>823</v>
      </c>
      <c r="L90" s="33" t="s">
        <v>789</v>
      </c>
      <c r="M90" s="71" t="s">
        <v>1873</v>
      </c>
      <c r="N90" s="33" t="s">
        <v>1874</v>
      </c>
    </row>
    <row r="91" customFormat="false" ht="45" hidden="false" customHeight="true" outlineLevel="0" collapsed="false">
      <c r="A91" s="34" t="s">
        <v>1875</v>
      </c>
      <c r="B91" s="34" t="s">
        <v>1876</v>
      </c>
      <c r="C91" s="99" t="s">
        <v>974</v>
      </c>
      <c r="D91" s="35"/>
      <c r="E91" s="35"/>
      <c r="F91" s="35"/>
      <c r="G91" s="35" t="s">
        <v>1864</v>
      </c>
      <c r="H91" s="35" t="s">
        <v>789</v>
      </c>
      <c r="I91" s="35" t="s">
        <v>1877</v>
      </c>
      <c r="J91" s="67" t="s">
        <v>1878</v>
      </c>
      <c r="K91" s="35" t="s">
        <v>1879</v>
      </c>
      <c r="L91" s="35" t="s">
        <v>795</v>
      </c>
      <c r="M91" s="72"/>
      <c r="N91" s="35" t="s">
        <v>1880</v>
      </c>
    </row>
    <row r="92" customFormat="false" ht="45" hidden="false" customHeight="true" outlineLevel="0" collapsed="false">
      <c r="A92" s="32" t="s">
        <v>1881</v>
      </c>
      <c r="B92" s="32" t="s">
        <v>1882</v>
      </c>
      <c r="C92" s="100" t="s">
        <v>743</v>
      </c>
      <c r="D92" s="33"/>
      <c r="E92" s="33"/>
      <c r="F92" s="33"/>
      <c r="G92" s="33" t="s">
        <v>1864</v>
      </c>
      <c r="H92" s="33" t="s">
        <v>789</v>
      </c>
      <c r="I92" s="33" t="s">
        <v>1883</v>
      </c>
      <c r="J92" s="62" t="s">
        <v>1884</v>
      </c>
      <c r="K92" s="33" t="s">
        <v>1885</v>
      </c>
      <c r="L92" s="33" t="s">
        <v>802</v>
      </c>
      <c r="M92" s="71"/>
      <c r="N92" s="33" t="s">
        <v>1886</v>
      </c>
    </row>
    <row r="93" customFormat="false" ht="45" hidden="false" customHeight="true" outlineLevel="0" collapsed="false">
      <c r="A93" s="34" t="s">
        <v>1887</v>
      </c>
      <c r="B93" s="34" t="s">
        <v>1888</v>
      </c>
      <c r="C93" s="99" t="s">
        <v>974</v>
      </c>
      <c r="D93" s="35"/>
      <c r="E93" s="35"/>
      <c r="F93" s="35"/>
      <c r="G93" s="35" t="s">
        <v>1864</v>
      </c>
      <c r="H93" s="35" t="s">
        <v>789</v>
      </c>
      <c r="I93" s="35" t="s">
        <v>1889</v>
      </c>
      <c r="J93" s="67" t="s">
        <v>1890</v>
      </c>
      <c r="K93" s="35" t="s">
        <v>1891</v>
      </c>
      <c r="L93" s="35" t="s">
        <v>802</v>
      </c>
      <c r="M93" s="72"/>
      <c r="N93" s="35"/>
    </row>
    <row r="95" customFormat="false" ht="18" hidden="false" customHeight="true" outlineLevel="0" collapsed="false">
      <c r="A95" s="108" t="s">
        <v>1892</v>
      </c>
      <c r="B95" s="108"/>
      <c r="C95" s="108"/>
      <c r="D95" s="108"/>
      <c r="E95" s="108"/>
      <c r="F95" s="108"/>
      <c r="G95" s="108"/>
      <c r="H95" s="108"/>
      <c r="I95" s="108"/>
      <c r="J95" s="108"/>
      <c r="K95" s="108"/>
      <c r="L95" s="108"/>
      <c r="M95" s="108"/>
      <c r="N95" s="108"/>
    </row>
    <row r="96" customFormat="false" ht="15" hidden="false" customHeight="true" outlineLevel="0" collapsed="false">
      <c r="A96" s="109" t="s">
        <v>1893</v>
      </c>
      <c r="B96" s="109"/>
      <c r="C96" s="109"/>
      <c r="D96" s="109"/>
      <c r="E96" s="109"/>
      <c r="F96" s="109"/>
      <c r="G96" s="109"/>
      <c r="H96" s="109"/>
      <c r="I96" s="109"/>
      <c r="J96" s="109"/>
      <c r="K96" s="109"/>
      <c r="L96" s="109"/>
      <c r="M96" s="109"/>
      <c r="N96" s="109"/>
    </row>
    <row r="97" customFormat="false" ht="13.5" hidden="false" customHeight="true" outlineLevel="0" collapsed="false">
      <c r="A97" s="110" t="s">
        <v>1894</v>
      </c>
      <c r="B97" s="110"/>
      <c r="C97" s="110"/>
      <c r="D97" s="110"/>
      <c r="E97" s="110"/>
      <c r="F97" s="110"/>
      <c r="G97" s="110"/>
      <c r="H97" s="110"/>
      <c r="I97" s="110"/>
      <c r="J97" s="110"/>
      <c r="K97" s="110"/>
      <c r="L97" s="110"/>
      <c r="M97" s="110"/>
      <c r="N97" s="110"/>
    </row>
    <row r="98" customFormat="false" ht="45" hidden="false" customHeight="true" outlineLevel="0" collapsed="false">
      <c r="A98" s="34" t="s">
        <v>1895</v>
      </c>
      <c r="B98" s="34" t="s">
        <v>1896</v>
      </c>
      <c r="C98" s="99" t="s">
        <v>974</v>
      </c>
      <c r="D98" s="35"/>
      <c r="E98" s="35"/>
      <c r="F98" s="35"/>
      <c r="G98" s="35" t="s">
        <v>1897</v>
      </c>
      <c r="H98" s="35" t="s">
        <v>814</v>
      </c>
      <c r="I98" s="35" t="s">
        <v>1898</v>
      </c>
      <c r="J98" s="67" t="s">
        <v>1899</v>
      </c>
      <c r="K98" s="35" t="s">
        <v>1900</v>
      </c>
      <c r="L98" s="35" t="s">
        <v>814</v>
      </c>
      <c r="M98" s="72"/>
      <c r="N98" s="35" t="s">
        <v>1901</v>
      </c>
    </row>
    <row r="99" customFormat="false" ht="45" hidden="false" customHeight="true" outlineLevel="0" collapsed="false">
      <c r="A99" s="32" t="s">
        <v>1902</v>
      </c>
      <c r="B99" s="32" t="s">
        <v>1903</v>
      </c>
      <c r="C99" s="100" t="s">
        <v>974</v>
      </c>
      <c r="D99" s="33"/>
      <c r="E99" s="33"/>
      <c r="F99" s="33"/>
      <c r="G99" s="33" t="s">
        <v>1897</v>
      </c>
      <c r="H99" s="33" t="s">
        <v>814</v>
      </c>
      <c r="I99" s="33" t="s">
        <v>1904</v>
      </c>
      <c r="J99" s="62" t="s">
        <v>1905</v>
      </c>
      <c r="K99" s="33" t="s">
        <v>1822</v>
      </c>
      <c r="L99" s="33" t="s">
        <v>814</v>
      </c>
      <c r="M99" s="71"/>
      <c r="N99" s="33" t="s">
        <v>1906</v>
      </c>
    </row>
    <row r="100" customFormat="false" ht="13.5" hidden="false" customHeight="true" outlineLevel="0" collapsed="false">
      <c r="A100" s="110" t="s">
        <v>1907</v>
      </c>
      <c r="B100" s="110"/>
      <c r="C100" s="110"/>
      <c r="D100" s="110"/>
      <c r="E100" s="110"/>
      <c r="F100" s="110"/>
      <c r="G100" s="110"/>
      <c r="H100" s="110"/>
      <c r="I100" s="110"/>
      <c r="J100" s="110"/>
      <c r="K100" s="110"/>
      <c r="L100" s="110"/>
      <c r="M100" s="110"/>
      <c r="N100" s="110"/>
    </row>
    <row r="101" customFormat="false" ht="45" hidden="false" customHeight="true" outlineLevel="0" collapsed="false">
      <c r="A101" s="34" t="s">
        <v>1908</v>
      </c>
      <c r="B101" s="34" t="s">
        <v>1909</v>
      </c>
      <c r="C101" s="99" t="s">
        <v>974</v>
      </c>
      <c r="D101" s="35"/>
      <c r="E101" s="35"/>
      <c r="F101" s="35"/>
      <c r="G101" s="35" t="s">
        <v>138</v>
      </c>
      <c r="H101" s="35" t="s">
        <v>819</v>
      </c>
      <c r="I101" s="35" t="s">
        <v>1910</v>
      </c>
      <c r="J101" s="67" t="s">
        <v>1911</v>
      </c>
      <c r="K101" s="35" t="s">
        <v>735</v>
      </c>
      <c r="L101" s="35" t="s">
        <v>819</v>
      </c>
      <c r="M101" s="72"/>
      <c r="N101" s="35" t="s">
        <v>1912</v>
      </c>
    </row>
    <row r="102" customFormat="false" ht="45" hidden="false" customHeight="true" outlineLevel="0" collapsed="false">
      <c r="A102" s="32" t="s">
        <v>1913</v>
      </c>
      <c r="B102" s="32" t="s">
        <v>1914</v>
      </c>
      <c r="C102" s="100" t="s">
        <v>743</v>
      </c>
      <c r="D102" s="33"/>
      <c r="E102" s="33"/>
      <c r="F102" s="33"/>
      <c r="G102" s="33" t="s">
        <v>138</v>
      </c>
      <c r="H102" s="33" t="s">
        <v>819</v>
      </c>
      <c r="I102" s="33" t="s">
        <v>1915</v>
      </c>
      <c r="J102" s="62" t="s">
        <v>1916</v>
      </c>
      <c r="K102" s="33" t="s">
        <v>823</v>
      </c>
      <c r="L102" s="33" t="s">
        <v>824</v>
      </c>
      <c r="M102" s="71"/>
      <c r="N102" s="33"/>
    </row>
    <row r="103" customFormat="false" ht="13.5" hidden="false" customHeight="true" outlineLevel="0" collapsed="false">
      <c r="A103" s="110" t="s">
        <v>1917</v>
      </c>
      <c r="B103" s="110"/>
      <c r="C103" s="110"/>
      <c r="D103" s="110"/>
      <c r="E103" s="110"/>
      <c r="F103" s="110"/>
      <c r="G103" s="110"/>
      <c r="H103" s="110"/>
      <c r="I103" s="110"/>
      <c r="J103" s="110"/>
      <c r="K103" s="110"/>
      <c r="L103" s="110"/>
      <c r="M103" s="110"/>
      <c r="N103" s="110"/>
    </row>
    <row r="104" customFormat="false" ht="45" hidden="false" customHeight="true" outlineLevel="0" collapsed="false">
      <c r="A104" s="34" t="s">
        <v>1918</v>
      </c>
      <c r="B104" s="34" t="s">
        <v>1919</v>
      </c>
      <c r="C104" s="99" t="s">
        <v>974</v>
      </c>
      <c r="D104" s="35"/>
      <c r="E104" s="35"/>
      <c r="F104" s="35"/>
      <c r="G104" s="35" t="s">
        <v>1920</v>
      </c>
      <c r="H104" s="35" t="s">
        <v>831</v>
      </c>
      <c r="I104" s="35" t="s">
        <v>1921</v>
      </c>
      <c r="J104" s="67" t="s">
        <v>1922</v>
      </c>
      <c r="K104" s="35" t="s">
        <v>1923</v>
      </c>
      <c r="L104" s="35" t="s">
        <v>831</v>
      </c>
      <c r="M104" s="72"/>
      <c r="N104" s="35" t="s">
        <v>1924</v>
      </c>
    </row>
    <row r="105" customFormat="false" ht="45" hidden="false" customHeight="true" outlineLevel="0" collapsed="false">
      <c r="A105" s="32" t="s">
        <v>1925</v>
      </c>
      <c r="B105" s="32" t="s">
        <v>1926</v>
      </c>
      <c r="C105" s="100" t="s">
        <v>743</v>
      </c>
      <c r="D105" s="33"/>
      <c r="E105" s="33"/>
      <c r="F105" s="33"/>
      <c r="G105" s="33" t="s">
        <v>1920</v>
      </c>
      <c r="H105" s="33" t="s">
        <v>831</v>
      </c>
      <c r="I105" s="33" t="s">
        <v>1927</v>
      </c>
      <c r="J105" s="62" t="s">
        <v>1928</v>
      </c>
      <c r="K105" s="33" t="s">
        <v>801</v>
      </c>
      <c r="L105" s="33" t="s">
        <v>824</v>
      </c>
      <c r="M105" s="71"/>
      <c r="N105" s="33" t="s">
        <v>1783</v>
      </c>
    </row>
    <row r="106" customFormat="false" ht="45" hidden="false" customHeight="true" outlineLevel="0" collapsed="false">
      <c r="A106" s="34" t="s">
        <v>1929</v>
      </c>
      <c r="B106" s="34" t="s">
        <v>1930</v>
      </c>
      <c r="C106" s="99" t="s">
        <v>974</v>
      </c>
      <c r="D106" s="35"/>
      <c r="E106" s="35"/>
      <c r="F106" s="35"/>
      <c r="G106" s="35" t="s">
        <v>1920</v>
      </c>
      <c r="H106" s="35" t="s">
        <v>831</v>
      </c>
      <c r="I106" s="35" t="s">
        <v>1145</v>
      </c>
      <c r="J106" s="67" t="s">
        <v>1931</v>
      </c>
      <c r="K106" s="35" t="s">
        <v>894</v>
      </c>
      <c r="L106" s="35" t="s">
        <v>1932</v>
      </c>
      <c r="M106" s="72"/>
      <c r="N106" s="35" t="s">
        <v>1933</v>
      </c>
    </row>
    <row r="107" customFormat="false" ht="45" hidden="false" customHeight="true" outlineLevel="0" collapsed="false">
      <c r="A107" s="32" t="s">
        <v>1934</v>
      </c>
      <c r="B107" s="32" t="s">
        <v>1935</v>
      </c>
      <c r="C107" s="100" t="s">
        <v>974</v>
      </c>
      <c r="D107" s="33"/>
      <c r="E107" s="33"/>
      <c r="F107" s="33"/>
      <c r="G107" s="33" t="s">
        <v>1920</v>
      </c>
      <c r="H107" s="33" t="s">
        <v>831</v>
      </c>
      <c r="I107" s="33" t="s">
        <v>1145</v>
      </c>
      <c r="J107" s="62" t="s">
        <v>1936</v>
      </c>
      <c r="K107" s="33" t="s">
        <v>1937</v>
      </c>
      <c r="L107" s="33" t="s">
        <v>1938</v>
      </c>
      <c r="M107" s="71"/>
      <c r="N107" s="33" t="s">
        <v>1939</v>
      </c>
    </row>
    <row r="109" customFormat="false" ht="18" hidden="false" customHeight="true" outlineLevel="0" collapsed="false">
      <c r="A109" s="111" t="s">
        <v>1940</v>
      </c>
      <c r="B109" s="111"/>
      <c r="C109" s="111"/>
      <c r="D109" s="111"/>
      <c r="E109" s="111"/>
      <c r="F109" s="111"/>
      <c r="G109" s="111"/>
      <c r="H109" s="111"/>
      <c r="I109" s="111"/>
      <c r="J109" s="111"/>
      <c r="K109" s="111"/>
      <c r="L109" s="111"/>
      <c r="M109" s="111"/>
      <c r="N109" s="111"/>
    </row>
    <row r="110" customFormat="false" ht="15" hidden="false" customHeight="true" outlineLevel="0" collapsed="false">
      <c r="A110" s="112" t="s">
        <v>1941</v>
      </c>
      <c r="B110" s="112"/>
      <c r="C110" s="112"/>
      <c r="D110" s="112"/>
      <c r="E110" s="112"/>
      <c r="F110" s="112"/>
      <c r="G110" s="112"/>
      <c r="H110" s="112"/>
      <c r="I110" s="112"/>
      <c r="J110" s="112"/>
      <c r="K110" s="112"/>
      <c r="L110" s="112"/>
      <c r="M110" s="112"/>
      <c r="N110" s="112"/>
    </row>
    <row r="111" customFormat="false" ht="13.5" hidden="false" customHeight="true" outlineLevel="0" collapsed="false">
      <c r="A111" s="113" t="s">
        <v>1942</v>
      </c>
      <c r="B111" s="113"/>
      <c r="C111" s="113"/>
      <c r="D111" s="113"/>
      <c r="E111" s="113"/>
      <c r="F111" s="113"/>
      <c r="G111" s="113"/>
      <c r="H111" s="113"/>
      <c r="I111" s="113"/>
      <c r="J111" s="113"/>
      <c r="K111" s="113"/>
      <c r="L111" s="113"/>
      <c r="M111" s="113"/>
      <c r="N111" s="113"/>
    </row>
    <row r="112" customFormat="false" ht="45" hidden="false" customHeight="true" outlineLevel="0" collapsed="false">
      <c r="A112" s="34" t="s">
        <v>1943</v>
      </c>
      <c r="B112" s="34" t="s">
        <v>1944</v>
      </c>
      <c r="C112" s="99" t="s">
        <v>974</v>
      </c>
      <c r="D112" s="35"/>
      <c r="E112" s="35"/>
      <c r="F112" s="35"/>
      <c r="G112" s="35" t="s">
        <v>83</v>
      </c>
      <c r="H112" s="35" t="s">
        <v>1011</v>
      </c>
      <c r="I112" s="35" t="s">
        <v>1945</v>
      </c>
      <c r="J112" s="67" t="s">
        <v>1946</v>
      </c>
      <c r="K112" s="35" t="s">
        <v>1947</v>
      </c>
      <c r="L112" s="35" t="s">
        <v>1011</v>
      </c>
      <c r="M112" s="72" t="s">
        <v>1948</v>
      </c>
      <c r="N112" s="35" t="s">
        <v>1949</v>
      </c>
    </row>
    <row r="113" customFormat="false" ht="45" hidden="false" customHeight="true" outlineLevel="0" collapsed="false">
      <c r="A113" s="32" t="s">
        <v>1950</v>
      </c>
      <c r="B113" s="32" t="s">
        <v>1951</v>
      </c>
      <c r="C113" s="100" t="s">
        <v>974</v>
      </c>
      <c r="D113" s="33"/>
      <c r="E113" s="33"/>
      <c r="F113" s="33"/>
      <c r="G113" s="33" t="s">
        <v>83</v>
      </c>
      <c r="H113" s="33" t="s">
        <v>1011</v>
      </c>
      <c r="I113" s="33" t="s">
        <v>1952</v>
      </c>
      <c r="J113" s="62" t="s">
        <v>1953</v>
      </c>
      <c r="K113" s="33" t="s">
        <v>1954</v>
      </c>
      <c r="L113" s="33" t="s">
        <v>1011</v>
      </c>
      <c r="M113" s="71" t="s">
        <v>1955</v>
      </c>
      <c r="N113" s="33" t="s">
        <v>1956</v>
      </c>
    </row>
    <row r="114" customFormat="false" ht="45" hidden="false" customHeight="true" outlineLevel="0" collapsed="false">
      <c r="A114" s="34" t="s">
        <v>1957</v>
      </c>
      <c r="B114" s="34" t="s">
        <v>1958</v>
      </c>
      <c r="C114" s="99" t="s">
        <v>974</v>
      </c>
      <c r="D114" s="35"/>
      <c r="E114" s="35"/>
      <c r="F114" s="35"/>
      <c r="G114" s="35" t="s">
        <v>83</v>
      </c>
      <c r="H114" s="35" t="s">
        <v>1011</v>
      </c>
      <c r="I114" s="35" t="s">
        <v>1959</v>
      </c>
      <c r="J114" s="67" t="s">
        <v>1960</v>
      </c>
      <c r="K114" s="35" t="s">
        <v>1961</v>
      </c>
      <c r="L114" s="35" t="s">
        <v>1011</v>
      </c>
      <c r="M114" s="72"/>
      <c r="N114" s="35" t="s">
        <v>1962</v>
      </c>
    </row>
    <row r="115" customFormat="false" ht="13.5" hidden="false" customHeight="true" outlineLevel="0" collapsed="false">
      <c r="A115" s="113" t="s">
        <v>1963</v>
      </c>
      <c r="B115" s="113"/>
      <c r="C115" s="113"/>
      <c r="D115" s="113"/>
      <c r="E115" s="113"/>
      <c r="F115" s="113"/>
      <c r="G115" s="113"/>
      <c r="H115" s="113"/>
      <c r="I115" s="113"/>
      <c r="J115" s="113"/>
      <c r="K115" s="113"/>
      <c r="L115" s="113"/>
      <c r="M115" s="113"/>
      <c r="N115" s="113"/>
    </row>
    <row r="116" customFormat="false" ht="45" hidden="false" customHeight="true" outlineLevel="0" collapsed="false">
      <c r="A116" s="34" t="s">
        <v>1964</v>
      </c>
      <c r="B116" s="34" t="s">
        <v>1965</v>
      </c>
      <c r="C116" s="99" t="s">
        <v>743</v>
      </c>
      <c r="D116" s="35"/>
      <c r="E116" s="35"/>
      <c r="F116" s="35"/>
      <c r="G116" s="35" t="s">
        <v>121</v>
      </c>
      <c r="H116" s="35" t="s">
        <v>850</v>
      </c>
      <c r="I116" s="35" t="s">
        <v>1966</v>
      </c>
      <c r="J116" s="67" t="s">
        <v>1967</v>
      </c>
      <c r="K116" s="35" t="s">
        <v>1891</v>
      </c>
      <c r="L116" s="35" t="s">
        <v>850</v>
      </c>
      <c r="M116" s="72"/>
      <c r="N116" s="35" t="s">
        <v>1968</v>
      </c>
    </row>
    <row r="117" customFormat="false" ht="45" hidden="false" customHeight="true" outlineLevel="0" collapsed="false">
      <c r="A117" s="32" t="s">
        <v>1969</v>
      </c>
      <c r="B117" s="32" t="s">
        <v>1970</v>
      </c>
      <c r="C117" s="100" t="s">
        <v>974</v>
      </c>
      <c r="D117" s="33"/>
      <c r="E117" s="33"/>
      <c r="F117" s="33"/>
      <c r="G117" s="33" t="s">
        <v>121</v>
      </c>
      <c r="H117" s="33" t="s">
        <v>850</v>
      </c>
      <c r="I117" s="33" t="s">
        <v>1971</v>
      </c>
      <c r="J117" s="62" t="s">
        <v>1972</v>
      </c>
      <c r="K117" s="33" t="s">
        <v>894</v>
      </c>
      <c r="L117" s="33" t="s">
        <v>1973</v>
      </c>
      <c r="M117" s="71"/>
      <c r="N117" s="33"/>
    </row>
    <row r="118" customFormat="false" ht="13.5" hidden="false" customHeight="true" outlineLevel="0" collapsed="false">
      <c r="A118" s="113" t="s">
        <v>1974</v>
      </c>
      <c r="B118" s="113"/>
      <c r="C118" s="113"/>
      <c r="D118" s="113"/>
      <c r="E118" s="113"/>
      <c r="F118" s="113"/>
      <c r="G118" s="113"/>
      <c r="H118" s="113"/>
      <c r="I118" s="113"/>
      <c r="J118" s="113"/>
      <c r="K118" s="113"/>
      <c r="L118" s="113"/>
      <c r="M118" s="113"/>
      <c r="N118" s="113"/>
    </row>
    <row r="119" customFormat="false" ht="45" hidden="false" customHeight="true" outlineLevel="0" collapsed="false">
      <c r="A119" s="34" t="s">
        <v>1975</v>
      </c>
      <c r="B119" s="34" t="s">
        <v>1976</v>
      </c>
      <c r="C119" s="99" t="s">
        <v>743</v>
      </c>
      <c r="D119" s="35"/>
      <c r="E119" s="35"/>
      <c r="F119" s="35"/>
      <c r="G119" s="35" t="s">
        <v>1977</v>
      </c>
      <c r="H119" s="35" t="s">
        <v>858</v>
      </c>
      <c r="I119" s="35" t="s">
        <v>1978</v>
      </c>
      <c r="J119" s="67" t="s">
        <v>1979</v>
      </c>
      <c r="K119" s="35" t="s">
        <v>1980</v>
      </c>
      <c r="L119" s="35" t="s">
        <v>858</v>
      </c>
      <c r="M119" s="72" t="s">
        <v>1981</v>
      </c>
      <c r="N119" s="35" t="s">
        <v>1982</v>
      </c>
    </row>
    <row r="120" customFormat="false" ht="45" hidden="false" customHeight="true" outlineLevel="0" collapsed="false">
      <c r="A120" s="32" t="s">
        <v>1983</v>
      </c>
      <c r="B120" s="32" t="s">
        <v>1984</v>
      </c>
      <c r="C120" s="100" t="s">
        <v>743</v>
      </c>
      <c r="D120" s="33"/>
      <c r="E120" s="33"/>
      <c r="F120" s="33"/>
      <c r="G120" s="33" t="s">
        <v>1977</v>
      </c>
      <c r="H120" s="33" t="s">
        <v>858</v>
      </c>
      <c r="I120" s="33" t="s">
        <v>1985</v>
      </c>
      <c r="J120" s="62" t="s">
        <v>1986</v>
      </c>
      <c r="K120" s="33" t="s">
        <v>1987</v>
      </c>
      <c r="L120" s="33" t="s">
        <v>858</v>
      </c>
      <c r="M120" s="71" t="s">
        <v>1988</v>
      </c>
      <c r="N120" s="33"/>
    </row>
    <row r="121" customFormat="false" ht="45" hidden="false" customHeight="true" outlineLevel="0" collapsed="false">
      <c r="A121" s="34" t="s">
        <v>1989</v>
      </c>
      <c r="B121" s="34" t="s">
        <v>1990</v>
      </c>
      <c r="C121" s="99" t="s">
        <v>974</v>
      </c>
      <c r="D121" s="35"/>
      <c r="E121" s="35"/>
      <c r="F121" s="35"/>
      <c r="G121" s="35" t="s">
        <v>1977</v>
      </c>
      <c r="H121" s="35" t="s">
        <v>858</v>
      </c>
      <c r="I121" s="35" t="s">
        <v>1991</v>
      </c>
      <c r="J121" s="67" t="s">
        <v>1992</v>
      </c>
      <c r="K121" s="35" t="s">
        <v>972</v>
      </c>
      <c r="L121" s="35" t="s">
        <v>975</v>
      </c>
      <c r="M121" s="72" t="s">
        <v>1993</v>
      </c>
      <c r="N121" s="35" t="s">
        <v>1994</v>
      </c>
    </row>
    <row r="122" customFormat="false" ht="45" hidden="false" customHeight="true" outlineLevel="0" collapsed="false">
      <c r="A122" s="32" t="s">
        <v>1995</v>
      </c>
      <c r="B122" s="32" t="s">
        <v>1996</v>
      </c>
      <c r="C122" s="100" t="s">
        <v>974</v>
      </c>
      <c r="D122" s="33"/>
      <c r="E122" s="33"/>
      <c r="F122" s="33"/>
      <c r="G122" s="33" t="s">
        <v>1977</v>
      </c>
      <c r="H122" s="33" t="s">
        <v>858</v>
      </c>
      <c r="I122" s="33" t="s">
        <v>1997</v>
      </c>
      <c r="J122" s="62" t="s">
        <v>1998</v>
      </c>
      <c r="K122" s="33" t="s">
        <v>1999</v>
      </c>
      <c r="L122" s="33" t="s">
        <v>864</v>
      </c>
      <c r="M122" s="71" t="s">
        <v>2000</v>
      </c>
      <c r="N122" s="33" t="s">
        <v>2001</v>
      </c>
    </row>
    <row r="124" customFormat="false" ht="18" hidden="false" customHeight="true" outlineLevel="0" collapsed="false">
      <c r="A124" s="114" t="s">
        <v>2002</v>
      </c>
      <c r="B124" s="114"/>
      <c r="C124" s="114"/>
      <c r="D124" s="114"/>
      <c r="E124" s="114"/>
      <c r="F124" s="114"/>
      <c r="G124" s="114"/>
      <c r="H124" s="114"/>
      <c r="I124" s="114"/>
      <c r="J124" s="114"/>
      <c r="K124" s="114"/>
      <c r="L124" s="114"/>
      <c r="M124" s="114"/>
      <c r="N124" s="114"/>
    </row>
    <row r="125" customFormat="false" ht="15" hidden="false" customHeight="true" outlineLevel="0" collapsed="false">
      <c r="A125" s="115" t="s">
        <v>2003</v>
      </c>
      <c r="B125" s="115"/>
      <c r="C125" s="115"/>
      <c r="D125" s="115"/>
      <c r="E125" s="115"/>
      <c r="F125" s="115"/>
      <c r="G125" s="115"/>
      <c r="H125" s="115"/>
      <c r="I125" s="115"/>
      <c r="J125" s="115"/>
      <c r="K125" s="115"/>
      <c r="L125" s="115"/>
      <c r="M125" s="115"/>
      <c r="N125" s="115"/>
    </row>
    <row r="126" customFormat="false" ht="13.5" hidden="false" customHeight="true" outlineLevel="0" collapsed="false">
      <c r="A126" s="116" t="s">
        <v>2004</v>
      </c>
      <c r="B126" s="116"/>
      <c r="C126" s="116"/>
      <c r="D126" s="116"/>
      <c r="E126" s="116"/>
      <c r="F126" s="116"/>
      <c r="G126" s="116"/>
      <c r="H126" s="116"/>
      <c r="I126" s="116"/>
      <c r="J126" s="116"/>
      <c r="K126" s="116"/>
      <c r="L126" s="116"/>
      <c r="M126" s="116"/>
      <c r="N126" s="116"/>
    </row>
    <row r="127" customFormat="false" ht="45" hidden="false" customHeight="true" outlineLevel="0" collapsed="false">
      <c r="A127" s="34" t="s">
        <v>2005</v>
      </c>
      <c r="B127" s="34" t="s">
        <v>2006</v>
      </c>
      <c r="C127" s="99" t="s">
        <v>974</v>
      </c>
      <c r="D127" s="35"/>
      <c r="E127" s="35"/>
      <c r="F127" s="35"/>
      <c r="G127" s="35" t="s">
        <v>253</v>
      </c>
      <c r="H127" s="35" t="s">
        <v>988</v>
      </c>
      <c r="I127" s="35" t="s">
        <v>2007</v>
      </c>
      <c r="J127" s="67" t="s">
        <v>2008</v>
      </c>
      <c r="K127" s="35" t="s">
        <v>986</v>
      </c>
      <c r="L127" s="35" t="s">
        <v>988</v>
      </c>
      <c r="M127" s="72"/>
      <c r="N127" s="35" t="s">
        <v>2009</v>
      </c>
    </row>
    <row r="128" customFormat="false" ht="45" hidden="false" customHeight="true" outlineLevel="0" collapsed="false">
      <c r="A128" s="32" t="s">
        <v>2010</v>
      </c>
      <c r="B128" s="32" t="s">
        <v>2011</v>
      </c>
      <c r="C128" s="100" t="s">
        <v>974</v>
      </c>
      <c r="D128" s="33"/>
      <c r="E128" s="33"/>
      <c r="F128" s="33"/>
      <c r="G128" s="33" t="s">
        <v>253</v>
      </c>
      <c r="H128" s="33" t="s">
        <v>988</v>
      </c>
      <c r="I128" s="33" t="s">
        <v>2012</v>
      </c>
      <c r="J128" s="62" t="s">
        <v>2013</v>
      </c>
      <c r="K128" s="33" t="s">
        <v>2014</v>
      </c>
      <c r="L128" s="33" t="s">
        <v>988</v>
      </c>
      <c r="M128" s="71"/>
      <c r="N128" s="33" t="s">
        <v>2015</v>
      </c>
    </row>
    <row r="129" customFormat="false" ht="45" hidden="false" customHeight="true" outlineLevel="0" collapsed="false">
      <c r="A129" s="34" t="s">
        <v>2016</v>
      </c>
      <c r="B129" s="34" t="s">
        <v>2017</v>
      </c>
      <c r="C129" s="99" t="s">
        <v>974</v>
      </c>
      <c r="D129" s="35"/>
      <c r="E129" s="35"/>
      <c r="F129" s="35"/>
      <c r="G129" s="35" t="s">
        <v>253</v>
      </c>
      <c r="H129" s="35" t="s">
        <v>988</v>
      </c>
      <c r="I129" s="35" t="s">
        <v>988</v>
      </c>
      <c r="J129" s="67" t="s">
        <v>2018</v>
      </c>
      <c r="K129" s="35" t="s">
        <v>894</v>
      </c>
      <c r="L129" s="35" t="s">
        <v>988</v>
      </c>
      <c r="M129" s="72"/>
      <c r="N129" s="35" t="s">
        <v>2019</v>
      </c>
    </row>
    <row r="130" customFormat="false" ht="45" hidden="false" customHeight="true" outlineLevel="0" collapsed="false">
      <c r="A130" s="32" t="s">
        <v>2020</v>
      </c>
      <c r="B130" s="32" t="s">
        <v>2021</v>
      </c>
      <c r="C130" s="100" t="s">
        <v>1543</v>
      </c>
      <c r="D130" s="33"/>
      <c r="E130" s="33"/>
      <c r="F130" s="33"/>
      <c r="G130" s="33" t="s">
        <v>253</v>
      </c>
      <c r="H130" s="33" t="s">
        <v>988</v>
      </c>
      <c r="I130" s="33" t="s">
        <v>1145</v>
      </c>
      <c r="J130" s="62" t="s">
        <v>2022</v>
      </c>
      <c r="K130" s="33" t="s">
        <v>62</v>
      </c>
      <c r="L130" s="33" t="s">
        <v>2023</v>
      </c>
      <c r="M130" s="71"/>
      <c r="N130" s="33" t="s">
        <v>2024</v>
      </c>
    </row>
    <row r="131" customFormat="false" ht="45" hidden="false" customHeight="true" outlineLevel="0" collapsed="false">
      <c r="A131" s="34" t="s">
        <v>2025</v>
      </c>
      <c r="B131" s="34" t="s">
        <v>2026</v>
      </c>
      <c r="C131" s="99" t="s">
        <v>1543</v>
      </c>
      <c r="D131" s="35"/>
      <c r="E131" s="35"/>
      <c r="F131" s="35"/>
      <c r="G131" s="35" t="s">
        <v>253</v>
      </c>
      <c r="H131" s="35" t="s">
        <v>988</v>
      </c>
      <c r="I131" s="35" t="s">
        <v>1145</v>
      </c>
      <c r="J131" s="67" t="s">
        <v>2027</v>
      </c>
      <c r="K131" s="35" t="s">
        <v>62</v>
      </c>
      <c r="L131" s="35" t="s">
        <v>2028</v>
      </c>
      <c r="M131" s="72"/>
      <c r="N131" s="35" t="s">
        <v>2029</v>
      </c>
    </row>
    <row r="133" customFormat="false" ht="18" hidden="false" customHeight="true" outlineLevel="0" collapsed="false">
      <c r="A133" s="103" t="s">
        <v>2030</v>
      </c>
      <c r="B133" s="103"/>
      <c r="C133" s="103"/>
      <c r="D133" s="103"/>
      <c r="E133" s="103"/>
      <c r="F133" s="103"/>
      <c r="G133" s="103"/>
      <c r="H133" s="103"/>
      <c r="I133" s="103"/>
      <c r="J133" s="103"/>
      <c r="K133" s="103"/>
      <c r="L133" s="103"/>
      <c r="M133" s="103"/>
      <c r="N133" s="103"/>
    </row>
    <row r="134" customFormat="false" ht="15" hidden="false" customHeight="true" outlineLevel="0" collapsed="false">
      <c r="A134" s="76" t="s">
        <v>2031</v>
      </c>
      <c r="B134" s="76"/>
      <c r="C134" s="76"/>
      <c r="D134" s="76"/>
      <c r="E134" s="76"/>
      <c r="F134" s="76"/>
      <c r="G134" s="76"/>
      <c r="H134" s="76"/>
      <c r="I134" s="76"/>
      <c r="J134" s="76"/>
      <c r="K134" s="76"/>
      <c r="L134" s="76"/>
      <c r="M134" s="76"/>
      <c r="N134" s="76"/>
    </row>
    <row r="135" customFormat="false" ht="13.5" hidden="false" customHeight="true" outlineLevel="0" collapsed="false">
      <c r="A135" s="98" t="s">
        <v>2032</v>
      </c>
      <c r="B135" s="98"/>
      <c r="C135" s="98"/>
      <c r="D135" s="98"/>
      <c r="E135" s="98"/>
      <c r="F135" s="98"/>
      <c r="G135" s="98"/>
      <c r="H135" s="98"/>
      <c r="I135" s="98"/>
      <c r="J135" s="98"/>
      <c r="K135" s="98"/>
      <c r="L135" s="98"/>
      <c r="M135" s="98"/>
      <c r="N135" s="98"/>
    </row>
    <row r="136" customFormat="false" ht="45" hidden="false" customHeight="true" outlineLevel="0" collapsed="false">
      <c r="A136" s="34" t="s">
        <v>2033</v>
      </c>
      <c r="B136" s="34" t="s">
        <v>2034</v>
      </c>
      <c r="C136" s="99" t="s">
        <v>974</v>
      </c>
      <c r="D136" s="35"/>
      <c r="E136" s="35"/>
      <c r="F136" s="35"/>
      <c r="G136" s="35" t="s">
        <v>2035</v>
      </c>
      <c r="H136" s="35" t="s">
        <v>930</v>
      </c>
      <c r="I136" s="35" t="s">
        <v>2036</v>
      </c>
      <c r="J136" s="67" t="s">
        <v>932</v>
      </c>
      <c r="K136" s="35" t="s">
        <v>2037</v>
      </c>
      <c r="L136" s="35" t="s">
        <v>930</v>
      </c>
      <c r="M136" s="72"/>
      <c r="N136" s="35" t="s">
        <v>2038</v>
      </c>
    </row>
    <row r="137" customFormat="false" ht="45" hidden="false" customHeight="true" outlineLevel="0" collapsed="false">
      <c r="A137" s="32" t="s">
        <v>2039</v>
      </c>
      <c r="B137" s="32" t="s">
        <v>2040</v>
      </c>
      <c r="C137" s="100" t="s">
        <v>974</v>
      </c>
      <c r="D137" s="33"/>
      <c r="E137" s="33"/>
      <c r="F137" s="33"/>
      <c r="G137" s="33" t="s">
        <v>2035</v>
      </c>
      <c r="H137" s="33" t="s">
        <v>930</v>
      </c>
      <c r="I137" s="33" t="s">
        <v>2041</v>
      </c>
      <c r="J137" s="62" t="s">
        <v>2042</v>
      </c>
      <c r="K137" s="33" t="s">
        <v>2043</v>
      </c>
      <c r="L137" s="33" t="s">
        <v>930</v>
      </c>
      <c r="M137" s="71"/>
      <c r="N137" s="33"/>
    </row>
    <row r="138" customFormat="false" ht="45" hidden="false" customHeight="true" outlineLevel="0" collapsed="false">
      <c r="A138" s="34" t="s">
        <v>2044</v>
      </c>
      <c r="B138" s="34" t="s">
        <v>2045</v>
      </c>
      <c r="C138" s="99" t="s">
        <v>974</v>
      </c>
      <c r="D138" s="35"/>
      <c r="E138" s="35"/>
      <c r="F138" s="35"/>
      <c r="G138" s="35" t="s">
        <v>2035</v>
      </c>
      <c r="H138" s="35" t="s">
        <v>930</v>
      </c>
      <c r="I138" s="35" t="s">
        <v>2046</v>
      </c>
      <c r="J138" s="67" t="s">
        <v>2047</v>
      </c>
      <c r="K138" s="35" t="s">
        <v>2048</v>
      </c>
      <c r="L138" s="35" t="s">
        <v>2049</v>
      </c>
      <c r="M138" s="72"/>
      <c r="N138" s="35"/>
    </row>
    <row r="139" customFormat="false" ht="45" hidden="false" customHeight="true" outlineLevel="0" collapsed="false">
      <c r="A139" s="32" t="s">
        <v>2050</v>
      </c>
      <c r="B139" s="32" t="s">
        <v>2051</v>
      </c>
      <c r="C139" s="100" t="s">
        <v>974</v>
      </c>
      <c r="D139" s="33"/>
      <c r="E139" s="33"/>
      <c r="F139" s="33"/>
      <c r="G139" s="33" t="s">
        <v>2035</v>
      </c>
      <c r="H139" s="33" t="s">
        <v>930</v>
      </c>
      <c r="I139" s="33" t="s">
        <v>2052</v>
      </c>
      <c r="J139" s="62" t="s">
        <v>2053</v>
      </c>
      <c r="K139" s="33" t="s">
        <v>894</v>
      </c>
      <c r="L139" s="33" t="s">
        <v>2054</v>
      </c>
      <c r="M139" s="71"/>
      <c r="N139" s="33"/>
    </row>
    <row r="140" customFormat="false" ht="13.5" hidden="false" customHeight="true" outlineLevel="0" collapsed="false">
      <c r="A140" s="98" t="s">
        <v>2055</v>
      </c>
      <c r="B140" s="98"/>
      <c r="C140" s="98"/>
      <c r="D140" s="98"/>
      <c r="E140" s="98"/>
      <c r="F140" s="98"/>
      <c r="G140" s="98"/>
      <c r="H140" s="98"/>
      <c r="I140" s="98"/>
      <c r="J140" s="98"/>
      <c r="K140" s="98"/>
      <c r="L140" s="98"/>
      <c r="M140" s="98"/>
      <c r="N140" s="98"/>
    </row>
    <row r="141" customFormat="false" ht="45" hidden="false" customHeight="true" outlineLevel="0" collapsed="false">
      <c r="A141" s="34" t="s">
        <v>2056</v>
      </c>
      <c r="B141" s="34" t="s">
        <v>2057</v>
      </c>
      <c r="C141" s="99" t="s">
        <v>974</v>
      </c>
      <c r="D141" s="35"/>
      <c r="E141" s="35"/>
      <c r="F141" s="35"/>
      <c r="G141" s="35" t="s">
        <v>260</v>
      </c>
      <c r="H141" s="35" t="s">
        <v>938</v>
      </c>
      <c r="I141" s="35" t="s">
        <v>2058</v>
      </c>
      <c r="J141" s="67" t="s">
        <v>2059</v>
      </c>
      <c r="K141" s="35" t="s">
        <v>2060</v>
      </c>
      <c r="L141" s="35" t="s">
        <v>938</v>
      </c>
      <c r="M141" s="72"/>
      <c r="N141" s="35" t="s">
        <v>2061</v>
      </c>
    </row>
    <row r="142" customFormat="false" ht="45" hidden="false" customHeight="true" outlineLevel="0" collapsed="false">
      <c r="A142" s="32" t="s">
        <v>2062</v>
      </c>
      <c r="B142" s="32" t="s">
        <v>2063</v>
      </c>
      <c r="C142" s="100" t="s">
        <v>974</v>
      </c>
      <c r="D142" s="33"/>
      <c r="E142" s="33"/>
      <c r="F142" s="33"/>
      <c r="G142" s="33" t="s">
        <v>260</v>
      </c>
      <c r="H142" s="33" t="s">
        <v>938</v>
      </c>
      <c r="I142" s="33" t="s">
        <v>2064</v>
      </c>
      <c r="J142" s="62" t="s">
        <v>2065</v>
      </c>
      <c r="K142" s="33" t="s">
        <v>2066</v>
      </c>
      <c r="L142" s="33" t="s">
        <v>938</v>
      </c>
      <c r="M142" s="71"/>
      <c r="N142" s="33"/>
    </row>
    <row r="143" customFormat="false" ht="45" hidden="false" customHeight="true" outlineLevel="0" collapsed="false">
      <c r="A143" s="34" t="s">
        <v>2067</v>
      </c>
      <c r="B143" s="34" t="s">
        <v>2068</v>
      </c>
      <c r="C143" s="99" t="s">
        <v>1543</v>
      </c>
      <c r="D143" s="35"/>
      <c r="E143" s="35"/>
      <c r="F143" s="35"/>
      <c r="G143" s="35" t="s">
        <v>260</v>
      </c>
      <c r="H143" s="35" t="s">
        <v>938</v>
      </c>
      <c r="I143" s="35" t="s">
        <v>1145</v>
      </c>
      <c r="J143" s="67" t="s">
        <v>2069</v>
      </c>
      <c r="K143" s="35" t="s">
        <v>62</v>
      </c>
      <c r="L143" s="35" t="s">
        <v>938</v>
      </c>
      <c r="M143" s="72"/>
      <c r="N143" s="35" t="s">
        <v>2070</v>
      </c>
    </row>
    <row r="144" customFormat="false" ht="13.5" hidden="false" customHeight="true" outlineLevel="0" collapsed="false">
      <c r="A144" s="98" t="s">
        <v>2071</v>
      </c>
      <c r="B144" s="98"/>
      <c r="C144" s="98"/>
      <c r="D144" s="98"/>
      <c r="E144" s="98"/>
      <c r="F144" s="98"/>
      <c r="G144" s="98"/>
      <c r="H144" s="98"/>
      <c r="I144" s="98"/>
      <c r="J144" s="98"/>
      <c r="K144" s="98"/>
      <c r="L144" s="98"/>
      <c r="M144" s="98"/>
      <c r="N144" s="98"/>
    </row>
    <row r="145" customFormat="false" ht="45" hidden="false" customHeight="true" outlineLevel="0" collapsed="false">
      <c r="A145" s="34" t="s">
        <v>2072</v>
      </c>
      <c r="B145" s="34" t="s">
        <v>2073</v>
      </c>
      <c r="C145" s="99" t="s">
        <v>974</v>
      </c>
      <c r="D145" s="35"/>
      <c r="E145" s="35"/>
      <c r="F145" s="35"/>
      <c r="G145" s="35" t="s">
        <v>279</v>
      </c>
      <c r="H145" s="35" t="s">
        <v>999</v>
      </c>
      <c r="I145" s="35" t="s">
        <v>2074</v>
      </c>
      <c r="J145" s="67" t="s">
        <v>2075</v>
      </c>
      <c r="K145" s="35" t="s">
        <v>2076</v>
      </c>
      <c r="L145" s="35" t="s">
        <v>999</v>
      </c>
      <c r="M145" s="72"/>
      <c r="N145" s="35" t="s">
        <v>1000</v>
      </c>
    </row>
    <row r="146" customFormat="false" ht="45" hidden="false" customHeight="true" outlineLevel="0" collapsed="false">
      <c r="A146" s="32" t="s">
        <v>2077</v>
      </c>
      <c r="B146" s="32" t="s">
        <v>2078</v>
      </c>
      <c r="C146" s="100" t="s">
        <v>974</v>
      </c>
      <c r="D146" s="33"/>
      <c r="E146" s="33"/>
      <c r="F146" s="33"/>
      <c r="G146" s="33" t="s">
        <v>279</v>
      </c>
      <c r="H146" s="33" t="s">
        <v>999</v>
      </c>
      <c r="I146" s="33" t="s">
        <v>2079</v>
      </c>
      <c r="J146" s="62" t="s">
        <v>2080</v>
      </c>
      <c r="K146" s="33" t="s">
        <v>2081</v>
      </c>
      <c r="L146" s="33" t="s">
        <v>999</v>
      </c>
      <c r="M146" s="71"/>
      <c r="N146" s="33"/>
    </row>
    <row r="147" customFormat="false" ht="13.5" hidden="false" customHeight="true" outlineLevel="0" collapsed="false">
      <c r="A147" s="98" t="s">
        <v>2082</v>
      </c>
      <c r="B147" s="98"/>
      <c r="C147" s="98"/>
      <c r="D147" s="98"/>
      <c r="E147" s="98"/>
      <c r="F147" s="98"/>
      <c r="G147" s="98"/>
      <c r="H147" s="98"/>
      <c r="I147" s="98"/>
      <c r="J147" s="98"/>
      <c r="K147" s="98"/>
      <c r="L147" s="98"/>
      <c r="M147" s="98"/>
      <c r="N147" s="98"/>
    </row>
    <row r="148" customFormat="false" ht="45" hidden="false" customHeight="true" outlineLevel="0" collapsed="false">
      <c r="A148" s="34" t="s">
        <v>2083</v>
      </c>
      <c r="B148" s="34" t="s">
        <v>2084</v>
      </c>
      <c r="C148" s="99" t="s">
        <v>974</v>
      </c>
      <c r="D148" s="35"/>
      <c r="E148" s="35"/>
      <c r="F148" s="35"/>
      <c r="G148" s="35" t="s">
        <v>253</v>
      </c>
      <c r="H148" s="35" t="s">
        <v>993</v>
      </c>
      <c r="I148" s="35" t="s">
        <v>2085</v>
      </c>
      <c r="J148" s="67" t="s">
        <v>2086</v>
      </c>
      <c r="K148" s="35" t="s">
        <v>986</v>
      </c>
      <c r="L148" s="35" t="s">
        <v>993</v>
      </c>
      <c r="M148" s="72"/>
      <c r="N148" s="35" t="s">
        <v>2087</v>
      </c>
    </row>
    <row r="149" customFormat="false" ht="45" hidden="false" customHeight="true" outlineLevel="0" collapsed="false">
      <c r="A149" s="32" t="s">
        <v>2088</v>
      </c>
      <c r="B149" s="32" t="s">
        <v>2089</v>
      </c>
      <c r="C149" s="100" t="s">
        <v>974</v>
      </c>
      <c r="D149" s="33"/>
      <c r="E149" s="33"/>
      <c r="F149" s="33"/>
      <c r="G149" s="33" t="s">
        <v>253</v>
      </c>
      <c r="H149" s="33" t="s">
        <v>993</v>
      </c>
      <c r="I149" s="33" t="s">
        <v>2090</v>
      </c>
      <c r="J149" s="62" t="s">
        <v>2091</v>
      </c>
      <c r="K149" s="33" t="s">
        <v>2092</v>
      </c>
      <c r="L149" s="33" t="s">
        <v>2093</v>
      </c>
      <c r="M149" s="71"/>
      <c r="N149" s="33"/>
    </row>
    <row r="152" customFormat="false" ht="15.75" hidden="false" customHeight="true" outlineLevel="0" collapsed="false">
      <c r="A152" s="117" t="s">
        <v>2094</v>
      </c>
      <c r="B152" s="117"/>
      <c r="C152" s="117"/>
      <c r="D152" s="117"/>
      <c r="E152" s="117"/>
      <c r="F152" s="117"/>
      <c r="G152" s="117"/>
      <c r="H152" s="117"/>
      <c r="I152" s="117"/>
      <c r="J152" s="117"/>
      <c r="K152" s="117"/>
      <c r="L152" s="117"/>
      <c r="M152" s="117"/>
      <c r="N152" s="117"/>
    </row>
    <row r="153" customFormat="false" ht="13.5" hidden="false" customHeight="true" outlineLevel="0" collapsed="false">
      <c r="A153" s="118" t="s">
        <v>923</v>
      </c>
      <c r="B153" s="119" t="s">
        <v>234</v>
      </c>
      <c r="C153" s="119" t="s">
        <v>234</v>
      </c>
      <c r="D153" s="119" t="s">
        <v>2095</v>
      </c>
      <c r="E153" s="119"/>
      <c r="F153" s="119"/>
      <c r="G153" s="119"/>
      <c r="H153" s="119"/>
      <c r="I153" s="119"/>
      <c r="J153" s="119"/>
      <c r="K153" s="119"/>
      <c r="L153" s="119"/>
      <c r="M153" s="119"/>
      <c r="N153" s="119"/>
    </row>
    <row r="154" customFormat="false" ht="13.5" hidden="false" customHeight="true" outlineLevel="0" collapsed="false">
      <c r="A154" s="120" t="s">
        <v>916</v>
      </c>
      <c r="B154" s="121" t="s">
        <v>2096</v>
      </c>
      <c r="C154" s="121" t="s">
        <v>2097</v>
      </c>
      <c r="D154" s="121" t="s">
        <v>2095</v>
      </c>
      <c r="E154" s="121"/>
      <c r="F154" s="121"/>
      <c r="G154" s="121"/>
      <c r="H154" s="121"/>
      <c r="I154" s="121"/>
      <c r="J154" s="121"/>
      <c r="K154" s="121"/>
      <c r="L154" s="121"/>
      <c r="M154" s="121"/>
      <c r="N154" s="121"/>
    </row>
    <row r="155" customFormat="false" ht="13.5" hidden="false" customHeight="true" outlineLevel="0" collapsed="false">
      <c r="A155" s="118" t="s">
        <v>874</v>
      </c>
      <c r="B155" s="119" t="s">
        <v>2098</v>
      </c>
      <c r="C155" s="119" t="s">
        <v>37</v>
      </c>
      <c r="D155" s="119" t="s">
        <v>2099</v>
      </c>
      <c r="E155" s="119"/>
      <c r="F155" s="119"/>
      <c r="G155" s="119"/>
      <c r="H155" s="119"/>
      <c r="I155" s="119"/>
      <c r="J155" s="119"/>
      <c r="K155" s="119"/>
      <c r="L155" s="119"/>
      <c r="M155" s="119"/>
      <c r="N155" s="119"/>
    </row>
    <row r="156" customFormat="false" ht="13.5" hidden="false" customHeight="true" outlineLevel="0" collapsed="false">
      <c r="A156" s="120" t="s">
        <v>900</v>
      </c>
      <c r="B156" s="121" t="s">
        <v>2100</v>
      </c>
      <c r="C156" s="121" t="s">
        <v>64</v>
      </c>
      <c r="D156" s="121" t="s">
        <v>2099</v>
      </c>
      <c r="E156" s="121"/>
      <c r="F156" s="121"/>
      <c r="G156" s="121"/>
      <c r="H156" s="121"/>
      <c r="I156" s="121"/>
      <c r="J156" s="121"/>
      <c r="K156" s="121"/>
      <c r="L156" s="121"/>
      <c r="M156" s="121"/>
      <c r="N156" s="121"/>
    </row>
    <row r="157" customFormat="false" ht="13.5" hidden="false" customHeight="true" outlineLevel="0" collapsed="false">
      <c r="A157" s="118" t="s">
        <v>880</v>
      </c>
      <c r="B157" s="119" t="s">
        <v>2101</v>
      </c>
      <c r="C157" s="119" t="s">
        <v>47</v>
      </c>
      <c r="D157" s="119" t="s">
        <v>2099</v>
      </c>
      <c r="E157" s="119"/>
      <c r="F157" s="119"/>
      <c r="G157" s="119"/>
      <c r="H157" s="119"/>
      <c r="I157" s="119"/>
      <c r="J157" s="119"/>
      <c r="K157" s="119"/>
      <c r="L157" s="119"/>
      <c r="M157" s="119"/>
      <c r="N157" s="119"/>
    </row>
    <row r="158" customFormat="false" ht="13.5" hidden="false" customHeight="true" outlineLevel="0" collapsed="false">
      <c r="A158" s="120" t="s">
        <v>895</v>
      </c>
      <c r="B158" s="121" t="s">
        <v>2102</v>
      </c>
      <c r="C158" s="121" t="s">
        <v>70</v>
      </c>
      <c r="D158" s="121" t="s">
        <v>2099</v>
      </c>
      <c r="E158" s="121"/>
      <c r="F158" s="121"/>
      <c r="G158" s="121"/>
      <c r="H158" s="121"/>
      <c r="I158" s="121"/>
      <c r="J158" s="121"/>
      <c r="K158" s="121"/>
      <c r="L158" s="121"/>
      <c r="M158" s="121"/>
      <c r="N158" s="121"/>
    </row>
    <row r="159" customFormat="false" ht="13.5" hidden="false" customHeight="true" outlineLevel="0" collapsed="false">
      <c r="A159" s="118" t="s">
        <v>885</v>
      </c>
      <c r="B159" s="119" t="s">
        <v>2103</v>
      </c>
      <c r="C159" s="119" t="s">
        <v>51</v>
      </c>
      <c r="D159" s="119" t="s">
        <v>2104</v>
      </c>
      <c r="E159" s="119"/>
      <c r="F159" s="119"/>
      <c r="G159" s="119"/>
      <c r="H159" s="119"/>
      <c r="I159" s="119"/>
      <c r="J159" s="119"/>
      <c r="K159" s="119"/>
      <c r="L159" s="119"/>
      <c r="M159" s="119"/>
      <c r="N159" s="119"/>
    </row>
    <row r="160" customFormat="false" ht="13.5" hidden="false" customHeight="true" outlineLevel="0" collapsed="false">
      <c r="A160" s="120" t="s">
        <v>889</v>
      </c>
      <c r="B160" s="121" t="s">
        <v>2105</v>
      </c>
      <c r="C160" s="121" t="s">
        <v>55</v>
      </c>
      <c r="D160" s="121" t="s">
        <v>2104</v>
      </c>
      <c r="E160" s="121"/>
      <c r="F160" s="121"/>
      <c r="G160" s="121"/>
      <c r="H160" s="121"/>
      <c r="I160" s="121"/>
      <c r="J160" s="121"/>
      <c r="K160" s="121"/>
      <c r="L160" s="121"/>
      <c r="M160" s="121"/>
      <c r="N160" s="121"/>
    </row>
    <row r="161" customFormat="false" ht="13.5" hidden="false" customHeight="true" outlineLevel="0" collapsed="false">
      <c r="A161" s="118" t="s">
        <v>905</v>
      </c>
      <c r="B161" s="119" t="s">
        <v>220</v>
      </c>
      <c r="C161" s="119" t="s">
        <v>220</v>
      </c>
      <c r="D161" s="119" t="s">
        <v>2104</v>
      </c>
      <c r="E161" s="119"/>
      <c r="F161" s="119"/>
      <c r="G161" s="119"/>
      <c r="H161" s="119"/>
      <c r="I161" s="119"/>
      <c r="J161" s="119"/>
      <c r="K161" s="119"/>
      <c r="L161" s="119"/>
      <c r="M161" s="119"/>
      <c r="N161" s="119"/>
    </row>
    <row r="162" customFormat="false" ht="13.5" hidden="false" customHeight="true" outlineLevel="0" collapsed="false">
      <c r="A162" s="120" t="s">
        <v>710</v>
      </c>
      <c r="B162" s="121" t="s">
        <v>2106</v>
      </c>
      <c r="C162" s="121" t="s">
        <v>116</v>
      </c>
      <c r="D162" s="121" t="s">
        <v>2104</v>
      </c>
      <c r="E162" s="121"/>
      <c r="F162" s="121"/>
      <c r="G162" s="121"/>
      <c r="H162" s="121"/>
      <c r="I162" s="121"/>
      <c r="J162" s="121"/>
      <c r="K162" s="121"/>
      <c r="L162" s="121"/>
      <c r="M162" s="121"/>
      <c r="N162" s="121"/>
    </row>
    <row r="163" customFormat="false" ht="13.5" hidden="false" customHeight="true" outlineLevel="0" collapsed="false">
      <c r="A163" s="118" t="s">
        <v>718</v>
      </c>
      <c r="B163" s="119" t="s">
        <v>2107</v>
      </c>
      <c r="C163" s="119" t="s">
        <v>116</v>
      </c>
      <c r="D163" s="119" t="s">
        <v>2104</v>
      </c>
      <c r="E163" s="119"/>
      <c r="F163" s="119"/>
      <c r="G163" s="119"/>
      <c r="H163" s="119"/>
      <c r="I163" s="119"/>
      <c r="J163" s="119"/>
      <c r="K163" s="119"/>
      <c r="L163" s="119"/>
      <c r="M163" s="119"/>
      <c r="N163" s="119"/>
    </row>
    <row r="164" customFormat="false" ht="13.5" hidden="false" customHeight="true" outlineLevel="0" collapsed="false">
      <c r="A164" s="120" t="s">
        <v>725</v>
      </c>
      <c r="B164" s="121" t="s">
        <v>2108</v>
      </c>
      <c r="C164" s="121" t="s">
        <v>111</v>
      </c>
      <c r="D164" s="121" t="s">
        <v>2104</v>
      </c>
      <c r="E164" s="121"/>
      <c r="F164" s="121"/>
      <c r="G164" s="121"/>
      <c r="H164" s="121"/>
      <c r="I164" s="121"/>
      <c r="J164" s="121"/>
      <c r="K164" s="121"/>
      <c r="L164" s="121"/>
      <c r="M164" s="121"/>
      <c r="N164" s="121"/>
    </row>
    <row r="165" customFormat="false" ht="13.5" hidden="false" customHeight="true" outlineLevel="0" collapsed="false">
      <c r="A165" s="118" t="s">
        <v>731</v>
      </c>
      <c r="B165" s="119" t="s">
        <v>2109</v>
      </c>
      <c r="C165" s="119" t="s">
        <v>116</v>
      </c>
      <c r="D165" s="119" t="s">
        <v>2104</v>
      </c>
      <c r="E165" s="119"/>
      <c r="F165" s="119"/>
      <c r="G165" s="119"/>
      <c r="H165" s="119"/>
      <c r="I165" s="119"/>
      <c r="J165" s="119"/>
      <c r="K165" s="119"/>
      <c r="L165" s="119"/>
      <c r="M165" s="119"/>
      <c r="N165" s="119"/>
    </row>
    <row r="166" customFormat="false" ht="13.5" hidden="false" customHeight="true" outlineLevel="0" collapsed="false">
      <c r="A166" s="120" t="s">
        <v>736</v>
      </c>
      <c r="B166" s="121" t="s">
        <v>2110</v>
      </c>
      <c r="C166" s="121" t="s">
        <v>116</v>
      </c>
      <c r="D166" s="121" t="s">
        <v>2104</v>
      </c>
      <c r="E166" s="121"/>
      <c r="F166" s="121"/>
      <c r="G166" s="121"/>
      <c r="H166" s="121"/>
      <c r="I166" s="121"/>
      <c r="J166" s="121"/>
      <c r="K166" s="121"/>
      <c r="L166" s="121"/>
      <c r="M166" s="121"/>
      <c r="N166" s="121"/>
    </row>
    <row r="167" customFormat="false" ht="13.5" hidden="false" customHeight="true" outlineLevel="0" collapsed="false">
      <c r="A167" s="118" t="s">
        <v>750</v>
      </c>
      <c r="B167" s="119" t="s">
        <v>2111</v>
      </c>
      <c r="C167" s="119" t="s">
        <v>161</v>
      </c>
      <c r="D167" s="119" t="s">
        <v>2112</v>
      </c>
      <c r="E167" s="119"/>
      <c r="F167" s="119"/>
      <c r="G167" s="119"/>
      <c r="H167" s="119"/>
      <c r="I167" s="119"/>
      <c r="J167" s="119"/>
      <c r="K167" s="119"/>
      <c r="L167" s="119"/>
      <c r="M167" s="119"/>
      <c r="N167" s="119"/>
    </row>
    <row r="168" customFormat="false" ht="13.5" hidden="false" customHeight="true" outlineLevel="0" collapsed="false">
      <c r="A168" s="120" t="s">
        <v>745</v>
      </c>
      <c r="B168" s="121" t="s">
        <v>2113</v>
      </c>
      <c r="C168" s="121" t="s">
        <v>174</v>
      </c>
      <c r="D168" s="121" t="s">
        <v>2112</v>
      </c>
      <c r="E168" s="121"/>
      <c r="F168" s="121"/>
      <c r="G168" s="121"/>
      <c r="H168" s="121"/>
      <c r="I168" s="121"/>
      <c r="J168" s="121"/>
      <c r="K168" s="121"/>
      <c r="L168" s="121"/>
      <c r="M168" s="121"/>
      <c r="N168" s="121"/>
    </row>
    <row r="169" customFormat="false" ht="13.5" hidden="false" customHeight="true" outlineLevel="0" collapsed="false">
      <c r="A169" s="118" t="s">
        <v>757</v>
      </c>
      <c r="B169" s="119" t="s">
        <v>2114</v>
      </c>
      <c r="C169" s="119" t="s">
        <v>104</v>
      </c>
      <c r="D169" s="119" t="s">
        <v>2104</v>
      </c>
      <c r="E169" s="119"/>
      <c r="F169" s="119"/>
      <c r="G169" s="119"/>
      <c r="H169" s="119"/>
      <c r="I169" s="119"/>
      <c r="J169" s="119"/>
      <c r="K169" s="119"/>
      <c r="L169" s="119"/>
      <c r="M169" s="119"/>
      <c r="N169" s="119"/>
    </row>
    <row r="170" customFormat="false" ht="13.5" hidden="false" customHeight="true" outlineLevel="0" collapsed="false">
      <c r="A170" s="120" t="s">
        <v>764</v>
      </c>
      <c r="B170" s="121" t="s">
        <v>2115</v>
      </c>
      <c r="C170" s="121" t="s">
        <v>132</v>
      </c>
      <c r="D170" s="121" t="s">
        <v>2104</v>
      </c>
      <c r="E170" s="121"/>
      <c r="F170" s="121"/>
      <c r="G170" s="121"/>
      <c r="H170" s="121"/>
      <c r="I170" s="121"/>
      <c r="J170" s="121"/>
      <c r="K170" s="121"/>
      <c r="L170" s="121"/>
      <c r="M170" s="121"/>
      <c r="N170" s="121"/>
    </row>
    <row r="171" customFormat="false" ht="13.5" hidden="false" customHeight="true" outlineLevel="0" collapsed="false">
      <c r="A171" s="118" t="s">
        <v>770</v>
      </c>
      <c r="B171" s="119" t="s">
        <v>2116</v>
      </c>
      <c r="C171" s="119" t="s">
        <v>287</v>
      </c>
      <c r="D171" s="119" t="s">
        <v>2104</v>
      </c>
      <c r="E171" s="119"/>
      <c r="F171" s="119"/>
      <c r="G171" s="119"/>
      <c r="H171" s="119"/>
      <c r="I171" s="119"/>
      <c r="J171" s="119"/>
      <c r="K171" s="119"/>
      <c r="L171" s="119"/>
      <c r="M171" s="119"/>
      <c r="N171" s="119"/>
    </row>
    <row r="172" customFormat="false" ht="13.5" hidden="false" customHeight="true" outlineLevel="0" collapsed="false">
      <c r="A172" s="120" t="s">
        <v>779</v>
      </c>
      <c r="B172" s="121" t="s">
        <v>2117</v>
      </c>
      <c r="C172" s="121" t="s">
        <v>145</v>
      </c>
      <c r="D172" s="121" t="s">
        <v>2104</v>
      </c>
      <c r="E172" s="121"/>
      <c r="F172" s="121"/>
      <c r="G172" s="121"/>
      <c r="H172" s="121"/>
      <c r="I172" s="121"/>
      <c r="J172" s="121"/>
      <c r="K172" s="121"/>
      <c r="L172" s="121"/>
      <c r="M172" s="121"/>
      <c r="N172" s="121"/>
    </row>
    <row r="173" customFormat="false" ht="13.5" hidden="false" customHeight="true" outlineLevel="0" collapsed="false">
      <c r="A173" s="118" t="s">
        <v>783</v>
      </c>
      <c r="B173" s="119" t="s">
        <v>2118</v>
      </c>
      <c r="C173" s="119" t="s">
        <v>145</v>
      </c>
      <c r="D173" s="119" t="s">
        <v>2104</v>
      </c>
      <c r="E173" s="119"/>
      <c r="F173" s="119"/>
      <c r="G173" s="119"/>
      <c r="H173" s="119"/>
      <c r="I173" s="119"/>
      <c r="J173" s="119"/>
      <c r="K173" s="119"/>
      <c r="L173" s="119"/>
      <c r="M173" s="119"/>
      <c r="N173" s="119"/>
    </row>
    <row r="174" customFormat="false" ht="13.5" hidden="false" customHeight="true" outlineLevel="0" collapsed="false">
      <c r="A174" s="120" t="s">
        <v>789</v>
      </c>
      <c r="B174" s="121" t="s">
        <v>2119</v>
      </c>
      <c r="C174" s="121" t="s">
        <v>121</v>
      </c>
      <c r="D174" s="121" t="s">
        <v>2112</v>
      </c>
      <c r="E174" s="121"/>
      <c r="F174" s="121"/>
      <c r="G174" s="121"/>
      <c r="H174" s="121"/>
      <c r="I174" s="121"/>
      <c r="J174" s="121"/>
      <c r="K174" s="121"/>
      <c r="L174" s="121"/>
      <c r="M174" s="121"/>
      <c r="N174" s="121"/>
    </row>
    <row r="175" customFormat="false" ht="13.5" hidden="false" customHeight="true" outlineLevel="0" collapsed="false">
      <c r="A175" s="118" t="s">
        <v>795</v>
      </c>
      <c r="B175" s="119" t="s">
        <v>2120</v>
      </c>
      <c r="C175" s="119" t="s">
        <v>202</v>
      </c>
      <c r="D175" s="119" t="s">
        <v>2104</v>
      </c>
      <c r="E175" s="119"/>
      <c r="F175" s="119"/>
      <c r="G175" s="119"/>
      <c r="H175" s="119"/>
      <c r="I175" s="119"/>
      <c r="J175" s="119"/>
      <c r="K175" s="119"/>
      <c r="L175" s="119"/>
      <c r="M175" s="119"/>
      <c r="N175" s="119"/>
    </row>
    <row r="176" customFormat="false" ht="13.5" hidden="false" customHeight="true" outlineLevel="0" collapsed="false">
      <c r="A176" s="120" t="s">
        <v>814</v>
      </c>
      <c r="B176" s="121" t="s">
        <v>2121</v>
      </c>
      <c r="C176" s="121" t="s">
        <v>138</v>
      </c>
      <c r="D176" s="121" t="s">
        <v>2104</v>
      </c>
      <c r="E176" s="121"/>
      <c r="F176" s="121"/>
      <c r="G176" s="121"/>
      <c r="H176" s="121"/>
      <c r="I176" s="121"/>
      <c r="J176" s="121"/>
      <c r="K176" s="121"/>
      <c r="L176" s="121"/>
      <c r="M176" s="121"/>
      <c r="N176" s="121"/>
    </row>
    <row r="177" customFormat="false" ht="13.5" hidden="false" customHeight="true" outlineLevel="0" collapsed="false">
      <c r="A177" s="118" t="s">
        <v>819</v>
      </c>
      <c r="B177" s="119" t="s">
        <v>2122</v>
      </c>
      <c r="C177" s="119" t="s">
        <v>138</v>
      </c>
      <c r="D177" s="119" t="s">
        <v>2104</v>
      </c>
      <c r="E177" s="119"/>
      <c r="F177" s="119"/>
      <c r="G177" s="119"/>
      <c r="H177" s="119"/>
      <c r="I177" s="119"/>
      <c r="J177" s="119"/>
      <c r="K177" s="119"/>
      <c r="L177" s="119"/>
      <c r="M177" s="119"/>
      <c r="N177" s="119"/>
    </row>
    <row r="178" customFormat="false" ht="13.5" hidden="false" customHeight="true" outlineLevel="0" collapsed="false">
      <c r="A178" s="120" t="s">
        <v>831</v>
      </c>
      <c r="B178" s="121" t="s">
        <v>2123</v>
      </c>
      <c r="C178" s="121" t="s">
        <v>138</v>
      </c>
      <c r="D178" s="121" t="s">
        <v>2104</v>
      </c>
      <c r="E178" s="121"/>
      <c r="F178" s="121"/>
      <c r="G178" s="121"/>
      <c r="H178" s="121"/>
      <c r="I178" s="121"/>
      <c r="J178" s="121"/>
      <c r="K178" s="121"/>
      <c r="L178" s="121"/>
      <c r="M178" s="121"/>
      <c r="N178" s="121"/>
    </row>
    <row r="179" customFormat="false" ht="13.5" hidden="false" customHeight="true" outlineLevel="0" collapsed="false">
      <c r="A179" s="118" t="s">
        <v>1011</v>
      </c>
      <c r="B179" s="119" t="s">
        <v>2124</v>
      </c>
      <c r="C179" s="119" t="s">
        <v>83</v>
      </c>
      <c r="D179" s="119" t="s">
        <v>2104</v>
      </c>
      <c r="E179" s="119"/>
      <c r="F179" s="119"/>
      <c r="G179" s="119"/>
      <c r="H179" s="119"/>
      <c r="I179" s="119"/>
      <c r="J179" s="119"/>
      <c r="K179" s="119"/>
      <c r="L179" s="119"/>
      <c r="M179" s="119"/>
      <c r="N179" s="119"/>
    </row>
    <row r="180" customFormat="false" ht="13.5" hidden="false" customHeight="true" outlineLevel="0" collapsed="false">
      <c r="A180" s="120" t="s">
        <v>858</v>
      </c>
      <c r="B180" s="121" t="s">
        <v>2125</v>
      </c>
      <c r="C180" s="121" t="s">
        <v>90</v>
      </c>
      <c r="D180" s="121" t="s">
        <v>2112</v>
      </c>
      <c r="E180" s="121"/>
      <c r="F180" s="121"/>
      <c r="G180" s="121"/>
      <c r="H180" s="121"/>
      <c r="I180" s="121"/>
      <c r="J180" s="121"/>
      <c r="K180" s="121"/>
      <c r="L180" s="121"/>
      <c r="M180" s="121"/>
      <c r="N180" s="121"/>
    </row>
    <row r="181" customFormat="false" ht="13.5" hidden="false" customHeight="true" outlineLevel="0" collapsed="false">
      <c r="A181" s="118" t="s">
        <v>975</v>
      </c>
      <c r="B181" s="119" t="s">
        <v>187</v>
      </c>
      <c r="C181" s="119" t="s">
        <v>187</v>
      </c>
      <c r="D181" s="119" t="s">
        <v>2104</v>
      </c>
      <c r="E181" s="119"/>
      <c r="F181" s="119"/>
      <c r="G181" s="119"/>
      <c r="H181" s="119"/>
      <c r="I181" s="119"/>
      <c r="J181" s="119"/>
      <c r="K181" s="119"/>
      <c r="L181" s="119"/>
      <c r="M181" s="119"/>
      <c r="N181" s="119"/>
    </row>
    <row r="182" customFormat="false" ht="13.5" hidden="false" customHeight="true" outlineLevel="0" collapsed="false">
      <c r="A182" s="120" t="s">
        <v>864</v>
      </c>
      <c r="B182" s="121" t="s">
        <v>2126</v>
      </c>
      <c r="C182" s="121" t="s">
        <v>99</v>
      </c>
      <c r="D182" s="121" t="s">
        <v>2104</v>
      </c>
      <c r="E182" s="121"/>
      <c r="F182" s="121"/>
      <c r="G182" s="121"/>
      <c r="H182" s="121"/>
      <c r="I182" s="121"/>
      <c r="J182" s="121"/>
      <c r="K182" s="121"/>
      <c r="L182" s="121"/>
      <c r="M182" s="121"/>
      <c r="N182" s="121"/>
    </row>
    <row r="183" customFormat="false" ht="13.5" hidden="false" customHeight="true" outlineLevel="0" collapsed="false">
      <c r="A183" s="118" t="s">
        <v>988</v>
      </c>
      <c r="B183" s="119" t="s">
        <v>2127</v>
      </c>
      <c r="C183" s="119" t="s">
        <v>253</v>
      </c>
      <c r="D183" s="119" t="s">
        <v>2104</v>
      </c>
      <c r="E183" s="119"/>
      <c r="F183" s="119"/>
      <c r="G183" s="119"/>
      <c r="H183" s="119"/>
      <c r="I183" s="119"/>
      <c r="J183" s="119"/>
      <c r="K183" s="119"/>
      <c r="L183" s="119"/>
      <c r="M183" s="119"/>
      <c r="N183" s="119"/>
    </row>
    <row r="184" customFormat="false" ht="13.5" hidden="false" customHeight="true" outlineLevel="0" collapsed="false">
      <c r="A184" s="120" t="s">
        <v>930</v>
      </c>
      <c r="B184" s="121" t="s">
        <v>2035</v>
      </c>
      <c r="C184" s="121" t="s">
        <v>2035</v>
      </c>
      <c r="D184" s="121" t="s">
        <v>2104</v>
      </c>
      <c r="E184" s="121"/>
      <c r="F184" s="121"/>
      <c r="G184" s="121"/>
      <c r="H184" s="121"/>
      <c r="I184" s="121"/>
      <c r="J184" s="121"/>
      <c r="K184" s="121"/>
      <c r="L184" s="121"/>
      <c r="M184" s="121"/>
      <c r="N184" s="121"/>
    </row>
    <row r="185" customFormat="false" ht="13.5" hidden="false" customHeight="true" outlineLevel="0" collapsed="false">
      <c r="A185" s="118" t="s">
        <v>938</v>
      </c>
      <c r="B185" s="119" t="s">
        <v>2128</v>
      </c>
      <c r="C185" s="119" t="s">
        <v>260</v>
      </c>
      <c r="D185" s="119" t="s">
        <v>2104</v>
      </c>
      <c r="E185" s="119"/>
      <c r="F185" s="119"/>
      <c r="G185" s="119"/>
      <c r="H185" s="119"/>
      <c r="I185" s="119"/>
      <c r="J185" s="119"/>
      <c r="K185" s="119"/>
      <c r="L185" s="119"/>
      <c r="M185" s="119"/>
      <c r="N185" s="119"/>
    </row>
    <row r="186" customFormat="false" ht="13.5" hidden="false" customHeight="true" outlineLevel="0" collapsed="false">
      <c r="A186" s="120" t="s">
        <v>999</v>
      </c>
      <c r="B186" s="121" t="s">
        <v>279</v>
      </c>
      <c r="C186" s="121" t="s">
        <v>279</v>
      </c>
      <c r="D186" s="121" t="s">
        <v>2104</v>
      </c>
      <c r="E186" s="121"/>
      <c r="F186" s="121"/>
      <c r="G186" s="121"/>
      <c r="H186" s="121"/>
      <c r="I186" s="121"/>
      <c r="J186" s="121"/>
      <c r="K186" s="121"/>
      <c r="L186" s="121"/>
      <c r="M186" s="121"/>
      <c r="N186" s="121"/>
    </row>
    <row r="187" customFormat="false" ht="13.5" hidden="false" customHeight="true" outlineLevel="0" collapsed="false">
      <c r="A187" s="118" t="s">
        <v>993</v>
      </c>
      <c r="B187" s="119" t="s">
        <v>2129</v>
      </c>
      <c r="C187" s="119" t="s">
        <v>253</v>
      </c>
      <c r="D187" s="119" t="s">
        <v>2104</v>
      </c>
      <c r="E187" s="119"/>
      <c r="F187" s="119"/>
      <c r="G187" s="119"/>
      <c r="H187" s="119"/>
      <c r="I187" s="119"/>
      <c r="J187" s="119"/>
      <c r="K187" s="119"/>
      <c r="L187" s="119"/>
      <c r="M187" s="119"/>
      <c r="N187" s="119"/>
    </row>
  </sheetData>
  <mergeCells count="44">
    <mergeCell ref="A1:N1"/>
    <mergeCell ref="A2:N2"/>
    <mergeCell ref="A4:N4"/>
    <mergeCell ref="A5:N5"/>
    <mergeCell ref="A15:N15"/>
    <mergeCell ref="A16:N16"/>
    <mergeCell ref="A24:N24"/>
    <mergeCell ref="A25:N25"/>
    <mergeCell ref="A33:N33"/>
    <mergeCell ref="A39:N39"/>
    <mergeCell ref="A44:N44"/>
    <mergeCell ref="A49:N49"/>
    <mergeCell ref="A52:N52"/>
    <mergeCell ref="A56:N56"/>
    <mergeCell ref="A60:N60"/>
    <mergeCell ref="A61:N61"/>
    <mergeCell ref="A62:N62"/>
    <mergeCell ref="A67:N67"/>
    <mergeCell ref="A71:N71"/>
    <mergeCell ref="A74:N74"/>
    <mergeCell ref="A80:N80"/>
    <mergeCell ref="A81:N81"/>
    <mergeCell ref="A82:N82"/>
    <mergeCell ref="A88:N88"/>
    <mergeCell ref="A95:N95"/>
    <mergeCell ref="A96:N96"/>
    <mergeCell ref="A97:N97"/>
    <mergeCell ref="A100:N100"/>
    <mergeCell ref="A103:N103"/>
    <mergeCell ref="A109:N109"/>
    <mergeCell ref="A110:N110"/>
    <mergeCell ref="A111:N111"/>
    <mergeCell ref="A115:N115"/>
    <mergeCell ref="A118:N118"/>
    <mergeCell ref="A124:N124"/>
    <mergeCell ref="A125:N125"/>
    <mergeCell ref="A126:N126"/>
    <mergeCell ref="A133:N133"/>
    <mergeCell ref="A134:N134"/>
    <mergeCell ref="A135:N135"/>
    <mergeCell ref="A140:N140"/>
    <mergeCell ref="A144:N144"/>
    <mergeCell ref="A147:N147"/>
    <mergeCell ref="A152:N1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2026-02-28T19:31:06Z</dcterms:created>
  <dc:creator>Author</dc:creator>
  <dc:description/>
  <cp:keywords>STINGTemp ISO 19650 Revit BIM Tag 7 BOQ</cp:keywords>
  <dc:language>en-US</dc:language>
  <cp:lastModifiedBy/>
  <dcterms:modified xsi:type="dcterms:W3CDTF">2026-02-28T21:34:58Z</dcterms:modified>
  <cp:revision>0</cp:revision>
  <dc:subject>Tag guide combining paragraph engine, warning thresholds, BOQ automation, all-category coverage</dc:subject>
  <dc:title>Revit tag automation guide v4.2</dc:title>
</cp:coreProperties>
</file>

<file path=docProps/custom.xml><?xml version="1.0" encoding="utf-8"?>
<Properties xmlns="http://schemas.openxmlformats.org/officeDocument/2006/custom-properties" xmlns:vt="http://schemas.openxmlformats.org/officeDocument/2006/docPropsVTypes"/>
</file>