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35" firstSheet="6" activeTab="7"/>
  </bookViews>
  <sheets>
    <sheet name="COVER PAGE" sheetId="19" r:id="rId1"/>
    <sheet name="MAIN SUMMARY" sheetId="20" r:id="rId2"/>
    <sheet name="FR-Pre" sheetId="9" r:id="rId3"/>
    <sheet name="PRELIMINARIES" sheetId="3" r:id="rId4"/>
    <sheet name="FR- Tools" sheetId="8" r:id="rId5"/>
    <sheet name="TOOLS &amp; EQUIPMENT" sheetId="5" r:id="rId6"/>
    <sheet name="FR-COMMERCIAL BLOCK" sheetId="10" r:id="rId7"/>
    <sheet name="COMMERCIAL BLOCK" sheetId="22" r:id="rId8"/>
    <sheet name="FR-RESIDENTIAL BLOCK" sheetId="6" r:id="rId9"/>
    <sheet name="RESIDENTIAL BLOCK" sheetId="21" r:id="rId10"/>
  </sheets>
  <definedNames>
    <definedName name="_xlnm.Print_Area" localSheetId="7">'COMMERCIAL BLOCK'!$A$1:$H$127</definedName>
    <definedName name="_xlnm.Print_Area" localSheetId="1">'MAIN SUMMARY'!$A$1:$F$44</definedName>
    <definedName name="_xlnm.Print_Area" localSheetId="9">'RESIDENTIAL BLOCK'!$B$1:$H$126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1" i="21" l="1"/>
  <c r="H120" i="21"/>
  <c r="H119" i="21"/>
  <c r="H118" i="21"/>
  <c r="H117" i="21"/>
  <c r="H116" i="21"/>
  <c r="H115" i="21"/>
  <c r="H114" i="21"/>
  <c r="H113" i="21"/>
  <c r="H106" i="21"/>
  <c r="H105" i="21"/>
  <c r="H104" i="21"/>
  <c r="H103" i="21"/>
  <c r="H102" i="21"/>
  <c r="H101" i="21"/>
  <c r="H100" i="21"/>
  <c r="H99" i="21"/>
  <c r="H98" i="21"/>
  <c r="H97" i="21"/>
  <c r="H96" i="21"/>
  <c r="H100" i="22"/>
  <c r="H126" i="21" l="1"/>
  <c r="H122" i="22"/>
  <c r="H121" i="22"/>
  <c r="H120" i="22"/>
  <c r="H119" i="22"/>
  <c r="H118" i="22"/>
  <c r="H117" i="22"/>
  <c r="H116" i="22"/>
  <c r="H115" i="22"/>
  <c r="H114" i="22"/>
  <c r="H107" i="22"/>
  <c r="H106" i="22"/>
  <c r="H105" i="22"/>
  <c r="H104" i="22"/>
  <c r="H103" i="22"/>
  <c r="H102" i="22"/>
  <c r="H101" i="22"/>
  <c r="H99" i="22"/>
  <c r="H98" i="22"/>
  <c r="H97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95" i="22" l="1"/>
  <c r="J102" i="22"/>
  <c r="H111" i="22" s="1"/>
  <c r="H21" i="22" s="1"/>
  <c r="J47" i="22"/>
  <c r="H54" i="22" s="1"/>
  <c r="H9" i="22" s="1"/>
  <c r="J90" i="22"/>
  <c r="J70" i="22"/>
  <c r="H75" i="22" s="1"/>
  <c r="H13" i="22" s="1"/>
  <c r="J124" i="22"/>
  <c r="H127" i="22" s="1"/>
  <c r="H25" i="22" s="1"/>
  <c r="J123" i="21"/>
  <c r="H25" i="21" s="1"/>
  <c r="J71" i="21"/>
  <c r="H76" i="21" s="1"/>
  <c r="H13" i="21" s="1"/>
  <c r="J101" i="21"/>
  <c r="J90" i="21"/>
  <c r="H94" i="21" s="1"/>
  <c r="H17" i="21" s="1"/>
  <c r="J49" i="21"/>
  <c r="H54" i="21" s="1"/>
  <c r="H9" i="21" s="1"/>
  <c r="H110" i="21" l="1"/>
  <c r="H21" i="21" s="1"/>
  <c r="H30" i="21" s="1"/>
  <c r="F20" i="20" s="1"/>
  <c r="H17" i="22"/>
  <c r="H28" i="22" s="1"/>
  <c r="F16" i="20" s="1"/>
  <c r="F31" i="5"/>
  <c r="F32" i="5"/>
  <c r="F30" i="5"/>
  <c r="F29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A14" i="3"/>
  <c r="F36" i="3"/>
  <c r="F8" i="20" l="1"/>
  <c r="F33" i="5"/>
  <c r="F9" i="5" s="1"/>
  <c r="F27" i="5"/>
  <c r="F7" i="5" s="1"/>
  <c r="F11" i="5" l="1"/>
  <c r="F12" i="20" s="1"/>
  <c r="F30" i="20" s="1"/>
  <c r="F37" i="20" l="1"/>
  <c r="F44" i="20" s="1"/>
</calcChain>
</file>

<file path=xl/sharedStrings.xml><?xml version="1.0" encoding="utf-8"?>
<sst xmlns="http://schemas.openxmlformats.org/spreadsheetml/2006/main" count="454" uniqueCount="134">
  <si>
    <t>Item</t>
  </si>
  <si>
    <t>Description</t>
  </si>
  <si>
    <t>Unit</t>
  </si>
  <si>
    <t>Quantity</t>
  </si>
  <si>
    <t xml:space="preserve">Rate  </t>
  </si>
  <si>
    <t xml:space="preserve">Amount </t>
  </si>
  <si>
    <t>A</t>
  </si>
  <si>
    <t>Wheel Barrows</t>
  </si>
  <si>
    <t>No</t>
  </si>
  <si>
    <t xml:space="preserve">Spades </t>
  </si>
  <si>
    <t>Hoes</t>
  </si>
  <si>
    <t xml:space="preserve">Hack Saw frame </t>
  </si>
  <si>
    <t>Hack Saw fr Blades</t>
  </si>
  <si>
    <t>Bdle</t>
  </si>
  <si>
    <t xml:space="preserve">Bow Saw frame </t>
  </si>
  <si>
    <t>Bow Saw  Blades</t>
  </si>
  <si>
    <t>Pangas</t>
  </si>
  <si>
    <t>Pick axes</t>
  </si>
  <si>
    <t>Sledge Hammer</t>
  </si>
  <si>
    <t>Strings and Ropes</t>
  </si>
  <si>
    <t>Rolls</t>
  </si>
  <si>
    <t>Water tank (200 ltr)</t>
  </si>
  <si>
    <t>Jerrycans</t>
  </si>
  <si>
    <t xml:space="preserve">Sub-Total carried to summary </t>
  </si>
  <si>
    <t>B</t>
  </si>
  <si>
    <t xml:space="preserve">Eucalyptus poles </t>
  </si>
  <si>
    <t>No.</t>
  </si>
  <si>
    <t>Assorted Nails</t>
  </si>
  <si>
    <t>Kg</t>
  </si>
  <si>
    <t>Steel bars T16 mm</t>
  </si>
  <si>
    <t>Binding wire</t>
  </si>
  <si>
    <t>Btles</t>
  </si>
  <si>
    <t>Sand</t>
  </si>
  <si>
    <t>Trips (Sino Truck)</t>
  </si>
  <si>
    <t>Cement</t>
  </si>
  <si>
    <t>Bags</t>
  </si>
  <si>
    <t>Aggregates (Machine Crashed)</t>
  </si>
  <si>
    <t xml:space="preserve">Hardcore </t>
  </si>
  <si>
    <t>Trips(Fwd)</t>
  </si>
  <si>
    <t>A142 BRC</t>
  </si>
  <si>
    <t>12"x1" Sawn Timber (Kirudu)</t>
  </si>
  <si>
    <t>Pcs</t>
  </si>
  <si>
    <t xml:space="preserve">4"x2" Sawn Timber </t>
  </si>
  <si>
    <t>DPM (1000g polythene)</t>
  </si>
  <si>
    <t>Hoop Iron</t>
  </si>
  <si>
    <t xml:space="preserve">Labour </t>
  </si>
  <si>
    <t xml:space="preserve">Sub-Total </t>
  </si>
  <si>
    <t>C</t>
  </si>
  <si>
    <t>Steel bars T16mm</t>
  </si>
  <si>
    <t xml:space="preserve">                 R8mm</t>
  </si>
  <si>
    <t>12"x1" Sawn timber</t>
  </si>
  <si>
    <t>4"x2" Sawn timber</t>
  </si>
  <si>
    <t>Hollow Blocks 8"</t>
  </si>
  <si>
    <t>Hoop iron</t>
  </si>
  <si>
    <t>Max Pans 6"</t>
  </si>
  <si>
    <t>Roll</t>
  </si>
  <si>
    <t>Labour</t>
  </si>
  <si>
    <t>ROOF</t>
  </si>
  <si>
    <t>Expanded metal lathe</t>
  </si>
  <si>
    <t>Kgs</t>
  </si>
  <si>
    <t>Roofing Nails</t>
  </si>
  <si>
    <t>Sub-Total carried to summary</t>
  </si>
  <si>
    <t>SUMMARY</t>
  </si>
  <si>
    <t>SUB STRUCTURE</t>
  </si>
  <si>
    <t>Anti-termitte treatment (Termidor)</t>
  </si>
  <si>
    <t xml:space="preserve">Clay Bricks </t>
  </si>
  <si>
    <t xml:space="preserve">TOOLS </t>
  </si>
  <si>
    <t>Jumping Compactor</t>
  </si>
  <si>
    <t>Concrete vibrator</t>
  </si>
  <si>
    <t xml:space="preserve">Concrete Mixer </t>
  </si>
  <si>
    <t>Days</t>
  </si>
  <si>
    <t>FOR</t>
  </si>
  <si>
    <t xml:space="preserve">BILLS OF QUANTITIES            </t>
  </si>
  <si>
    <t>Qty</t>
  </si>
  <si>
    <t>Rate</t>
  </si>
  <si>
    <t>UGX</t>
  </si>
  <si>
    <t>MAIN SUMMARY</t>
  </si>
  <si>
    <t>PRELIMINARIES</t>
  </si>
  <si>
    <t>TOOL &amp; EQUIPMENT HIRE</t>
  </si>
  <si>
    <t>SUBTOTAL</t>
  </si>
  <si>
    <t>GRAND TOTAL</t>
  </si>
  <si>
    <t>GROUND FLOOR</t>
  </si>
  <si>
    <t>FIRST FLOOR</t>
  </si>
  <si>
    <t>Bill No.1  PRELIMINARIES</t>
  </si>
  <si>
    <t>Water for works</t>
  </si>
  <si>
    <t>Store</t>
  </si>
  <si>
    <t>Power for works</t>
  </si>
  <si>
    <t>Security</t>
  </si>
  <si>
    <t>Total carried to Main Summary</t>
  </si>
  <si>
    <t>BILL No.1</t>
  </si>
  <si>
    <t>.</t>
  </si>
  <si>
    <t>BILL No.2</t>
  </si>
  <si>
    <t>TOOLS &amp; EQUIPMENT</t>
  </si>
  <si>
    <t>Bill No.2 TOOLS AND EQUIPMENT</t>
  </si>
  <si>
    <t>EQUIPMENT &amp; MACHINES HIRE</t>
  </si>
  <si>
    <t>Total</t>
  </si>
  <si>
    <t>EQUIPMENT AND MACHINES HIRE</t>
  </si>
  <si>
    <t>`</t>
  </si>
  <si>
    <t>BILL No.3</t>
  </si>
  <si>
    <t>BILL No.4</t>
  </si>
  <si>
    <t>Pulley/Hoist</t>
  </si>
  <si>
    <t>Pkts</t>
  </si>
  <si>
    <t>Trips (Fwd)</t>
  </si>
  <si>
    <t>PROPOSED MIXED USE DEVELOPMENT</t>
  </si>
  <si>
    <t>ON</t>
  </si>
  <si>
    <t>PLOT 2899, BLOCK 107, NAKABAGO, MUKONO CENTRAL DIVISION, MUKONO MUNICIPALITY, KYAGWE COUNTY, MUKONO DISTRICT</t>
  </si>
  <si>
    <t>Mr. EPEDUNO ABRAHAM</t>
  </si>
  <si>
    <t>P.O. BOX. 105520, KAMPALA.</t>
  </si>
  <si>
    <t>Proposed Mixed Use Development at Nakabago, Mukono Central Division, Mukono Municipality.</t>
  </si>
  <si>
    <t>RESIDENTIAL BLOCK</t>
  </si>
  <si>
    <t>COMMERCIAL BLOCK</t>
  </si>
  <si>
    <t>Proposed Mixed Use Development at Nakabago, Mukono Central Division, Mukono Municipality..</t>
  </si>
  <si>
    <t>ELEMENT 01: SUB-STRUCTURE</t>
  </si>
  <si>
    <t xml:space="preserve">                 12 mm</t>
  </si>
  <si>
    <t xml:space="preserve">                T12mm</t>
  </si>
  <si>
    <t>DPC (1000g polythene)</t>
  </si>
  <si>
    <t>Steel bars   T16mm</t>
  </si>
  <si>
    <t xml:space="preserve">                T10mm</t>
  </si>
  <si>
    <t>D</t>
  </si>
  <si>
    <t>Timbers 3"x4"</t>
  </si>
  <si>
    <t xml:space="preserve">             6"x2"</t>
  </si>
  <si>
    <t xml:space="preserve">             4"x2"</t>
  </si>
  <si>
    <t>Bundles</t>
  </si>
  <si>
    <t>Nail Caps (Rubber Washers)</t>
  </si>
  <si>
    <t>Roofing Sheets</t>
  </si>
  <si>
    <t>E</t>
  </si>
  <si>
    <t>TOTAL</t>
  </si>
  <si>
    <t>TERRACE FLOOR</t>
  </si>
  <si>
    <t>Bill No.3 COMMERCIAL BLOCK</t>
  </si>
  <si>
    <t>Bill No.4 RESIDENTIAL BLOCK</t>
  </si>
  <si>
    <t xml:space="preserve">             3"x2"</t>
  </si>
  <si>
    <t>Steel bars   T16 mm</t>
  </si>
  <si>
    <t>Steel bars    T16mm</t>
  </si>
  <si>
    <t>Add Contigencies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</si>
</sst>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aiandra GD"/>
      <family val="2"/>
    </font>
    <font>
      <sz val="11"/>
      <name val="Maiandra GD"/>
      <family val="2"/>
    </font>
    <font>
      <b/>
      <u/>
      <sz val="11"/>
      <name val="Maiandra GD"/>
      <family val="2"/>
    </font>
    <font>
      <sz val="12"/>
      <name val="Maiandra GD"/>
      <family val="2"/>
    </font>
    <font>
      <sz val="11"/>
      <color theme="1"/>
      <name val="Maiandra GD"/>
      <family val="2"/>
    </font>
    <font>
      <b/>
      <sz val="12"/>
      <name val="Maiandra GD"/>
      <family val="2"/>
    </font>
    <font>
      <u/>
      <sz val="11"/>
      <name val="Maiandra GD"/>
      <family val="2"/>
    </font>
    <font>
      <sz val="11"/>
      <name val="Garamond"/>
      <family val="1"/>
    </font>
    <font>
      <b/>
      <sz val="18"/>
      <name val="Garamond"/>
      <family val="1"/>
    </font>
    <font>
      <sz val="11"/>
      <color indexed="10"/>
      <name val="Garamond"/>
      <family val="1"/>
    </font>
    <font>
      <b/>
      <sz val="14"/>
      <name val="Arial Black"/>
      <family val="2"/>
    </font>
    <font>
      <b/>
      <sz val="11"/>
      <name val="Garamond"/>
      <family val="1"/>
    </font>
    <font>
      <sz val="10"/>
      <name val="Maiandra GD"/>
      <family val="2"/>
    </font>
    <font>
      <sz val="26"/>
      <name val="Maiandra GD"/>
      <family val="2"/>
    </font>
    <font>
      <sz val="36"/>
      <name val="Maiandra GD"/>
      <family val="2"/>
    </font>
    <font>
      <u/>
      <sz val="12"/>
      <name val="Maiandra GD"/>
      <family val="2"/>
    </font>
    <font>
      <b/>
      <sz val="16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>
      <alignment horizontal="justify" vertical="top" wrapText="1"/>
    </xf>
    <xf numFmtId="164" fontId="2" fillId="0" borderId="0" applyFont="0" applyFill="0" applyBorder="0" applyProtection="0">
      <alignment vertical="top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</cellStyleXfs>
  <cellXfs count="260">
    <xf numFmtId="0" fontId="0" fillId="0" borderId="0" xfId="0"/>
    <xf numFmtId="0" fontId="4" fillId="0" borderId="0" xfId="2" applyFont="1" applyFill="1" applyBorder="1">
      <alignment horizontal="justify" vertical="top" wrapText="1"/>
    </xf>
    <xf numFmtId="0" fontId="3" fillId="0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left"/>
    </xf>
    <xf numFmtId="1" fontId="3" fillId="0" borderId="2" xfId="2" applyNumberFormat="1" applyFont="1" applyFill="1" applyBorder="1" applyAlignment="1">
      <alignment horizontal="center"/>
    </xf>
    <xf numFmtId="3" fontId="3" fillId="0" borderId="2" xfId="1" applyNumberFormat="1" applyFont="1" applyFill="1" applyBorder="1" applyAlignment="1">
      <alignment horizontal="right" vertical="center"/>
    </xf>
    <xf numFmtId="165" fontId="3" fillId="0" borderId="3" xfId="1" applyNumberFormat="1" applyFont="1" applyFill="1" applyBorder="1" applyAlignment="1">
      <alignment horizontal="center" wrapText="1"/>
    </xf>
    <xf numFmtId="165" fontId="3" fillId="0" borderId="4" xfId="1" applyNumberFormat="1" applyFont="1" applyFill="1" applyBorder="1" applyAlignment="1">
      <alignment horizontal="center" wrapText="1"/>
    </xf>
    <xf numFmtId="0" fontId="3" fillId="0" borderId="0" xfId="2" applyFont="1" applyFill="1" applyBorder="1">
      <alignment horizontal="justify" vertical="top" wrapText="1"/>
    </xf>
    <xf numFmtId="0" fontId="3" fillId="0" borderId="0" xfId="2" applyFont="1" applyFill="1">
      <alignment horizontal="justify" vertical="top" wrapText="1"/>
    </xf>
    <xf numFmtId="0" fontId="3" fillId="0" borderId="5" xfId="2" applyFont="1" applyFill="1" applyBorder="1" applyAlignment="1">
      <alignment horizontal="center"/>
    </xf>
    <xf numFmtId="0" fontId="5" fillId="0" borderId="6" xfId="2" applyFont="1" applyFill="1" applyBorder="1" applyAlignment="1">
      <alignment horizontal="left" wrapText="1"/>
    </xf>
    <xf numFmtId="1" fontId="4" fillId="0" borderId="6" xfId="2" applyNumberFormat="1" applyFont="1" applyFill="1" applyBorder="1" applyAlignment="1">
      <alignment horizontal="center"/>
    </xf>
    <xf numFmtId="3" fontId="4" fillId="0" borderId="6" xfId="1" applyNumberFormat="1" applyFont="1" applyFill="1" applyBorder="1" applyAlignment="1">
      <alignment horizontal="center"/>
    </xf>
    <xf numFmtId="165" fontId="4" fillId="0" borderId="7" xfId="1" applyNumberFormat="1" applyFont="1" applyFill="1" applyBorder="1" applyAlignment="1"/>
    <xf numFmtId="165" fontId="4" fillId="0" borderId="8" xfId="1" applyNumberFormat="1" applyFont="1" applyFill="1" applyBorder="1" applyAlignment="1"/>
    <xf numFmtId="0" fontId="4" fillId="0" borderId="5" xfId="2" applyFont="1" applyFill="1" applyBorder="1" applyAlignment="1">
      <alignment horizontal="center"/>
    </xf>
    <xf numFmtId="0" fontId="4" fillId="0" borderId="6" xfId="2" applyFont="1" applyFill="1" applyBorder="1" applyAlignment="1">
      <alignment horizontal="justify" wrapText="1"/>
    </xf>
    <xf numFmtId="0" fontId="3" fillId="0" borderId="6" xfId="2" applyFont="1" applyFill="1" applyBorder="1" applyAlignment="1">
      <alignment horizontal="left"/>
    </xf>
    <xf numFmtId="1" fontId="3" fillId="0" borderId="6" xfId="2" applyNumberFormat="1" applyFont="1" applyFill="1" applyBorder="1" applyAlignment="1">
      <alignment horizontal="center"/>
    </xf>
    <xf numFmtId="3" fontId="3" fillId="0" borderId="6" xfId="1" applyNumberFormat="1" applyFont="1" applyFill="1" applyBorder="1" applyAlignment="1">
      <alignment horizontal="right" vertical="center"/>
    </xf>
    <xf numFmtId="165" fontId="3" fillId="0" borderId="7" xfId="1" applyNumberFormat="1" applyFont="1" applyFill="1" applyBorder="1" applyAlignment="1">
      <alignment horizontal="center" wrapText="1"/>
    </xf>
    <xf numFmtId="165" fontId="3" fillId="0" borderId="8" xfId="1" applyNumberFormat="1" applyFont="1" applyFill="1" applyBorder="1" applyAlignment="1">
      <alignment horizontal="center" wrapText="1"/>
    </xf>
    <xf numFmtId="0" fontId="3" fillId="0" borderId="9" xfId="2" applyFont="1" applyFill="1" applyBorder="1" applyAlignment="1">
      <alignment horizontal="center"/>
    </xf>
    <xf numFmtId="0" fontId="3" fillId="0" borderId="10" xfId="2" applyFont="1" applyFill="1" applyBorder="1" applyAlignment="1">
      <alignment horizontal="justify" wrapText="1"/>
    </xf>
    <xf numFmtId="1" fontId="3" fillId="0" borderId="10" xfId="2" applyNumberFormat="1" applyFont="1" applyFill="1" applyBorder="1" applyAlignment="1">
      <alignment horizontal="center"/>
    </xf>
    <xf numFmtId="3" fontId="3" fillId="0" borderId="10" xfId="1" applyNumberFormat="1" applyFont="1" applyFill="1" applyBorder="1" applyAlignment="1">
      <alignment horizontal="center"/>
    </xf>
    <xf numFmtId="165" fontId="3" fillId="0" borderId="11" xfId="1" applyNumberFormat="1" applyFont="1" applyFill="1" applyBorder="1" applyAlignment="1">
      <alignment horizontal="right"/>
    </xf>
    <xf numFmtId="165" fontId="3" fillId="0" borderId="12" xfId="1" applyNumberFormat="1" applyFont="1" applyFill="1" applyBorder="1" applyAlignment="1"/>
    <xf numFmtId="0" fontId="3" fillId="0" borderId="6" xfId="2" applyFont="1" applyFill="1" applyBorder="1" applyAlignment="1">
      <alignment horizontal="justify" wrapText="1"/>
    </xf>
    <xf numFmtId="165" fontId="3" fillId="0" borderId="7" xfId="1" applyNumberFormat="1" applyFont="1" applyFill="1" applyBorder="1" applyAlignment="1">
      <alignment horizontal="right"/>
    </xf>
    <xf numFmtId="165" fontId="3" fillId="0" borderId="8" xfId="1" applyNumberFormat="1" applyFont="1" applyFill="1" applyBorder="1" applyAlignment="1"/>
    <xf numFmtId="0" fontId="4" fillId="0" borderId="0" xfId="2" applyFont="1" applyFill="1">
      <alignment horizontal="justify" vertical="top" wrapText="1"/>
    </xf>
    <xf numFmtId="0" fontId="5" fillId="0" borderId="6" xfId="2" applyFont="1" applyFill="1" applyBorder="1" applyAlignment="1">
      <alignment horizontal="justify"/>
    </xf>
    <xf numFmtId="3" fontId="4" fillId="0" borderId="6" xfId="1" applyNumberFormat="1" applyFont="1" applyFill="1" applyBorder="1" applyAlignment="1">
      <alignment horizontal="right" vertical="center"/>
    </xf>
    <xf numFmtId="0" fontId="3" fillId="0" borderId="6" xfId="2" applyFont="1" applyFill="1" applyBorder="1" applyAlignment="1">
      <alignment horizontal="left" wrapText="1"/>
    </xf>
    <xf numFmtId="0" fontId="4" fillId="0" borderId="6" xfId="2" applyFont="1" applyFill="1" applyBorder="1" applyAlignment="1">
      <alignment horizontal="left" wrapText="1"/>
    </xf>
    <xf numFmtId="0" fontId="4" fillId="0" borderId="6" xfId="2" applyFont="1" applyFill="1" applyBorder="1" applyAlignment="1">
      <alignment horizontal="center" vertical="center" wrapText="1"/>
    </xf>
    <xf numFmtId="3" fontId="4" fillId="0" borderId="6" xfId="3" applyNumberFormat="1" applyFont="1" applyFill="1" applyBorder="1" applyAlignment="1">
      <alignment horizontal="right" vertical="center"/>
    </xf>
    <xf numFmtId="165" fontId="4" fillId="0" borderId="7" xfId="1" applyNumberFormat="1" applyFont="1" applyFill="1" applyBorder="1" applyAlignment="1">
      <alignment horizontal="right" vertical="center"/>
    </xf>
    <xf numFmtId="165" fontId="4" fillId="0" borderId="8" xfId="1" applyNumberFormat="1" applyFont="1" applyFill="1" applyBorder="1" applyAlignment="1">
      <alignment horizontal="right" vertical="center"/>
    </xf>
    <xf numFmtId="0" fontId="4" fillId="0" borderId="6" xfId="2" applyFont="1" applyFill="1" applyBorder="1" applyAlignment="1">
      <alignment horizontal="left" vertical="center" wrapText="1"/>
    </xf>
    <xf numFmtId="165" fontId="4" fillId="2" borderId="8" xfId="1" applyNumberFormat="1" applyFont="1" applyFill="1" applyBorder="1" applyAlignment="1">
      <alignment horizontal="right" vertical="center"/>
    </xf>
    <xf numFmtId="165" fontId="3" fillId="0" borderId="0" xfId="2" applyNumberFormat="1" applyFont="1" applyFill="1" applyBorder="1">
      <alignment horizontal="justify" vertical="top" wrapText="1"/>
    </xf>
    <xf numFmtId="165" fontId="4" fillId="0" borderId="8" xfId="1" applyNumberFormat="1" applyFont="1" applyFill="1" applyBorder="1" applyAlignment="1">
      <alignment horizontal="center" vertical="center"/>
    </xf>
    <xf numFmtId="0" fontId="3" fillId="0" borderId="6" xfId="2" applyFont="1" applyFill="1" applyBorder="1" applyAlignment="1">
      <alignment horizontal="left" vertical="center" wrapText="1"/>
    </xf>
    <xf numFmtId="165" fontId="3" fillId="0" borderId="8" xfId="1" applyNumberFormat="1" applyFont="1" applyFill="1" applyBorder="1" applyAlignment="1">
      <alignment horizontal="right" vertical="center"/>
    </xf>
    <xf numFmtId="3" fontId="3" fillId="0" borderId="10" xfId="1" applyNumberFormat="1" applyFont="1" applyFill="1" applyBorder="1" applyAlignment="1">
      <alignment horizontal="right" vertical="center"/>
    </xf>
    <xf numFmtId="0" fontId="4" fillId="0" borderId="6" xfId="2" applyFont="1" applyFill="1" applyBorder="1" applyAlignment="1">
      <alignment horizontal="center" wrapText="1"/>
    </xf>
    <xf numFmtId="165" fontId="4" fillId="0" borderId="6" xfId="4" applyNumberFormat="1" applyFont="1" applyFill="1" applyBorder="1" applyAlignment="1">
      <alignment horizontal="right" vertical="center"/>
    </xf>
    <xf numFmtId="165" fontId="4" fillId="0" borderId="7" xfId="4" applyNumberFormat="1" applyFont="1" applyBorder="1"/>
    <xf numFmtId="1" fontId="4" fillId="0" borderId="6" xfId="2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/>
      <protection locked="0"/>
    </xf>
    <xf numFmtId="0" fontId="7" fillId="0" borderId="6" xfId="0" applyFont="1" applyFill="1" applyBorder="1" applyAlignment="1">
      <alignment vertical="top" wrapText="1"/>
    </xf>
    <xf numFmtId="3" fontId="4" fillId="0" borderId="6" xfId="1" applyNumberFormat="1" applyFont="1" applyFill="1" applyBorder="1" applyAlignment="1">
      <alignment horizontal="right"/>
    </xf>
    <xf numFmtId="0" fontId="4" fillId="0" borderId="6" xfId="2" applyFont="1" applyFill="1" applyBorder="1">
      <alignment horizontal="justify" vertical="top" wrapText="1"/>
    </xf>
    <xf numFmtId="0" fontId="3" fillId="0" borderId="6" xfId="2" applyFont="1" applyFill="1" applyBorder="1">
      <alignment horizontal="justify" vertical="top" wrapText="1"/>
    </xf>
    <xf numFmtId="165" fontId="3" fillId="0" borderId="8" xfId="1" applyNumberFormat="1" applyFont="1" applyFill="1" applyBorder="1" applyAlignment="1">
      <alignment horizontal="justify" vertical="top" wrapText="1"/>
    </xf>
    <xf numFmtId="0" fontId="4" fillId="0" borderId="13" xfId="2" applyFont="1" applyFill="1" applyBorder="1" applyAlignment="1">
      <alignment horizontal="center"/>
    </xf>
    <xf numFmtId="0" fontId="4" fillId="0" borderId="14" xfId="2" applyFont="1" applyFill="1" applyBorder="1" applyAlignment="1">
      <alignment horizontal="justify" wrapText="1"/>
    </xf>
    <xf numFmtId="1" fontId="4" fillId="0" borderId="14" xfId="2" applyNumberFormat="1" applyFont="1" applyFill="1" applyBorder="1" applyAlignment="1">
      <alignment horizontal="center"/>
    </xf>
    <xf numFmtId="3" fontId="4" fillId="0" borderId="14" xfId="1" applyNumberFormat="1" applyFont="1" applyFill="1" applyBorder="1" applyAlignment="1">
      <alignment horizontal="right" vertical="center"/>
    </xf>
    <xf numFmtId="165" fontId="4" fillId="0" borderId="15" xfId="1" applyNumberFormat="1" applyFont="1" applyFill="1" applyBorder="1" applyAlignment="1"/>
    <xf numFmtId="165" fontId="4" fillId="0" borderId="16" xfId="1" applyNumberFormat="1" applyFont="1" applyFill="1" applyBorder="1" applyAlignment="1"/>
    <xf numFmtId="165" fontId="3" fillId="0" borderId="17" xfId="1" applyNumberFormat="1" applyFont="1" applyFill="1" applyBorder="1" applyAlignment="1"/>
    <xf numFmtId="0" fontId="4" fillId="0" borderId="18" xfId="2" applyFont="1" applyFill="1" applyBorder="1" applyAlignment="1">
      <alignment horizontal="center"/>
    </xf>
    <xf numFmtId="0" fontId="5" fillId="0" borderId="0" xfId="2" applyFont="1" applyBorder="1" applyAlignment="1">
      <alignment horizontal="justify" wrapText="1"/>
    </xf>
    <xf numFmtId="1" fontId="4" fillId="0" borderId="0" xfId="2" applyNumberFormat="1" applyFont="1" applyFill="1" applyBorder="1" applyAlignment="1">
      <alignment horizontal="center"/>
    </xf>
    <xf numFmtId="3" fontId="4" fillId="0" borderId="0" xfId="1" applyNumberFormat="1" applyFont="1" applyFill="1" applyBorder="1" applyAlignment="1">
      <alignment horizontal="right" vertical="center"/>
    </xf>
    <xf numFmtId="165" fontId="4" fillId="0" borderId="0" xfId="1" applyNumberFormat="1" applyFont="1" applyFill="1" applyBorder="1" applyAlignment="1"/>
    <xf numFmtId="0" fontId="4" fillId="0" borderId="6" xfId="2" applyFont="1" applyFill="1" applyBorder="1" applyAlignment="1">
      <alignment horizontal="center"/>
    </xf>
    <xf numFmtId="0" fontId="4" fillId="0" borderId="0" xfId="2" applyFont="1" applyFill="1" applyAlignment="1">
      <alignment horizontal="justify"/>
    </xf>
    <xf numFmtId="165" fontId="4" fillId="0" borderId="6" xfId="1" applyNumberFormat="1" applyFont="1" applyFill="1" applyBorder="1" applyAlignment="1"/>
    <xf numFmtId="165" fontId="4" fillId="0" borderId="0" xfId="2" applyNumberFormat="1" applyFont="1" applyFill="1" applyBorder="1">
      <alignment horizontal="justify" vertical="top" wrapText="1"/>
    </xf>
    <xf numFmtId="0" fontId="3" fillId="0" borderId="22" xfId="2" applyFont="1" applyFill="1" applyBorder="1" applyAlignment="1">
      <alignment horizontal="center"/>
    </xf>
    <xf numFmtId="0" fontId="3" fillId="0" borderId="23" xfId="2" applyFont="1" applyFill="1" applyBorder="1" applyAlignment="1">
      <alignment horizontal="justify" wrapText="1"/>
    </xf>
    <xf numFmtId="1" fontId="3" fillId="0" borderId="23" xfId="2" applyNumberFormat="1" applyFont="1" applyFill="1" applyBorder="1" applyAlignment="1">
      <alignment horizontal="center"/>
    </xf>
    <xf numFmtId="3" fontId="3" fillId="0" borderId="23" xfId="1" applyNumberFormat="1" applyFont="1" applyFill="1" applyBorder="1" applyAlignment="1">
      <alignment horizontal="right" vertical="center"/>
    </xf>
    <xf numFmtId="165" fontId="3" fillId="0" borderId="24" xfId="1" applyNumberFormat="1" applyFont="1" applyFill="1" applyBorder="1" applyAlignment="1">
      <alignment horizontal="right"/>
    </xf>
    <xf numFmtId="0" fontId="3" fillId="0" borderId="5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3" fontId="3" fillId="0" borderId="25" xfId="1" applyNumberFormat="1" applyFont="1" applyFill="1" applyBorder="1" applyAlignment="1">
      <alignment horizontal="right" vertical="center"/>
    </xf>
    <xf numFmtId="0" fontId="3" fillId="0" borderId="22" xfId="2" applyFont="1" applyFill="1" applyBorder="1" applyAlignment="1">
      <alignment horizontal="center" vertical="center"/>
    </xf>
    <xf numFmtId="0" fontId="5" fillId="0" borderId="23" xfId="2" applyFont="1" applyFill="1" applyBorder="1" applyAlignment="1">
      <alignment horizontal="left" wrapText="1"/>
    </xf>
    <xf numFmtId="0" fontId="6" fillId="0" borderId="23" xfId="0" applyNumberFormat="1" applyFont="1" applyFill="1" applyBorder="1" applyAlignment="1" applyProtection="1">
      <alignment horizontal="center"/>
      <protection locked="0"/>
    </xf>
    <xf numFmtId="165" fontId="4" fillId="0" borderId="7" xfId="1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justify" vertical="top"/>
    </xf>
    <xf numFmtId="0" fontId="10" fillId="3" borderId="27" xfId="0" applyFont="1" applyFill="1" applyBorder="1" applyAlignment="1">
      <alignment horizontal="justify" vertical="top"/>
    </xf>
    <xf numFmtId="0" fontId="10" fillId="3" borderId="28" xfId="0" applyFont="1" applyFill="1" applyBorder="1" applyAlignment="1">
      <alignment horizontal="justify" vertical="top"/>
    </xf>
    <xf numFmtId="0" fontId="10" fillId="3" borderId="29" xfId="0" applyFont="1" applyFill="1" applyBorder="1" applyAlignment="1">
      <alignment horizontal="justify" vertical="top"/>
    </xf>
    <xf numFmtId="0" fontId="10" fillId="3" borderId="6" xfId="0" applyFont="1" applyFill="1" applyBorder="1" applyAlignment="1">
      <alignment horizontal="justify" vertical="top"/>
    </xf>
    <xf numFmtId="0" fontId="10" fillId="0" borderId="27" xfId="0" applyFont="1" applyFill="1" applyBorder="1" applyAlignment="1">
      <alignment horizontal="justify" vertical="top"/>
    </xf>
    <xf numFmtId="0" fontId="10" fillId="0" borderId="28" xfId="0" applyFont="1" applyFill="1" applyBorder="1" applyAlignment="1">
      <alignment horizontal="justify" vertical="top"/>
    </xf>
    <xf numFmtId="0" fontId="10" fillId="0" borderId="29" xfId="0" applyFont="1" applyFill="1" applyBorder="1" applyAlignment="1">
      <alignment horizontal="justify" vertical="top"/>
    </xf>
    <xf numFmtId="0" fontId="10" fillId="0" borderId="6" xfId="0" applyFont="1" applyFill="1" applyBorder="1" applyAlignment="1">
      <alignment horizontal="justify" vertical="top"/>
    </xf>
    <xf numFmtId="0" fontId="10" fillId="3" borderId="30" xfId="0" applyFont="1" applyFill="1" applyBorder="1" applyAlignment="1">
      <alignment horizontal="justify" vertical="top"/>
    </xf>
    <xf numFmtId="0" fontId="10" fillId="0" borderId="30" xfId="0" applyFont="1" applyFill="1" applyBorder="1" applyAlignment="1">
      <alignment horizontal="justify" vertical="top"/>
    </xf>
    <xf numFmtId="0" fontId="10" fillId="0" borderId="7" xfId="0" applyFont="1" applyFill="1" applyBorder="1" applyAlignment="1">
      <alignment horizontal="justify" vertical="top"/>
    </xf>
    <xf numFmtId="0" fontId="10" fillId="0" borderId="26" xfId="0" applyFont="1" applyFill="1" applyBorder="1" applyAlignment="1">
      <alignment horizontal="justify" vertical="top"/>
    </xf>
    <xf numFmtId="0" fontId="10" fillId="0" borderId="6" xfId="0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center" vertical="top" wrapText="1"/>
    </xf>
    <xf numFmtId="0" fontId="10" fillId="0" borderId="6" xfId="0" applyFont="1" applyFill="1" applyBorder="1" applyAlignment="1">
      <alignment horizontal="center" vertical="top" wrapText="1"/>
    </xf>
    <xf numFmtId="0" fontId="10" fillId="3" borderId="6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justify" vertical="top"/>
    </xf>
    <xf numFmtId="0" fontId="14" fillId="0" borderId="39" xfId="0" applyFont="1" applyFill="1" applyBorder="1" applyAlignment="1">
      <alignment horizontal="right" vertical="top" wrapText="1"/>
    </xf>
    <xf numFmtId="0" fontId="14" fillId="0" borderId="6" xfId="0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right" vertical="top" wrapText="1"/>
    </xf>
    <xf numFmtId="0" fontId="10" fillId="0" borderId="20" xfId="0" applyFont="1" applyFill="1" applyBorder="1" applyAlignment="1">
      <alignment horizontal="justify" vertical="top"/>
    </xf>
    <xf numFmtId="0" fontId="14" fillId="0" borderId="28" xfId="0" applyFont="1" applyFill="1" applyBorder="1" applyAlignment="1">
      <alignment horizontal="right" vertical="top" wrapText="1"/>
    </xf>
    <xf numFmtId="0" fontId="14" fillId="0" borderId="20" xfId="0" applyFont="1" applyFill="1" applyBorder="1" applyAlignment="1">
      <alignment horizontal="right" vertical="top" wrapText="1"/>
    </xf>
    <xf numFmtId="0" fontId="10" fillId="3" borderId="38" xfId="0" applyFont="1" applyFill="1" applyBorder="1" applyAlignment="1">
      <alignment horizontal="justify" vertical="top"/>
    </xf>
    <xf numFmtId="0" fontId="14" fillId="3" borderId="28" xfId="0" applyFont="1" applyFill="1" applyBorder="1" applyAlignment="1">
      <alignment horizontal="right" vertical="top" wrapText="1"/>
    </xf>
    <xf numFmtId="0" fontId="14" fillId="3" borderId="39" xfId="0" applyFont="1" applyFill="1" applyBorder="1" applyAlignment="1">
      <alignment horizontal="right" vertical="top" wrapText="1"/>
    </xf>
    <xf numFmtId="0" fontId="10" fillId="3" borderId="20" xfId="0" applyFont="1" applyFill="1" applyBorder="1" applyAlignment="1">
      <alignment horizontal="justify" vertical="top"/>
    </xf>
    <xf numFmtId="0" fontId="10" fillId="0" borderId="0" xfId="0" applyFont="1" applyFill="1" applyAlignment="1">
      <alignment horizontal="justify" vertical="top"/>
    </xf>
    <xf numFmtId="0" fontId="7" fillId="0" borderId="0" xfId="0" applyFont="1"/>
    <xf numFmtId="0" fontId="3" fillId="0" borderId="40" xfId="0" applyFont="1" applyFill="1" applyBorder="1" applyAlignment="1">
      <alignment horizontal="center" vertical="top"/>
    </xf>
    <xf numFmtId="0" fontId="3" fillId="0" borderId="41" xfId="0" applyFont="1" applyFill="1" applyBorder="1" applyAlignment="1">
      <alignment horizontal="center" wrapText="1"/>
    </xf>
    <xf numFmtId="0" fontId="3" fillId="0" borderId="41" xfId="0" applyFont="1" applyFill="1" applyBorder="1" applyAlignment="1">
      <alignment horizontal="center"/>
    </xf>
    <xf numFmtId="165" fontId="3" fillId="0" borderId="42" xfId="5" applyNumberFormat="1" applyFont="1" applyFill="1" applyBorder="1" applyAlignment="1">
      <alignment horizontal="center"/>
    </xf>
    <xf numFmtId="165" fontId="3" fillId="0" borderId="43" xfId="5" applyNumberFormat="1" applyFont="1" applyFill="1" applyBorder="1" applyAlignment="1" applyProtection="1">
      <alignment horizontal="center"/>
      <protection locked="0"/>
    </xf>
    <xf numFmtId="165" fontId="3" fillId="0" borderId="43" xfId="5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/>
    </xf>
    <xf numFmtId="165" fontId="3" fillId="0" borderId="44" xfId="5" applyNumberFormat="1" applyFont="1" applyFill="1" applyBorder="1" applyAlignment="1">
      <alignment horizontal="center"/>
    </xf>
    <xf numFmtId="165" fontId="3" fillId="0" borderId="31" xfId="5" applyNumberFormat="1" applyFont="1" applyFill="1" applyBorder="1" applyAlignment="1" applyProtection="1">
      <alignment horizontal="center"/>
      <protection locked="0"/>
    </xf>
    <xf numFmtId="165" fontId="3" fillId="0" borderId="31" xfId="5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vertical="top" wrapText="1"/>
    </xf>
    <xf numFmtId="0" fontId="4" fillId="0" borderId="5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vertical="top" wrapText="1"/>
    </xf>
    <xf numFmtId="0" fontId="4" fillId="0" borderId="6" xfId="0" applyFont="1" applyFill="1" applyBorder="1" applyAlignment="1">
      <alignment horizontal="center"/>
    </xf>
    <xf numFmtId="165" fontId="4" fillId="0" borderId="44" xfId="5" applyNumberFormat="1" applyFont="1" applyFill="1" applyBorder="1" applyAlignment="1">
      <alignment horizontal="center"/>
    </xf>
    <xf numFmtId="165" fontId="4" fillId="0" borderId="31" xfId="5" applyNumberFormat="1" applyFont="1" applyFill="1" applyBorder="1" applyAlignment="1" applyProtection="1">
      <protection locked="0"/>
    </xf>
    <xf numFmtId="165" fontId="4" fillId="0" borderId="31" xfId="5" applyNumberFormat="1" applyFont="1" applyFill="1" applyBorder="1" applyAlignment="1">
      <alignment horizontal="right"/>
    </xf>
    <xf numFmtId="0" fontId="5" fillId="0" borderId="6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vertical="top" wrapText="1"/>
    </xf>
    <xf numFmtId="165" fontId="4" fillId="0" borderId="12" xfId="5" applyNumberFormat="1" applyFont="1" applyFill="1" applyBorder="1" applyAlignment="1">
      <alignment horizontal="right"/>
    </xf>
    <xf numFmtId="0" fontId="4" fillId="0" borderId="6" xfId="0" applyFont="1" applyFill="1" applyBorder="1" applyAlignment="1">
      <alignment wrapText="1"/>
    </xf>
    <xf numFmtId="0" fontId="4" fillId="0" borderId="45" xfId="0" applyFont="1" applyFill="1" applyBorder="1" applyAlignment="1">
      <alignment horizontal="center" vertical="top"/>
    </xf>
    <xf numFmtId="0" fontId="3" fillId="0" borderId="46" xfId="0" applyFont="1" applyFill="1" applyBorder="1" applyAlignment="1">
      <alignment horizontal="left" vertical="top" wrapText="1"/>
    </xf>
    <xf numFmtId="0" fontId="4" fillId="0" borderId="46" xfId="0" applyFont="1" applyFill="1" applyBorder="1" applyAlignment="1">
      <alignment horizontal="center"/>
    </xf>
    <xf numFmtId="165" fontId="4" fillId="0" borderId="47" xfId="5" applyNumberFormat="1" applyFont="1" applyFill="1" applyBorder="1" applyAlignment="1">
      <alignment horizontal="center"/>
    </xf>
    <xf numFmtId="165" fontId="4" fillId="0" borderId="37" xfId="5" applyNumberFormat="1" applyFont="1" applyFill="1" applyBorder="1" applyAlignment="1" applyProtection="1">
      <protection locked="0"/>
    </xf>
    <xf numFmtId="165" fontId="3" fillId="0" borderId="48" xfId="5" applyNumberFormat="1" applyFont="1" applyFill="1" applyBorder="1" applyAlignment="1">
      <alignment horizontal="right"/>
    </xf>
    <xf numFmtId="0" fontId="3" fillId="0" borderId="49" xfId="0" applyFont="1" applyFill="1" applyBorder="1" applyAlignment="1">
      <alignment horizontal="left" vertical="top"/>
    </xf>
    <xf numFmtId="0" fontId="3" fillId="0" borderId="30" xfId="0" applyFont="1" applyFill="1" applyBorder="1" applyAlignment="1">
      <alignment horizontal="left" vertical="top"/>
    </xf>
    <xf numFmtId="0" fontId="3" fillId="0" borderId="50" xfId="0" applyFont="1" applyFill="1" applyBorder="1" applyAlignment="1">
      <alignment horizontal="left" vertical="top"/>
    </xf>
    <xf numFmtId="0" fontId="3" fillId="0" borderId="18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31" xfId="0" applyFont="1" applyFill="1" applyBorder="1" applyAlignment="1">
      <alignment horizontal="left" vertical="top"/>
    </xf>
    <xf numFmtId="0" fontId="3" fillId="0" borderId="19" xfId="0" applyFont="1" applyFill="1" applyBorder="1" applyAlignment="1">
      <alignment horizontal="left" vertical="top"/>
    </xf>
    <xf numFmtId="0" fontId="3" fillId="0" borderId="20" xfId="0" applyFont="1" applyFill="1" applyBorder="1" applyAlignment="1">
      <alignment horizontal="left" vertical="top"/>
    </xf>
    <xf numFmtId="0" fontId="3" fillId="0" borderId="51" xfId="0" applyFont="1" applyFill="1" applyBorder="1" applyAlignment="1">
      <alignment horizontal="left" vertical="top"/>
    </xf>
    <xf numFmtId="0" fontId="3" fillId="0" borderId="52" xfId="2" applyFont="1" applyFill="1" applyBorder="1" applyAlignment="1">
      <alignment horizontal="center"/>
    </xf>
    <xf numFmtId="0" fontId="3" fillId="0" borderId="53" xfId="2" applyFont="1" applyFill="1" applyBorder="1" applyAlignment="1">
      <alignment horizontal="left"/>
    </xf>
    <xf numFmtId="1" fontId="3" fillId="0" borderId="53" xfId="2" applyNumberFormat="1" applyFont="1" applyFill="1" applyBorder="1" applyAlignment="1">
      <alignment horizontal="center"/>
    </xf>
    <xf numFmtId="3" fontId="3" fillId="0" borderId="53" xfId="1" applyNumberFormat="1" applyFont="1" applyFill="1" applyBorder="1" applyAlignment="1">
      <alignment horizontal="right"/>
    </xf>
    <xf numFmtId="165" fontId="3" fillId="0" borderId="38" xfId="1" applyNumberFormat="1" applyFont="1" applyFill="1" applyBorder="1" applyAlignment="1">
      <alignment horizontal="center" wrapText="1"/>
    </xf>
    <xf numFmtId="165" fontId="3" fillId="0" borderId="21" xfId="1" applyNumberFormat="1" applyFont="1" applyFill="1" applyBorder="1" applyAlignment="1">
      <alignment horizontal="center" wrapText="1"/>
    </xf>
    <xf numFmtId="165" fontId="4" fillId="0" borderId="6" xfId="4" applyNumberFormat="1" applyFont="1" applyFill="1" applyBorder="1" applyAlignment="1">
      <alignment horizontal="right"/>
    </xf>
    <xf numFmtId="0" fontId="15" fillId="0" borderId="0" xfId="6" applyFont="1"/>
    <xf numFmtId="0" fontId="15" fillId="0" borderId="18" xfId="6" applyFont="1" applyBorder="1"/>
    <xf numFmtId="0" fontId="15" fillId="0" borderId="0" xfId="6" applyFont="1" applyBorder="1"/>
    <xf numFmtId="0" fontId="15" fillId="0" borderId="31" xfId="6" applyFont="1" applyBorder="1"/>
    <xf numFmtId="0" fontId="16" fillId="0" borderId="0" xfId="6" applyFont="1" applyBorder="1" applyAlignment="1">
      <alignment horizontal="center"/>
    </xf>
    <xf numFmtId="0" fontId="17" fillId="0" borderId="0" xfId="6" applyFont="1" applyBorder="1" applyAlignment="1">
      <alignment horizontal="center" wrapText="1"/>
    </xf>
    <xf numFmtId="0" fontId="17" fillId="0" borderId="0" xfId="6" applyFont="1" applyBorder="1"/>
    <xf numFmtId="0" fontId="15" fillId="0" borderId="35" xfId="6" applyFont="1" applyBorder="1"/>
    <xf numFmtId="0" fontId="15" fillId="0" borderId="36" xfId="6" applyFont="1" applyBorder="1"/>
    <xf numFmtId="0" fontId="15" fillId="0" borderId="37" xfId="6" applyFont="1" applyBorder="1"/>
    <xf numFmtId="0" fontId="3" fillId="0" borderId="54" xfId="0" applyFont="1" applyFill="1" applyBorder="1" applyAlignment="1">
      <alignment horizontal="left" vertical="top"/>
    </xf>
    <xf numFmtId="0" fontId="3" fillId="0" borderId="44" xfId="0" applyFont="1" applyFill="1" applyBorder="1" applyAlignment="1">
      <alignment horizontal="left" vertical="top"/>
    </xf>
    <xf numFmtId="0" fontId="18" fillId="0" borderId="0" xfId="2" applyFont="1" applyBorder="1" applyAlignment="1">
      <alignment horizontal="justify" wrapText="1"/>
    </xf>
    <xf numFmtId="165" fontId="4" fillId="0" borderId="44" xfId="1" applyNumberFormat="1" applyFont="1" applyFill="1" applyBorder="1" applyAlignment="1"/>
    <xf numFmtId="0" fontId="6" fillId="0" borderId="18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left" wrapText="1"/>
    </xf>
    <xf numFmtId="1" fontId="6" fillId="0" borderId="0" xfId="2" applyNumberFormat="1" applyFont="1" applyFill="1" applyBorder="1" applyAlignment="1">
      <alignment horizontal="center"/>
    </xf>
    <xf numFmtId="3" fontId="6" fillId="0" borderId="0" xfId="1" applyNumberFormat="1" applyFont="1" applyFill="1" applyBorder="1" applyAlignment="1">
      <alignment horizontal="right" vertical="center"/>
    </xf>
    <xf numFmtId="165" fontId="6" fillId="0" borderId="0" xfId="1" applyNumberFormat="1" applyFont="1" applyFill="1" applyBorder="1" applyAlignment="1"/>
    <xf numFmtId="165" fontId="6" fillId="0" borderId="44" xfId="1" applyNumberFormat="1" applyFont="1" applyFill="1" applyBorder="1" applyAlignment="1"/>
    <xf numFmtId="0" fontId="8" fillId="0" borderId="19" xfId="2" applyFont="1" applyFill="1" applyBorder="1" applyAlignment="1">
      <alignment horizontal="center"/>
    </xf>
    <xf numFmtId="0" fontId="8" fillId="0" borderId="20" xfId="2" applyFont="1" applyFill="1" applyBorder="1" applyAlignment="1">
      <alignment horizontal="justify" wrapText="1"/>
    </xf>
    <xf numFmtId="1" fontId="8" fillId="0" borderId="20" xfId="2" applyNumberFormat="1" applyFont="1" applyFill="1" applyBorder="1" applyAlignment="1">
      <alignment horizontal="center"/>
    </xf>
    <xf numFmtId="3" fontId="8" fillId="0" borderId="20" xfId="1" applyNumberFormat="1" applyFont="1" applyFill="1" applyBorder="1" applyAlignment="1">
      <alignment horizontal="right" vertical="center"/>
    </xf>
    <xf numFmtId="165" fontId="8" fillId="0" borderId="20" xfId="1" applyNumberFormat="1" applyFont="1" applyFill="1" applyBorder="1" applyAlignment="1">
      <alignment horizontal="right"/>
    </xf>
    <xf numFmtId="165" fontId="8" fillId="0" borderId="55" xfId="1" applyNumberFormat="1" applyFont="1" applyFill="1" applyBorder="1" applyAlignment="1"/>
    <xf numFmtId="0" fontId="10" fillId="0" borderId="0" xfId="0" applyFont="1" applyFill="1" applyBorder="1" applyAlignment="1">
      <alignment vertical="top" wrapText="1"/>
    </xf>
    <xf numFmtId="3" fontId="4" fillId="0" borderId="6" xfId="1" applyNumberFormat="1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top" wrapText="1"/>
    </xf>
    <xf numFmtId="0" fontId="14" fillId="0" borderId="6" xfId="0" applyFont="1" applyFill="1" applyBorder="1" applyAlignment="1">
      <alignment horizontal="center" vertical="top" wrapText="1"/>
    </xf>
    <xf numFmtId="0" fontId="14" fillId="3" borderId="6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6" xfId="0" applyFont="1" applyFill="1" applyBorder="1" applyAlignment="1">
      <alignment horizontal="left" vertical="top" wrapText="1"/>
    </xf>
    <xf numFmtId="0" fontId="14" fillId="3" borderId="6" xfId="0" applyFont="1" applyFill="1" applyBorder="1" applyAlignment="1">
      <alignment horizontal="left" vertical="top" wrapText="1"/>
    </xf>
    <xf numFmtId="17" fontId="14" fillId="0" borderId="28" xfId="0" applyNumberFormat="1" applyFont="1" applyFill="1" applyBorder="1" applyAlignment="1">
      <alignment horizontal="right" vertical="top" wrapText="1"/>
    </xf>
    <xf numFmtId="17" fontId="14" fillId="3" borderId="28" xfId="0" applyNumberFormat="1" applyFont="1" applyFill="1" applyBorder="1" applyAlignment="1">
      <alignment horizontal="right" vertical="top" wrapText="1"/>
    </xf>
    <xf numFmtId="17" fontId="14" fillId="0" borderId="20" xfId="0" applyNumberFormat="1" applyFont="1" applyFill="1" applyBorder="1" applyAlignment="1">
      <alignment horizontal="right" vertical="top" wrapText="1"/>
    </xf>
    <xf numFmtId="17" fontId="14" fillId="3" borderId="20" xfId="0" applyNumberFormat="1" applyFont="1" applyFill="1" applyBorder="1" applyAlignment="1">
      <alignment horizontal="right" vertical="top" wrapText="1"/>
    </xf>
    <xf numFmtId="0" fontId="3" fillId="0" borderId="2" xfId="2" applyFont="1" applyFill="1" applyBorder="1" applyAlignment="1">
      <alignment horizontal="center" vertical="top"/>
    </xf>
    <xf numFmtId="0" fontId="5" fillId="0" borderId="6" xfId="2" applyFont="1" applyFill="1" applyBorder="1" applyAlignment="1">
      <alignment horizontal="justify" vertical="top"/>
    </xf>
    <xf numFmtId="0" fontId="5" fillId="0" borderId="6" xfId="2" applyFont="1" applyFill="1" applyBorder="1" applyAlignment="1">
      <alignment horizontal="left" vertical="top" wrapText="1"/>
    </xf>
    <xf numFmtId="0" fontId="5" fillId="0" borderId="56" xfId="2" applyFont="1" applyFill="1" applyBorder="1" applyAlignment="1">
      <alignment horizontal="left" wrapText="1"/>
    </xf>
    <xf numFmtId="0" fontId="5" fillId="0" borderId="56" xfId="2" applyFont="1" applyFill="1" applyBorder="1" applyAlignment="1">
      <alignment horizontal="left" vertical="center" wrapText="1"/>
    </xf>
    <xf numFmtId="0" fontId="5" fillId="0" borderId="6" xfId="2" applyFont="1" applyFill="1" applyBorder="1" applyAlignment="1">
      <alignment horizontal="left" vertical="center" wrapText="1"/>
    </xf>
    <xf numFmtId="0" fontId="4" fillId="0" borderId="56" xfId="2" applyFont="1" applyFill="1" applyBorder="1" applyAlignment="1">
      <alignment horizontal="left" wrapText="1"/>
    </xf>
    <xf numFmtId="0" fontId="4" fillId="0" borderId="8" xfId="2" applyFont="1" applyFill="1" applyBorder="1">
      <alignment horizontal="justify" vertical="top" wrapText="1"/>
    </xf>
    <xf numFmtId="0" fontId="4" fillId="0" borderId="0" xfId="2" applyFont="1" applyFill="1" applyBorder="1" applyAlignment="1">
      <alignment horizontal="justify" vertical="top" wrapText="1"/>
    </xf>
    <xf numFmtId="0" fontId="4" fillId="0" borderId="18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justify"/>
    </xf>
    <xf numFmtId="0" fontId="4" fillId="0" borderId="0" xfId="2" applyFont="1" applyBorder="1" applyAlignment="1">
      <alignment horizontal="justify" wrapText="1"/>
    </xf>
    <xf numFmtId="0" fontId="4" fillId="0" borderId="0" xfId="2" applyFont="1" applyFill="1" applyBorder="1" applyAlignment="1">
      <alignment horizontal="justify" vertical="top"/>
    </xf>
    <xf numFmtId="0" fontId="4" fillId="0" borderId="54" xfId="2" applyFont="1" applyFill="1" applyBorder="1">
      <alignment horizontal="justify" vertical="top" wrapText="1"/>
    </xf>
    <xf numFmtId="0" fontId="4" fillId="0" borderId="44" xfId="2" applyFont="1" applyFill="1" applyBorder="1">
      <alignment horizontal="justify" vertical="top" wrapText="1"/>
    </xf>
    <xf numFmtId="0" fontId="3" fillId="0" borderId="35" xfId="2" applyFont="1" applyFill="1" applyBorder="1" applyAlignment="1">
      <alignment horizontal="center"/>
    </xf>
    <xf numFmtId="0" fontId="8" fillId="0" borderId="36" xfId="2" applyFont="1" applyBorder="1" applyAlignment="1">
      <alignment horizontal="justify" wrapText="1"/>
    </xf>
    <xf numFmtId="0" fontId="8" fillId="0" borderId="36" xfId="2" applyFont="1" applyFill="1" applyBorder="1" applyAlignment="1">
      <alignment horizontal="justify" vertical="top" wrapText="1"/>
    </xf>
    <xf numFmtId="1" fontId="8" fillId="0" borderId="36" xfId="2" applyNumberFormat="1" applyFont="1" applyFill="1" applyBorder="1" applyAlignment="1">
      <alignment horizontal="center"/>
    </xf>
    <xf numFmtId="3" fontId="8" fillId="0" borderId="36" xfId="1" applyNumberFormat="1" applyFont="1" applyFill="1" applyBorder="1" applyAlignment="1">
      <alignment horizontal="right" vertical="center"/>
    </xf>
    <xf numFmtId="165" fontId="8" fillId="0" borderId="36" xfId="1" applyNumberFormat="1" applyFont="1" applyFill="1" applyBorder="1" applyAlignment="1"/>
    <xf numFmtId="165" fontId="8" fillId="0" borderId="47" xfId="1" applyNumberFormat="1" applyFont="1" applyBorder="1" applyAlignment="1">
      <alignment vertical="top"/>
    </xf>
    <xf numFmtId="166" fontId="4" fillId="0" borderId="6" xfId="3" applyNumberFormat="1" applyFont="1" applyFill="1" applyBorder="1" applyAlignment="1">
      <alignment horizontal="right" vertical="center"/>
    </xf>
    <xf numFmtId="17" fontId="13" fillId="0" borderId="2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vertical="top" wrapText="1"/>
    </xf>
    <xf numFmtId="0" fontId="10" fillId="0" borderId="31" xfId="0" applyFont="1" applyFill="1" applyBorder="1" applyAlignment="1">
      <alignment horizontal="center" vertical="top" wrapText="1"/>
    </xf>
    <xf numFmtId="0" fontId="11" fillId="4" borderId="32" xfId="0" applyFont="1" applyFill="1" applyBorder="1" applyAlignment="1">
      <alignment horizontal="center" vertical="center" wrapText="1"/>
    </xf>
    <xf numFmtId="0" fontId="11" fillId="4" borderId="33" xfId="0" applyFont="1" applyFill="1" applyBorder="1" applyAlignment="1">
      <alignment horizontal="center" vertical="center" wrapText="1"/>
    </xf>
    <xf numFmtId="0" fontId="11" fillId="4" borderId="34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center" vertical="top" wrapText="1"/>
    </xf>
    <xf numFmtId="0" fontId="4" fillId="0" borderId="32" xfId="0" applyFont="1" applyFill="1" applyBorder="1" applyAlignment="1">
      <alignment horizontal="center" vertical="top" wrapText="1"/>
    </xf>
    <xf numFmtId="0" fontId="4" fillId="0" borderId="33" xfId="0" applyFont="1" applyFill="1" applyBorder="1" applyAlignment="1">
      <alignment horizontal="center" vertical="top" wrapText="1"/>
    </xf>
    <xf numFmtId="0" fontId="4" fillId="0" borderId="34" xfId="0" applyFont="1" applyFill="1" applyBorder="1" applyAlignment="1">
      <alignment horizontal="center" vertical="top" wrapText="1"/>
    </xf>
    <xf numFmtId="0" fontId="6" fillId="0" borderId="32" xfId="6" applyFont="1" applyBorder="1" applyAlignment="1">
      <alignment horizontal="center" wrapText="1"/>
    </xf>
    <xf numFmtId="0" fontId="6" fillId="0" borderId="33" xfId="6" applyFont="1" applyBorder="1" applyAlignment="1">
      <alignment horizontal="center" wrapText="1"/>
    </xf>
    <xf numFmtId="0" fontId="6" fillId="0" borderId="34" xfId="6" applyFont="1" applyBorder="1" applyAlignment="1">
      <alignment horizontal="center" wrapText="1"/>
    </xf>
    <xf numFmtId="0" fontId="4" fillId="0" borderId="57" xfId="0" applyFont="1" applyFill="1" applyBorder="1" applyAlignment="1">
      <alignment horizontal="center" vertical="top" wrapText="1"/>
    </xf>
    <xf numFmtId="0" fontId="4" fillId="0" borderId="58" xfId="0" applyFont="1" applyFill="1" applyBorder="1" applyAlignment="1">
      <alignment horizontal="center" vertical="top" wrapText="1"/>
    </xf>
    <xf numFmtId="0" fontId="4" fillId="0" borderId="59" xfId="0" applyFont="1" applyFill="1" applyBorder="1" applyAlignment="1">
      <alignment horizontal="center" vertical="top" wrapText="1"/>
    </xf>
    <xf numFmtId="166" fontId="4" fillId="0" borderId="6" xfId="4" applyNumberFormat="1" applyFont="1" applyFill="1" applyBorder="1" applyAlignment="1">
      <alignment horizontal="right" vertical="center"/>
    </xf>
    <xf numFmtId="0" fontId="3" fillId="0" borderId="60" xfId="2" applyFont="1" applyFill="1" applyBorder="1" applyAlignment="1">
      <alignment horizontal="center"/>
    </xf>
    <xf numFmtId="0" fontId="3" fillId="0" borderId="9" xfId="2" applyFont="1" applyFill="1" applyBorder="1" applyAlignment="1">
      <alignment horizontal="justify" wrapText="1"/>
    </xf>
    <xf numFmtId="0" fontId="5" fillId="0" borderId="23" xfId="2" applyFont="1" applyFill="1" applyBorder="1" applyAlignment="1">
      <alignment horizontal="justify"/>
    </xf>
    <xf numFmtId="0" fontId="4" fillId="0" borderId="23" xfId="2" applyFont="1" applyFill="1" applyBorder="1" applyAlignment="1">
      <alignment horizontal="justify" wrapText="1"/>
    </xf>
    <xf numFmtId="1" fontId="4" fillId="0" borderId="23" xfId="2" applyNumberFormat="1" applyFont="1" applyFill="1" applyBorder="1" applyAlignment="1">
      <alignment horizontal="center"/>
    </xf>
    <xf numFmtId="3" fontId="4" fillId="0" borderId="23" xfId="1" applyNumberFormat="1" applyFont="1" applyFill="1" applyBorder="1" applyAlignment="1">
      <alignment horizontal="right" vertical="center"/>
    </xf>
    <xf numFmtId="165" fontId="4" fillId="0" borderId="24" xfId="1" applyNumberFormat="1" applyFont="1" applyFill="1" applyBorder="1" applyAlignment="1"/>
    <xf numFmtId="165" fontId="4" fillId="0" borderId="17" xfId="1" applyNumberFormat="1" applyFont="1" applyFill="1" applyBorder="1" applyAlignment="1"/>
  </cellXfs>
  <cellStyles count="7">
    <cellStyle name="Comma" xfId="1" builtinId="3"/>
    <cellStyle name="Comma 10" xfId="4"/>
    <cellStyle name="Comma 6 17" xfId="5"/>
    <cellStyle name="Comma_Blank B.Q - Tile Center Limited" xfId="3"/>
    <cellStyle name="Normal" xfId="0" builtinId="0"/>
    <cellStyle name="Normal 18" xfId="6"/>
    <cellStyle name="Normal_Bills of Quantities - unpriced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2" name="Text Box 1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3" name="Text Box 2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4" name="Text Box 3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5" name="Text Box 4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6" name="Text Box 5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7" name="Text Box 6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8" name="Text Box 7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9" name="Text Box 8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0" name="Text Box 9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1" name="Text Box 10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2" name="Text Box 11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3" name="Text Box 12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4" name="Text Box 13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5" name="Text Box 14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6" name="Text Box 15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7" name="Text Box 16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8" name="Text Box 17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19" name="Text Box 18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20" name="Text Box 19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21" name="Text Box 20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22" name="Text Box 21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23" name="Text Box 22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24" name="Text Box 23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21373</xdr:colOff>
      <xdr:row>128</xdr:row>
      <xdr:rowOff>85727</xdr:rowOff>
    </xdr:to>
    <xdr:sp macro="" textlink="">
      <xdr:nvSpPr>
        <xdr:cNvPr id="25" name="Text Box 24"/>
        <xdr:cNvSpPr txBox="1">
          <a:spLocks noChangeArrowheads="1"/>
        </xdr:cNvSpPr>
      </xdr:nvSpPr>
      <xdr:spPr>
        <a:xfrm>
          <a:off x="2952750" y="39195375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26" name="Text Box 1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27" name="Text Box 2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28" name="Text Box 3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29" name="Text Box 4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0" name="Text Box 5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1" name="Text Box 6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2" name="Text Box 7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3" name="Text Box 8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4" name="Text Box 9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5" name="Text Box 10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6" name="Text Box 11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7" name="Text Box 12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8" name="Text Box 13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39" name="Text Box 14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0" name="Text Box 15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1" name="Text Box 16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2" name="Text Box 17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3" name="Text Box 18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4" name="Text Box 19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5" name="Text Box 20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6" name="Text Box 21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7" name="Text Box 22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8" name="Text Box 23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127</xdr:row>
      <xdr:rowOff>0</xdr:rowOff>
    </xdr:from>
    <xdr:to>
      <xdr:col>4</xdr:col>
      <xdr:colOff>22239</xdr:colOff>
      <xdr:row>130</xdr:row>
      <xdr:rowOff>47628</xdr:rowOff>
    </xdr:to>
    <xdr:sp macro="" textlink="">
      <xdr:nvSpPr>
        <xdr:cNvPr id="49" name="Text Box 24"/>
        <xdr:cNvSpPr txBox="1">
          <a:spLocks noChangeArrowheads="1"/>
        </xdr:cNvSpPr>
      </xdr:nvSpPr>
      <xdr:spPr>
        <a:xfrm>
          <a:off x="2952750" y="39195375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2" name="Text Box 1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3" name="Text Box 2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4" name="Text Box 3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5" name="Text Box 4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6" name="Text Box 5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7" name="Text Box 6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8" name="Text Box 7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9" name="Text Box 8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0" name="Text Box 9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1" name="Text Box 10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2" name="Text Box 11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3" name="Text Box 12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4" name="Text Box 13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5" name="Text Box 14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6" name="Text Box 15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7" name="Text Box 16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8" name="Text Box 17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19" name="Text Box 18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20" name="Text Box 19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21" name="Text Box 20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22" name="Text Box 21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23" name="Text Box 22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24" name="Text Box 23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21373</xdr:colOff>
      <xdr:row>127</xdr:row>
      <xdr:rowOff>2</xdr:rowOff>
    </xdr:to>
    <xdr:sp macro="" textlink="">
      <xdr:nvSpPr>
        <xdr:cNvPr id="25" name="Text Box 24"/>
        <xdr:cNvSpPr txBox="1">
          <a:spLocks noChangeArrowheads="1"/>
        </xdr:cNvSpPr>
      </xdr:nvSpPr>
      <xdr:spPr>
        <a:xfrm>
          <a:off x="2952750" y="42462450"/>
          <a:ext cx="21373" cy="27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26" name="Text Box 1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27" name="Text Box 2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28" name="Text Box 3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29" name="Text Box 4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0" name="Text Box 5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1" name="Text Box 6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2" name="Text Box 7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3" name="Text Box 8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4" name="Text Box 9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5" name="Text Box 10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6" name="Text Box 11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7" name="Text Box 12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8" name="Text Box 13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39" name="Text Box 14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0" name="Text Box 15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1" name="Text Box 16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2" name="Text Box 17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3" name="Text Box 18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4" name="Text Box 19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5" name="Text Box 20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6" name="Text Box 21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7" name="Text Box 22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8" name="Text Box 23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3190875</xdr:colOff>
      <xdr:row>126</xdr:row>
      <xdr:rowOff>0</xdr:rowOff>
    </xdr:from>
    <xdr:to>
      <xdr:col>4</xdr:col>
      <xdr:colOff>22239</xdr:colOff>
      <xdr:row>128</xdr:row>
      <xdr:rowOff>66679</xdr:rowOff>
    </xdr:to>
    <xdr:sp macro="" textlink="">
      <xdr:nvSpPr>
        <xdr:cNvPr id="49" name="Text Box 24"/>
        <xdr:cNvSpPr txBox="1">
          <a:spLocks noChangeArrowheads="1"/>
        </xdr:cNvSpPr>
      </xdr:nvSpPr>
      <xdr:spPr>
        <a:xfrm>
          <a:off x="2952750" y="35833050"/>
          <a:ext cx="22239" cy="619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Q34"/>
  <sheetViews>
    <sheetView view="pageBreakPreview" topLeftCell="A7" zoomScale="60" zoomScaleNormal="100" workbookViewId="0">
      <selection activeCell="Z12" sqref="Z12"/>
    </sheetView>
  </sheetViews>
  <sheetFormatPr defaultColWidth="9" defaultRowHeight="15" x14ac:dyDescent="0.25"/>
  <cols>
    <col min="1" max="2" width="0.7109375" style="117" customWidth="1"/>
    <col min="3" max="3" width="1.42578125" style="117" customWidth="1"/>
    <col min="4" max="4" width="0.7109375" style="117" customWidth="1"/>
    <col min="5" max="5" width="3.7109375" style="117" customWidth="1"/>
    <col min="6" max="6" width="16.7109375" style="117" customWidth="1"/>
    <col min="7" max="7" width="1.7109375" style="117" customWidth="1"/>
    <col min="8" max="8" width="6.140625" style="117" customWidth="1"/>
    <col min="9" max="9" width="9.140625" style="117" hidden="1" customWidth="1"/>
    <col min="10" max="10" width="1" style="117" customWidth="1"/>
    <col min="11" max="11" width="10" style="117" customWidth="1"/>
    <col min="12" max="12" width="6.7109375" style="117" customWidth="1"/>
    <col min="13" max="13" width="6.42578125" style="117" customWidth="1"/>
    <col min="14" max="14" width="5.140625" style="117" customWidth="1"/>
    <col min="15" max="15" width="10.42578125" style="117" customWidth="1"/>
    <col min="16" max="16" width="9.140625" style="117" customWidth="1"/>
    <col min="17" max="17" width="3.5703125" style="117" customWidth="1"/>
    <col min="18" max="18" width="0.7109375" style="117" customWidth="1"/>
    <col min="19" max="19" width="1.42578125" style="97" customWidth="1"/>
    <col min="20" max="21" width="0.7109375" style="86" customWidth="1"/>
    <col min="257" max="258" width="0.7109375" customWidth="1"/>
    <col min="259" max="259" width="1.42578125" customWidth="1"/>
    <col min="260" max="260" width="0.7109375" customWidth="1"/>
    <col min="261" max="261" width="3.7109375" customWidth="1"/>
    <col min="262" max="262" width="16.7109375" customWidth="1"/>
    <col min="263" max="263" width="1.7109375" customWidth="1"/>
    <col min="264" max="264" width="6.140625" customWidth="1"/>
    <col min="265" max="265" width="9" hidden="1" customWidth="1"/>
    <col min="266" max="266" width="1" customWidth="1"/>
    <col min="267" max="267" width="10" customWidth="1"/>
    <col min="268" max="268" width="6.7109375" customWidth="1"/>
    <col min="269" max="269" width="6.42578125" customWidth="1"/>
    <col min="270" max="270" width="5.140625" customWidth="1"/>
    <col min="271" max="271" width="10.42578125" customWidth="1"/>
    <col min="272" max="272" width="9.140625" customWidth="1"/>
    <col min="273" max="273" width="3.5703125" customWidth="1"/>
    <col min="274" max="274" width="0.7109375" customWidth="1"/>
    <col min="275" max="275" width="1.42578125" customWidth="1"/>
    <col min="276" max="277" width="0.7109375" customWidth="1"/>
    <col min="513" max="514" width="0.7109375" customWidth="1"/>
    <col min="515" max="515" width="1.42578125" customWidth="1"/>
    <col min="516" max="516" width="0.7109375" customWidth="1"/>
    <col min="517" max="517" width="3.7109375" customWidth="1"/>
    <col min="518" max="518" width="16.7109375" customWidth="1"/>
    <col min="519" max="519" width="1.7109375" customWidth="1"/>
    <col min="520" max="520" width="6.140625" customWidth="1"/>
    <col min="521" max="521" width="9" hidden="1" customWidth="1"/>
    <col min="522" max="522" width="1" customWidth="1"/>
    <col min="523" max="523" width="10" customWidth="1"/>
    <col min="524" max="524" width="6.7109375" customWidth="1"/>
    <col min="525" max="525" width="6.42578125" customWidth="1"/>
    <col min="526" max="526" width="5.140625" customWidth="1"/>
    <col min="527" max="527" width="10.42578125" customWidth="1"/>
    <col min="528" max="528" width="9.140625" customWidth="1"/>
    <col min="529" max="529" width="3.5703125" customWidth="1"/>
    <col min="530" max="530" width="0.7109375" customWidth="1"/>
    <col min="531" max="531" width="1.42578125" customWidth="1"/>
    <col min="532" max="533" width="0.7109375" customWidth="1"/>
    <col min="769" max="770" width="0.7109375" customWidth="1"/>
    <col min="771" max="771" width="1.42578125" customWidth="1"/>
    <col min="772" max="772" width="0.7109375" customWidth="1"/>
    <col min="773" max="773" width="3.7109375" customWidth="1"/>
    <col min="774" max="774" width="16.7109375" customWidth="1"/>
    <col min="775" max="775" width="1.7109375" customWidth="1"/>
    <col min="776" max="776" width="6.140625" customWidth="1"/>
    <col min="777" max="777" width="9" hidden="1" customWidth="1"/>
    <col min="778" max="778" width="1" customWidth="1"/>
    <col min="779" max="779" width="10" customWidth="1"/>
    <col min="780" max="780" width="6.7109375" customWidth="1"/>
    <col min="781" max="781" width="6.42578125" customWidth="1"/>
    <col min="782" max="782" width="5.140625" customWidth="1"/>
    <col min="783" max="783" width="10.42578125" customWidth="1"/>
    <col min="784" max="784" width="9.140625" customWidth="1"/>
    <col min="785" max="785" width="3.5703125" customWidth="1"/>
    <col min="786" max="786" width="0.7109375" customWidth="1"/>
    <col min="787" max="787" width="1.42578125" customWidth="1"/>
    <col min="788" max="789" width="0.7109375" customWidth="1"/>
    <col min="1025" max="1026" width="0.7109375" customWidth="1"/>
    <col min="1027" max="1027" width="1.42578125" customWidth="1"/>
    <col min="1028" max="1028" width="0.7109375" customWidth="1"/>
    <col min="1029" max="1029" width="3.7109375" customWidth="1"/>
    <col min="1030" max="1030" width="16.7109375" customWidth="1"/>
    <col min="1031" max="1031" width="1.7109375" customWidth="1"/>
    <col min="1032" max="1032" width="6.140625" customWidth="1"/>
    <col min="1033" max="1033" width="9" hidden="1" customWidth="1"/>
    <col min="1034" max="1034" width="1" customWidth="1"/>
    <col min="1035" max="1035" width="10" customWidth="1"/>
    <col min="1036" max="1036" width="6.7109375" customWidth="1"/>
    <col min="1037" max="1037" width="6.42578125" customWidth="1"/>
    <col min="1038" max="1038" width="5.140625" customWidth="1"/>
    <col min="1039" max="1039" width="10.42578125" customWidth="1"/>
    <col min="1040" max="1040" width="9.140625" customWidth="1"/>
    <col min="1041" max="1041" width="3.5703125" customWidth="1"/>
    <col min="1042" max="1042" width="0.7109375" customWidth="1"/>
    <col min="1043" max="1043" width="1.42578125" customWidth="1"/>
    <col min="1044" max="1045" width="0.7109375" customWidth="1"/>
    <col min="1281" max="1282" width="0.7109375" customWidth="1"/>
    <col min="1283" max="1283" width="1.42578125" customWidth="1"/>
    <col min="1284" max="1284" width="0.7109375" customWidth="1"/>
    <col min="1285" max="1285" width="3.7109375" customWidth="1"/>
    <col min="1286" max="1286" width="16.7109375" customWidth="1"/>
    <col min="1287" max="1287" width="1.7109375" customWidth="1"/>
    <col min="1288" max="1288" width="6.140625" customWidth="1"/>
    <col min="1289" max="1289" width="9" hidden="1" customWidth="1"/>
    <col min="1290" max="1290" width="1" customWidth="1"/>
    <col min="1291" max="1291" width="10" customWidth="1"/>
    <col min="1292" max="1292" width="6.7109375" customWidth="1"/>
    <col min="1293" max="1293" width="6.42578125" customWidth="1"/>
    <col min="1294" max="1294" width="5.140625" customWidth="1"/>
    <col min="1295" max="1295" width="10.42578125" customWidth="1"/>
    <col min="1296" max="1296" width="9.140625" customWidth="1"/>
    <col min="1297" max="1297" width="3.5703125" customWidth="1"/>
    <col min="1298" max="1298" width="0.7109375" customWidth="1"/>
    <col min="1299" max="1299" width="1.42578125" customWidth="1"/>
    <col min="1300" max="1301" width="0.7109375" customWidth="1"/>
    <col min="1537" max="1538" width="0.7109375" customWidth="1"/>
    <col min="1539" max="1539" width="1.42578125" customWidth="1"/>
    <col min="1540" max="1540" width="0.7109375" customWidth="1"/>
    <col min="1541" max="1541" width="3.7109375" customWidth="1"/>
    <col min="1542" max="1542" width="16.7109375" customWidth="1"/>
    <col min="1543" max="1543" width="1.7109375" customWidth="1"/>
    <col min="1544" max="1544" width="6.140625" customWidth="1"/>
    <col min="1545" max="1545" width="9" hidden="1" customWidth="1"/>
    <col min="1546" max="1546" width="1" customWidth="1"/>
    <col min="1547" max="1547" width="10" customWidth="1"/>
    <col min="1548" max="1548" width="6.7109375" customWidth="1"/>
    <col min="1549" max="1549" width="6.42578125" customWidth="1"/>
    <col min="1550" max="1550" width="5.140625" customWidth="1"/>
    <col min="1551" max="1551" width="10.42578125" customWidth="1"/>
    <col min="1552" max="1552" width="9.140625" customWidth="1"/>
    <col min="1553" max="1553" width="3.5703125" customWidth="1"/>
    <col min="1554" max="1554" width="0.7109375" customWidth="1"/>
    <col min="1555" max="1555" width="1.42578125" customWidth="1"/>
    <col min="1556" max="1557" width="0.7109375" customWidth="1"/>
    <col min="1793" max="1794" width="0.7109375" customWidth="1"/>
    <col min="1795" max="1795" width="1.42578125" customWidth="1"/>
    <col min="1796" max="1796" width="0.7109375" customWidth="1"/>
    <col min="1797" max="1797" width="3.7109375" customWidth="1"/>
    <col min="1798" max="1798" width="16.7109375" customWidth="1"/>
    <col min="1799" max="1799" width="1.7109375" customWidth="1"/>
    <col min="1800" max="1800" width="6.140625" customWidth="1"/>
    <col min="1801" max="1801" width="9" hidden="1" customWidth="1"/>
    <col min="1802" max="1802" width="1" customWidth="1"/>
    <col min="1803" max="1803" width="10" customWidth="1"/>
    <col min="1804" max="1804" width="6.7109375" customWidth="1"/>
    <col min="1805" max="1805" width="6.42578125" customWidth="1"/>
    <col min="1806" max="1806" width="5.140625" customWidth="1"/>
    <col min="1807" max="1807" width="10.42578125" customWidth="1"/>
    <col min="1808" max="1808" width="9.140625" customWidth="1"/>
    <col min="1809" max="1809" width="3.5703125" customWidth="1"/>
    <col min="1810" max="1810" width="0.7109375" customWidth="1"/>
    <col min="1811" max="1811" width="1.42578125" customWidth="1"/>
    <col min="1812" max="1813" width="0.7109375" customWidth="1"/>
    <col min="2049" max="2050" width="0.7109375" customWidth="1"/>
    <col min="2051" max="2051" width="1.42578125" customWidth="1"/>
    <col min="2052" max="2052" width="0.7109375" customWidth="1"/>
    <col min="2053" max="2053" width="3.7109375" customWidth="1"/>
    <col min="2054" max="2054" width="16.7109375" customWidth="1"/>
    <col min="2055" max="2055" width="1.7109375" customWidth="1"/>
    <col min="2056" max="2056" width="6.140625" customWidth="1"/>
    <col min="2057" max="2057" width="9" hidden="1" customWidth="1"/>
    <col min="2058" max="2058" width="1" customWidth="1"/>
    <col min="2059" max="2059" width="10" customWidth="1"/>
    <col min="2060" max="2060" width="6.7109375" customWidth="1"/>
    <col min="2061" max="2061" width="6.42578125" customWidth="1"/>
    <col min="2062" max="2062" width="5.140625" customWidth="1"/>
    <col min="2063" max="2063" width="10.42578125" customWidth="1"/>
    <col min="2064" max="2064" width="9.140625" customWidth="1"/>
    <col min="2065" max="2065" width="3.5703125" customWidth="1"/>
    <col min="2066" max="2066" width="0.7109375" customWidth="1"/>
    <col min="2067" max="2067" width="1.42578125" customWidth="1"/>
    <col min="2068" max="2069" width="0.7109375" customWidth="1"/>
    <col min="2305" max="2306" width="0.7109375" customWidth="1"/>
    <col min="2307" max="2307" width="1.42578125" customWidth="1"/>
    <col min="2308" max="2308" width="0.7109375" customWidth="1"/>
    <col min="2309" max="2309" width="3.7109375" customWidth="1"/>
    <col min="2310" max="2310" width="16.7109375" customWidth="1"/>
    <col min="2311" max="2311" width="1.7109375" customWidth="1"/>
    <col min="2312" max="2312" width="6.140625" customWidth="1"/>
    <col min="2313" max="2313" width="9" hidden="1" customWidth="1"/>
    <col min="2314" max="2314" width="1" customWidth="1"/>
    <col min="2315" max="2315" width="10" customWidth="1"/>
    <col min="2316" max="2316" width="6.7109375" customWidth="1"/>
    <col min="2317" max="2317" width="6.42578125" customWidth="1"/>
    <col min="2318" max="2318" width="5.140625" customWidth="1"/>
    <col min="2319" max="2319" width="10.42578125" customWidth="1"/>
    <col min="2320" max="2320" width="9.140625" customWidth="1"/>
    <col min="2321" max="2321" width="3.5703125" customWidth="1"/>
    <col min="2322" max="2322" width="0.7109375" customWidth="1"/>
    <col min="2323" max="2323" width="1.42578125" customWidth="1"/>
    <col min="2324" max="2325" width="0.7109375" customWidth="1"/>
    <col min="2561" max="2562" width="0.7109375" customWidth="1"/>
    <col min="2563" max="2563" width="1.42578125" customWidth="1"/>
    <col min="2564" max="2564" width="0.7109375" customWidth="1"/>
    <col min="2565" max="2565" width="3.7109375" customWidth="1"/>
    <col min="2566" max="2566" width="16.7109375" customWidth="1"/>
    <col min="2567" max="2567" width="1.7109375" customWidth="1"/>
    <col min="2568" max="2568" width="6.140625" customWidth="1"/>
    <col min="2569" max="2569" width="9" hidden="1" customWidth="1"/>
    <col min="2570" max="2570" width="1" customWidth="1"/>
    <col min="2571" max="2571" width="10" customWidth="1"/>
    <col min="2572" max="2572" width="6.7109375" customWidth="1"/>
    <col min="2573" max="2573" width="6.42578125" customWidth="1"/>
    <col min="2574" max="2574" width="5.140625" customWidth="1"/>
    <col min="2575" max="2575" width="10.42578125" customWidth="1"/>
    <col min="2576" max="2576" width="9.140625" customWidth="1"/>
    <col min="2577" max="2577" width="3.5703125" customWidth="1"/>
    <col min="2578" max="2578" width="0.7109375" customWidth="1"/>
    <col min="2579" max="2579" width="1.42578125" customWidth="1"/>
    <col min="2580" max="2581" width="0.7109375" customWidth="1"/>
    <col min="2817" max="2818" width="0.7109375" customWidth="1"/>
    <col min="2819" max="2819" width="1.42578125" customWidth="1"/>
    <col min="2820" max="2820" width="0.7109375" customWidth="1"/>
    <col min="2821" max="2821" width="3.7109375" customWidth="1"/>
    <col min="2822" max="2822" width="16.7109375" customWidth="1"/>
    <col min="2823" max="2823" width="1.7109375" customWidth="1"/>
    <col min="2824" max="2824" width="6.140625" customWidth="1"/>
    <col min="2825" max="2825" width="9" hidden="1" customWidth="1"/>
    <col min="2826" max="2826" width="1" customWidth="1"/>
    <col min="2827" max="2827" width="10" customWidth="1"/>
    <col min="2828" max="2828" width="6.7109375" customWidth="1"/>
    <col min="2829" max="2829" width="6.42578125" customWidth="1"/>
    <col min="2830" max="2830" width="5.140625" customWidth="1"/>
    <col min="2831" max="2831" width="10.42578125" customWidth="1"/>
    <col min="2832" max="2832" width="9.140625" customWidth="1"/>
    <col min="2833" max="2833" width="3.5703125" customWidth="1"/>
    <col min="2834" max="2834" width="0.7109375" customWidth="1"/>
    <col min="2835" max="2835" width="1.42578125" customWidth="1"/>
    <col min="2836" max="2837" width="0.7109375" customWidth="1"/>
    <col min="3073" max="3074" width="0.7109375" customWidth="1"/>
    <col min="3075" max="3075" width="1.42578125" customWidth="1"/>
    <col min="3076" max="3076" width="0.7109375" customWidth="1"/>
    <col min="3077" max="3077" width="3.7109375" customWidth="1"/>
    <col min="3078" max="3078" width="16.7109375" customWidth="1"/>
    <col min="3079" max="3079" width="1.7109375" customWidth="1"/>
    <col min="3080" max="3080" width="6.140625" customWidth="1"/>
    <col min="3081" max="3081" width="9" hidden="1" customWidth="1"/>
    <col min="3082" max="3082" width="1" customWidth="1"/>
    <col min="3083" max="3083" width="10" customWidth="1"/>
    <col min="3084" max="3084" width="6.7109375" customWidth="1"/>
    <col min="3085" max="3085" width="6.42578125" customWidth="1"/>
    <col min="3086" max="3086" width="5.140625" customWidth="1"/>
    <col min="3087" max="3087" width="10.42578125" customWidth="1"/>
    <col min="3088" max="3088" width="9.140625" customWidth="1"/>
    <col min="3089" max="3089" width="3.5703125" customWidth="1"/>
    <col min="3090" max="3090" width="0.7109375" customWidth="1"/>
    <col min="3091" max="3091" width="1.42578125" customWidth="1"/>
    <col min="3092" max="3093" width="0.7109375" customWidth="1"/>
    <col min="3329" max="3330" width="0.7109375" customWidth="1"/>
    <col min="3331" max="3331" width="1.42578125" customWidth="1"/>
    <col min="3332" max="3332" width="0.7109375" customWidth="1"/>
    <col min="3333" max="3333" width="3.7109375" customWidth="1"/>
    <col min="3334" max="3334" width="16.7109375" customWidth="1"/>
    <col min="3335" max="3335" width="1.7109375" customWidth="1"/>
    <col min="3336" max="3336" width="6.140625" customWidth="1"/>
    <col min="3337" max="3337" width="9" hidden="1" customWidth="1"/>
    <col min="3338" max="3338" width="1" customWidth="1"/>
    <col min="3339" max="3339" width="10" customWidth="1"/>
    <col min="3340" max="3340" width="6.7109375" customWidth="1"/>
    <col min="3341" max="3341" width="6.42578125" customWidth="1"/>
    <col min="3342" max="3342" width="5.140625" customWidth="1"/>
    <col min="3343" max="3343" width="10.42578125" customWidth="1"/>
    <col min="3344" max="3344" width="9.140625" customWidth="1"/>
    <col min="3345" max="3345" width="3.5703125" customWidth="1"/>
    <col min="3346" max="3346" width="0.7109375" customWidth="1"/>
    <col min="3347" max="3347" width="1.42578125" customWidth="1"/>
    <col min="3348" max="3349" width="0.7109375" customWidth="1"/>
    <col min="3585" max="3586" width="0.7109375" customWidth="1"/>
    <col min="3587" max="3587" width="1.42578125" customWidth="1"/>
    <col min="3588" max="3588" width="0.7109375" customWidth="1"/>
    <col min="3589" max="3589" width="3.7109375" customWidth="1"/>
    <col min="3590" max="3590" width="16.7109375" customWidth="1"/>
    <col min="3591" max="3591" width="1.7109375" customWidth="1"/>
    <col min="3592" max="3592" width="6.140625" customWidth="1"/>
    <col min="3593" max="3593" width="9" hidden="1" customWidth="1"/>
    <col min="3594" max="3594" width="1" customWidth="1"/>
    <col min="3595" max="3595" width="10" customWidth="1"/>
    <col min="3596" max="3596" width="6.7109375" customWidth="1"/>
    <col min="3597" max="3597" width="6.42578125" customWidth="1"/>
    <col min="3598" max="3598" width="5.140625" customWidth="1"/>
    <col min="3599" max="3599" width="10.42578125" customWidth="1"/>
    <col min="3600" max="3600" width="9.140625" customWidth="1"/>
    <col min="3601" max="3601" width="3.5703125" customWidth="1"/>
    <col min="3602" max="3602" width="0.7109375" customWidth="1"/>
    <col min="3603" max="3603" width="1.42578125" customWidth="1"/>
    <col min="3604" max="3605" width="0.7109375" customWidth="1"/>
    <col min="3841" max="3842" width="0.7109375" customWidth="1"/>
    <col min="3843" max="3843" width="1.42578125" customWidth="1"/>
    <col min="3844" max="3844" width="0.7109375" customWidth="1"/>
    <col min="3845" max="3845" width="3.7109375" customWidth="1"/>
    <col min="3846" max="3846" width="16.7109375" customWidth="1"/>
    <col min="3847" max="3847" width="1.7109375" customWidth="1"/>
    <col min="3848" max="3848" width="6.140625" customWidth="1"/>
    <col min="3849" max="3849" width="9" hidden="1" customWidth="1"/>
    <col min="3850" max="3850" width="1" customWidth="1"/>
    <col min="3851" max="3851" width="10" customWidth="1"/>
    <col min="3852" max="3852" width="6.7109375" customWidth="1"/>
    <col min="3853" max="3853" width="6.42578125" customWidth="1"/>
    <col min="3854" max="3854" width="5.140625" customWidth="1"/>
    <col min="3855" max="3855" width="10.42578125" customWidth="1"/>
    <col min="3856" max="3856" width="9.140625" customWidth="1"/>
    <col min="3857" max="3857" width="3.5703125" customWidth="1"/>
    <col min="3858" max="3858" width="0.7109375" customWidth="1"/>
    <col min="3859" max="3859" width="1.42578125" customWidth="1"/>
    <col min="3860" max="3861" width="0.7109375" customWidth="1"/>
    <col min="4097" max="4098" width="0.7109375" customWidth="1"/>
    <col min="4099" max="4099" width="1.42578125" customWidth="1"/>
    <col min="4100" max="4100" width="0.7109375" customWidth="1"/>
    <col min="4101" max="4101" width="3.7109375" customWidth="1"/>
    <col min="4102" max="4102" width="16.7109375" customWidth="1"/>
    <col min="4103" max="4103" width="1.7109375" customWidth="1"/>
    <col min="4104" max="4104" width="6.140625" customWidth="1"/>
    <col min="4105" max="4105" width="9" hidden="1" customWidth="1"/>
    <col min="4106" max="4106" width="1" customWidth="1"/>
    <col min="4107" max="4107" width="10" customWidth="1"/>
    <col min="4108" max="4108" width="6.7109375" customWidth="1"/>
    <col min="4109" max="4109" width="6.42578125" customWidth="1"/>
    <col min="4110" max="4110" width="5.140625" customWidth="1"/>
    <col min="4111" max="4111" width="10.42578125" customWidth="1"/>
    <col min="4112" max="4112" width="9.140625" customWidth="1"/>
    <col min="4113" max="4113" width="3.5703125" customWidth="1"/>
    <col min="4114" max="4114" width="0.7109375" customWidth="1"/>
    <col min="4115" max="4115" width="1.42578125" customWidth="1"/>
    <col min="4116" max="4117" width="0.7109375" customWidth="1"/>
    <col min="4353" max="4354" width="0.7109375" customWidth="1"/>
    <col min="4355" max="4355" width="1.42578125" customWidth="1"/>
    <col min="4356" max="4356" width="0.7109375" customWidth="1"/>
    <col min="4357" max="4357" width="3.7109375" customWidth="1"/>
    <col min="4358" max="4358" width="16.7109375" customWidth="1"/>
    <col min="4359" max="4359" width="1.7109375" customWidth="1"/>
    <col min="4360" max="4360" width="6.140625" customWidth="1"/>
    <col min="4361" max="4361" width="9" hidden="1" customWidth="1"/>
    <col min="4362" max="4362" width="1" customWidth="1"/>
    <col min="4363" max="4363" width="10" customWidth="1"/>
    <col min="4364" max="4364" width="6.7109375" customWidth="1"/>
    <col min="4365" max="4365" width="6.42578125" customWidth="1"/>
    <col min="4366" max="4366" width="5.140625" customWidth="1"/>
    <col min="4367" max="4367" width="10.42578125" customWidth="1"/>
    <col min="4368" max="4368" width="9.140625" customWidth="1"/>
    <col min="4369" max="4369" width="3.5703125" customWidth="1"/>
    <col min="4370" max="4370" width="0.7109375" customWidth="1"/>
    <col min="4371" max="4371" width="1.42578125" customWidth="1"/>
    <col min="4372" max="4373" width="0.7109375" customWidth="1"/>
    <col min="4609" max="4610" width="0.7109375" customWidth="1"/>
    <col min="4611" max="4611" width="1.42578125" customWidth="1"/>
    <col min="4612" max="4612" width="0.7109375" customWidth="1"/>
    <col min="4613" max="4613" width="3.7109375" customWidth="1"/>
    <col min="4614" max="4614" width="16.7109375" customWidth="1"/>
    <col min="4615" max="4615" width="1.7109375" customWidth="1"/>
    <col min="4616" max="4616" width="6.140625" customWidth="1"/>
    <col min="4617" max="4617" width="9" hidden="1" customWidth="1"/>
    <col min="4618" max="4618" width="1" customWidth="1"/>
    <col min="4619" max="4619" width="10" customWidth="1"/>
    <col min="4620" max="4620" width="6.7109375" customWidth="1"/>
    <col min="4621" max="4621" width="6.42578125" customWidth="1"/>
    <col min="4622" max="4622" width="5.140625" customWidth="1"/>
    <col min="4623" max="4623" width="10.42578125" customWidth="1"/>
    <col min="4624" max="4624" width="9.140625" customWidth="1"/>
    <col min="4625" max="4625" width="3.5703125" customWidth="1"/>
    <col min="4626" max="4626" width="0.7109375" customWidth="1"/>
    <col min="4627" max="4627" width="1.42578125" customWidth="1"/>
    <col min="4628" max="4629" width="0.7109375" customWidth="1"/>
    <col min="4865" max="4866" width="0.7109375" customWidth="1"/>
    <col min="4867" max="4867" width="1.42578125" customWidth="1"/>
    <col min="4868" max="4868" width="0.7109375" customWidth="1"/>
    <col min="4869" max="4869" width="3.7109375" customWidth="1"/>
    <col min="4870" max="4870" width="16.7109375" customWidth="1"/>
    <col min="4871" max="4871" width="1.7109375" customWidth="1"/>
    <col min="4872" max="4872" width="6.140625" customWidth="1"/>
    <col min="4873" max="4873" width="9" hidden="1" customWidth="1"/>
    <col min="4874" max="4874" width="1" customWidth="1"/>
    <col min="4875" max="4875" width="10" customWidth="1"/>
    <col min="4876" max="4876" width="6.7109375" customWidth="1"/>
    <col min="4877" max="4877" width="6.42578125" customWidth="1"/>
    <col min="4878" max="4878" width="5.140625" customWidth="1"/>
    <col min="4879" max="4879" width="10.42578125" customWidth="1"/>
    <col min="4880" max="4880" width="9.140625" customWidth="1"/>
    <col min="4881" max="4881" width="3.5703125" customWidth="1"/>
    <col min="4882" max="4882" width="0.7109375" customWidth="1"/>
    <col min="4883" max="4883" width="1.42578125" customWidth="1"/>
    <col min="4884" max="4885" width="0.7109375" customWidth="1"/>
    <col min="5121" max="5122" width="0.7109375" customWidth="1"/>
    <col min="5123" max="5123" width="1.42578125" customWidth="1"/>
    <col min="5124" max="5124" width="0.7109375" customWidth="1"/>
    <col min="5125" max="5125" width="3.7109375" customWidth="1"/>
    <col min="5126" max="5126" width="16.7109375" customWidth="1"/>
    <col min="5127" max="5127" width="1.7109375" customWidth="1"/>
    <col min="5128" max="5128" width="6.140625" customWidth="1"/>
    <col min="5129" max="5129" width="9" hidden="1" customWidth="1"/>
    <col min="5130" max="5130" width="1" customWidth="1"/>
    <col min="5131" max="5131" width="10" customWidth="1"/>
    <col min="5132" max="5132" width="6.7109375" customWidth="1"/>
    <col min="5133" max="5133" width="6.42578125" customWidth="1"/>
    <col min="5134" max="5134" width="5.140625" customWidth="1"/>
    <col min="5135" max="5135" width="10.42578125" customWidth="1"/>
    <col min="5136" max="5136" width="9.140625" customWidth="1"/>
    <col min="5137" max="5137" width="3.5703125" customWidth="1"/>
    <col min="5138" max="5138" width="0.7109375" customWidth="1"/>
    <col min="5139" max="5139" width="1.42578125" customWidth="1"/>
    <col min="5140" max="5141" width="0.7109375" customWidth="1"/>
    <col min="5377" max="5378" width="0.7109375" customWidth="1"/>
    <col min="5379" max="5379" width="1.42578125" customWidth="1"/>
    <col min="5380" max="5380" width="0.7109375" customWidth="1"/>
    <col min="5381" max="5381" width="3.7109375" customWidth="1"/>
    <col min="5382" max="5382" width="16.7109375" customWidth="1"/>
    <col min="5383" max="5383" width="1.7109375" customWidth="1"/>
    <col min="5384" max="5384" width="6.140625" customWidth="1"/>
    <col min="5385" max="5385" width="9" hidden="1" customWidth="1"/>
    <col min="5386" max="5386" width="1" customWidth="1"/>
    <col min="5387" max="5387" width="10" customWidth="1"/>
    <col min="5388" max="5388" width="6.7109375" customWidth="1"/>
    <col min="5389" max="5389" width="6.42578125" customWidth="1"/>
    <col min="5390" max="5390" width="5.140625" customWidth="1"/>
    <col min="5391" max="5391" width="10.42578125" customWidth="1"/>
    <col min="5392" max="5392" width="9.140625" customWidth="1"/>
    <col min="5393" max="5393" width="3.5703125" customWidth="1"/>
    <col min="5394" max="5394" width="0.7109375" customWidth="1"/>
    <col min="5395" max="5395" width="1.42578125" customWidth="1"/>
    <col min="5396" max="5397" width="0.7109375" customWidth="1"/>
    <col min="5633" max="5634" width="0.7109375" customWidth="1"/>
    <col min="5635" max="5635" width="1.42578125" customWidth="1"/>
    <col min="5636" max="5636" width="0.7109375" customWidth="1"/>
    <col min="5637" max="5637" width="3.7109375" customWidth="1"/>
    <col min="5638" max="5638" width="16.7109375" customWidth="1"/>
    <col min="5639" max="5639" width="1.7109375" customWidth="1"/>
    <col min="5640" max="5640" width="6.140625" customWidth="1"/>
    <col min="5641" max="5641" width="9" hidden="1" customWidth="1"/>
    <col min="5642" max="5642" width="1" customWidth="1"/>
    <col min="5643" max="5643" width="10" customWidth="1"/>
    <col min="5644" max="5644" width="6.7109375" customWidth="1"/>
    <col min="5645" max="5645" width="6.42578125" customWidth="1"/>
    <col min="5646" max="5646" width="5.140625" customWidth="1"/>
    <col min="5647" max="5647" width="10.42578125" customWidth="1"/>
    <col min="5648" max="5648" width="9.140625" customWidth="1"/>
    <col min="5649" max="5649" width="3.5703125" customWidth="1"/>
    <col min="5650" max="5650" width="0.7109375" customWidth="1"/>
    <col min="5651" max="5651" width="1.42578125" customWidth="1"/>
    <col min="5652" max="5653" width="0.7109375" customWidth="1"/>
    <col min="5889" max="5890" width="0.7109375" customWidth="1"/>
    <col min="5891" max="5891" width="1.42578125" customWidth="1"/>
    <col min="5892" max="5892" width="0.7109375" customWidth="1"/>
    <col min="5893" max="5893" width="3.7109375" customWidth="1"/>
    <col min="5894" max="5894" width="16.7109375" customWidth="1"/>
    <col min="5895" max="5895" width="1.7109375" customWidth="1"/>
    <col min="5896" max="5896" width="6.140625" customWidth="1"/>
    <col min="5897" max="5897" width="9" hidden="1" customWidth="1"/>
    <col min="5898" max="5898" width="1" customWidth="1"/>
    <col min="5899" max="5899" width="10" customWidth="1"/>
    <col min="5900" max="5900" width="6.7109375" customWidth="1"/>
    <col min="5901" max="5901" width="6.42578125" customWidth="1"/>
    <col min="5902" max="5902" width="5.140625" customWidth="1"/>
    <col min="5903" max="5903" width="10.42578125" customWidth="1"/>
    <col min="5904" max="5904" width="9.140625" customWidth="1"/>
    <col min="5905" max="5905" width="3.5703125" customWidth="1"/>
    <col min="5906" max="5906" width="0.7109375" customWidth="1"/>
    <col min="5907" max="5907" width="1.42578125" customWidth="1"/>
    <col min="5908" max="5909" width="0.7109375" customWidth="1"/>
    <col min="6145" max="6146" width="0.7109375" customWidth="1"/>
    <col min="6147" max="6147" width="1.42578125" customWidth="1"/>
    <col min="6148" max="6148" width="0.7109375" customWidth="1"/>
    <col min="6149" max="6149" width="3.7109375" customWidth="1"/>
    <col min="6150" max="6150" width="16.7109375" customWidth="1"/>
    <col min="6151" max="6151" width="1.7109375" customWidth="1"/>
    <col min="6152" max="6152" width="6.140625" customWidth="1"/>
    <col min="6153" max="6153" width="9" hidden="1" customWidth="1"/>
    <col min="6154" max="6154" width="1" customWidth="1"/>
    <col min="6155" max="6155" width="10" customWidth="1"/>
    <col min="6156" max="6156" width="6.7109375" customWidth="1"/>
    <col min="6157" max="6157" width="6.42578125" customWidth="1"/>
    <col min="6158" max="6158" width="5.140625" customWidth="1"/>
    <col min="6159" max="6159" width="10.42578125" customWidth="1"/>
    <col min="6160" max="6160" width="9.140625" customWidth="1"/>
    <col min="6161" max="6161" width="3.5703125" customWidth="1"/>
    <col min="6162" max="6162" width="0.7109375" customWidth="1"/>
    <col min="6163" max="6163" width="1.42578125" customWidth="1"/>
    <col min="6164" max="6165" width="0.7109375" customWidth="1"/>
    <col min="6401" max="6402" width="0.7109375" customWidth="1"/>
    <col min="6403" max="6403" width="1.42578125" customWidth="1"/>
    <col min="6404" max="6404" width="0.7109375" customWidth="1"/>
    <col min="6405" max="6405" width="3.7109375" customWidth="1"/>
    <col min="6406" max="6406" width="16.7109375" customWidth="1"/>
    <col min="6407" max="6407" width="1.7109375" customWidth="1"/>
    <col min="6408" max="6408" width="6.140625" customWidth="1"/>
    <col min="6409" max="6409" width="9" hidden="1" customWidth="1"/>
    <col min="6410" max="6410" width="1" customWidth="1"/>
    <col min="6411" max="6411" width="10" customWidth="1"/>
    <col min="6412" max="6412" width="6.7109375" customWidth="1"/>
    <col min="6413" max="6413" width="6.42578125" customWidth="1"/>
    <col min="6414" max="6414" width="5.140625" customWidth="1"/>
    <col min="6415" max="6415" width="10.42578125" customWidth="1"/>
    <col min="6416" max="6416" width="9.140625" customWidth="1"/>
    <col min="6417" max="6417" width="3.5703125" customWidth="1"/>
    <col min="6418" max="6418" width="0.7109375" customWidth="1"/>
    <col min="6419" max="6419" width="1.42578125" customWidth="1"/>
    <col min="6420" max="6421" width="0.7109375" customWidth="1"/>
    <col min="6657" max="6658" width="0.7109375" customWidth="1"/>
    <col min="6659" max="6659" width="1.42578125" customWidth="1"/>
    <col min="6660" max="6660" width="0.7109375" customWidth="1"/>
    <col min="6661" max="6661" width="3.7109375" customWidth="1"/>
    <col min="6662" max="6662" width="16.7109375" customWidth="1"/>
    <col min="6663" max="6663" width="1.7109375" customWidth="1"/>
    <col min="6664" max="6664" width="6.140625" customWidth="1"/>
    <col min="6665" max="6665" width="9" hidden="1" customWidth="1"/>
    <col min="6666" max="6666" width="1" customWidth="1"/>
    <col min="6667" max="6667" width="10" customWidth="1"/>
    <col min="6668" max="6668" width="6.7109375" customWidth="1"/>
    <col min="6669" max="6669" width="6.42578125" customWidth="1"/>
    <col min="6670" max="6670" width="5.140625" customWidth="1"/>
    <col min="6671" max="6671" width="10.42578125" customWidth="1"/>
    <col min="6672" max="6672" width="9.140625" customWidth="1"/>
    <col min="6673" max="6673" width="3.5703125" customWidth="1"/>
    <col min="6674" max="6674" width="0.7109375" customWidth="1"/>
    <col min="6675" max="6675" width="1.42578125" customWidth="1"/>
    <col min="6676" max="6677" width="0.7109375" customWidth="1"/>
    <col min="6913" max="6914" width="0.7109375" customWidth="1"/>
    <col min="6915" max="6915" width="1.42578125" customWidth="1"/>
    <col min="6916" max="6916" width="0.7109375" customWidth="1"/>
    <col min="6917" max="6917" width="3.7109375" customWidth="1"/>
    <col min="6918" max="6918" width="16.7109375" customWidth="1"/>
    <col min="6919" max="6919" width="1.7109375" customWidth="1"/>
    <col min="6920" max="6920" width="6.140625" customWidth="1"/>
    <col min="6921" max="6921" width="9" hidden="1" customWidth="1"/>
    <col min="6922" max="6922" width="1" customWidth="1"/>
    <col min="6923" max="6923" width="10" customWidth="1"/>
    <col min="6924" max="6924" width="6.7109375" customWidth="1"/>
    <col min="6925" max="6925" width="6.42578125" customWidth="1"/>
    <col min="6926" max="6926" width="5.140625" customWidth="1"/>
    <col min="6927" max="6927" width="10.42578125" customWidth="1"/>
    <col min="6928" max="6928" width="9.140625" customWidth="1"/>
    <col min="6929" max="6929" width="3.5703125" customWidth="1"/>
    <col min="6930" max="6930" width="0.7109375" customWidth="1"/>
    <col min="6931" max="6931" width="1.42578125" customWidth="1"/>
    <col min="6932" max="6933" width="0.7109375" customWidth="1"/>
    <col min="7169" max="7170" width="0.7109375" customWidth="1"/>
    <col min="7171" max="7171" width="1.42578125" customWidth="1"/>
    <col min="7172" max="7172" width="0.7109375" customWidth="1"/>
    <col min="7173" max="7173" width="3.7109375" customWidth="1"/>
    <col min="7174" max="7174" width="16.7109375" customWidth="1"/>
    <col min="7175" max="7175" width="1.7109375" customWidth="1"/>
    <col min="7176" max="7176" width="6.140625" customWidth="1"/>
    <col min="7177" max="7177" width="9" hidden="1" customWidth="1"/>
    <col min="7178" max="7178" width="1" customWidth="1"/>
    <col min="7179" max="7179" width="10" customWidth="1"/>
    <col min="7180" max="7180" width="6.7109375" customWidth="1"/>
    <col min="7181" max="7181" width="6.42578125" customWidth="1"/>
    <col min="7182" max="7182" width="5.140625" customWidth="1"/>
    <col min="7183" max="7183" width="10.42578125" customWidth="1"/>
    <col min="7184" max="7184" width="9.140625" customWidth="1"/>
    <col min="7185" max="7185" width="3.5703125" customWidth="1"/>
    <col min="7186" max="7186" width="0.7109375" customWidth="1"/>
    <col min="7187" max="7187" width="1.42578125" customWidth="1"/>
    <col min="7188" max="7189" width="0.7109375" customWidth="1"/>
    <col min="7425" max="7426" width="0.7109375" customWidth="1"/>
    <col min="7427" max="7427" width="1.42578125" customWidth="1"/>
    <col min="7428" max="7428" width="0.7109375" customWidth="1"/>
    <col min="7429" max="7429" width="3.7109375" customWidth="1"/>
    <col min="7430" max="7430" width="16.7109375" customWidth="1"/>
    <col min="7431" max="7431" width="1.7109375" customWidth="1"/>
    <col min="7432" max="7432" width="6.140625" customWidth="1"/>
    <col min="7433" max="7433" width="9" hidden="1" customWidth="1"/>
    <col min="7434" max="7434" width="1" customWidth="1"/>
    <col min="7435" max="7435" width="10" customWidth="1"/>
    <col min="7436" max="7436" width="6.7109375" customWidth="1"/>
    <col min="7437" max="7437" width="6.42578125" customWidth="1"/>
    <col min="7438" max="7438" width="5.140625" customWidth="1"/>
    <col min="7439" max="7439" width="10.42578125" customWidth="1"/>
    <col min="7440" max="7440" width="9.140625" customWidth="1"/>
    <col min="7441" max="7441" width="3.5703125" customWidth="1"/>
    <col min="7442" max="7442" width="0.7109375" customWidth="1"/>
    <col min="7443" max="7443" width="1.42578125" customWidth="1"/>
    <col min="7444" max="7445" width="0.7109375" customWidth="1"/>
    <col min="7681" max="7682" width="0.7109375" customWidth="1"/>
    <col min="7683" max="7683" width="1.42578125" customWidth="1"/>
    <col min="7684" max="7684" width="0.7109375" customWidth="1"/>
    <col min="7685" max="7685" width="3.7109375" customWidth="1"/>
    <col min="7686" max="7686" width="16.7109375" customWidth="1"/>
    <col min="7687" max="7687" width="1.7109375" customWidth="1"/>
    <col min="7688" max="7688" width="6.140625" customWidth="1"/>
    <col min="7689" max="7689" width="9" hidden="1" customWidth="1"/>
    <col min="7690" max="7690" width="1" customWidth="1"/>
    <col min="7691" max="7691" width="10" customWidth="1"/>
    <col min="7692" max="7692" width="6.7109375" customWidth="1"/>
    <col min="7693" max="7693" width="6.42578125" customWidth="1"/>
    <col min="7694" max="7694" width="5.140625" customWidth="1"/>
    <col min="7695" max="7695" width="10.42578125" customWidth="1"/>
    <col min="7696" max="7696" width="9.140625" customWidth="1"/>
    <col min="7697" max="7697" width="3.5703125" customWidth="1"/>
    <col min="7698" max="7698" width="0.7109375" customWidth="1"/>
    <col min="7699" max="7699" width="1.42578125" customWidth="1"/>
    <col min="7700" max="7701" width="0.7109375" customWidth="1"/>
    <col min="7937" max="7938" width="0.7109375" customWidth="1"/>
    <col min="7939" max="7939" width="1.42578125" customWidth="1"/>
    <col min="7940" max="7940" width="0.7109375" customWidth="1"/>
    <col min="7941" max="7941" width="3.7109375" customWidth="1"/>
    <col min="7942" max="7942" width="16.7109375" customWidth="1"/>
    <col min="7943" max="7943" width="1.7109375" customWidth="1"/>
    <col min="7944" max="7944" width="6.140625" customWidth="1"/>
    <col min="7945" max="7945" width="9" hidden="1" customWidth="1"/>
    <col min="7946" max="7946" width="1" customWidth="1"/>
    <col min="7947" max="7947" width="10" customWidth="1"/>
    <col min="7948" max="7948" width="6.7109375" customWidth="1"/>
    <col min="7949" max="7949" width="6.42578125" customWidth="1"/>
    <col min="7950" max="7950" width="5.140625" customWidth="1"/>
    <col min="7951" max="7951" width="10.42578125" customWidth="1"/>
    <col min="7952" max="7952" width="9.140625" customWidth="1"/>
    <col min="7953" max="7953" width="3.5703125" customWidth="1"/>
    <col min="7954" max="7954" width="0.7109375" customWidth="1"/>
    <col min="7955" max="7955" width="1.42578125" customWidth="1"/>
    <col min="7956" max="7957" width="0.7109375" customWidth="1"/>
    <col min="8193" max="8194" width="0.7109375" customWidth="1"/>
    <col min="8195" max="8195" width="1.42578125" customWidth="1"/>
    <col min="8196" max="8196" width="0.7109375" customWidth="1"/>
    <col min="8197" max="8197" width="3.7109375" customWidth="1"/>
    <col min="8198" max="8198" width="16.7109375" customWidth="1"/>
    <col min="8199" max="8199" width="1.7109375" customWidth="1"/>
    <col min="8200" max="8200" width="6.140625" customWidth="1"/>
    <col min="8201" max="8201" width="9" hidden="1" customWidth="1"/>
    <col min="8202" max="8202" width="1" customWidth="1"/>
    <col min="8203" max="8203" width="10" customWidth="1"/>
    <col min="8204" max="8204" width="6.7109375" customWidth="1"/>
    <col min="8205" max="8205" width="6.42578125" customWidth="1"/>
    <col min="8206" max="8206" width="5.140625" customWidth="1"/>
    <col min="8207" max="8207" width="10.42578125" customWidth="1"/>
    <col min="8208" max="8208" width="9.140625" customWidth="1"/>
    <col min="8209" max="8209" width="3.5703125" customWidth="1"/>
    <col min="8210" max="8210" width="0.7109375" customWidth="1"/>
    <col min="8211" max="8211" width="1.42578125" customWidth="1"/>
    <col min="8212" max="8213" width="0.7109375" customWidth="1"/>
    <col min="8449" max="8450" width="0.7109375" customWidth="1"/>
    <col min="8451" max="8451" width="1.42578125" customWidth="1"/>
    <col min="8452" max="8452" width="0.7109375" customWidth="1"/>
    <col min="8453" max="8453" width="3.7109375" customWidth="1"/>
    <col min="8454" max="8454" width="16.7109375" customWidth="1"/>
    <col min="8455" max="8455" width="1.7109375" customWidth="1"/>
    <col min="8456" max="8456" width="6.140625" customWidth="1"/>
    <col min="8457" max="8457" width="9" hidden="1" customWidth="1"/>
    <col min="8458" max="8458" width="1" customWidth="1"/>
    <col min="8459" max="8459" width="10" customWidth="1"/>
    <col min="8460" max="8460" width="6.7109375" customWidth="1"/>
    <col min="8461" max="8461" width="6.42578125" customWidth="1"/>
    <col min="8462" max="8462" width="5.140625" customWidth="1"/>
    <col min="8463" max="8463" width="10.42578125" customWidth="1"/>
    <col min="8464" max="8464" width="9.140625" customWidth="1"/>
    <col min="8465" max="8465" width="3.5703125" customWidth="1"/>
    <col min="8466" max="8466" width="0.7109375" customWidth="1"/>
    <col min="8467" max="8467" width="1.42578125" customWidth="1"/>
    <col min="8468" max="8469" width="0.7109375" customWidth="1"/>
    <col min="8705" max="8706" width="0.7109375" customWidth="1"/>
    <col min="8707" max="8707" width="1.42578125" customWidth="1"/>
    <col min="8708" max="8708" width="0.7109375" customWidth="1"/>
    <col min="8709" max="8709" width="3.7109375" customWidth="1"/>
    <col min="8710" max="8710" width="16.7109375" customWidth="1"/>
    <col min="8711" max="8711" width="1.7109375" customWidth="1"/>
    <col min="8712" max="8712" width="6.140625" customWidth="1"/>
    <col min="8713" max="8713" width="9" hidden="1" customWidth="1"/>
    <col min="8714" max="8714" width="1" customWidth="1"/>
    <col min="8715" max="8715" width="10" customWidth="1"/>
    <col min="8716" max="8716" width="6.7109375" customWidth="1"/>
    <col min="8717" max="8717" width="6.42578125" customWidth="1"/>
    <col min="8718" max="8718" width="5.140625" customWidth="1"/>
    <col min="8719" max="8719" width="10.42578125" customWidth="1"/>
    <col min="8720" max="8720" width="9.140625" customWidth="1"/>
    <col min="8721" max="8721" width="3.5703125" customWidth="1"/>
    <col min="8722" max="8722" width="0.7109375" customWidth="1"/>
    <col min="8723" max="8723" width="1.42578125" customWidth="1"/>
    <col min="8724" max="8725" width="0.7109375" customWidth="1"/>
    <col min="8961" max="8962" width="0.7109375" customWidth="1"/>
    <col min="8963" max="8963" width="1.42578125" customWidth="1"/>
    <col min="8964" max="8964" width="0.7109375" customWidth="1"/>
    <col min="8965" max="8965" width="3.7109375" customWidth="1"/>
    <col min="8966" max="8966" width="16.7109375" customWidth="1"/>
    <col min="8967" max="8967" width="1.7109375" customWidth="1"/>
    <col min="8968" max="8968" width="6.140625" customWidth="1"/>
    <col min="8969" max="8969" width="9" hidden="1" customWidth="1"/>
    <col min="8970" max="8970" width="1" customWidth="1"/>
    <col min="8971" max="8971" width="10" customWidth="1"/>
    <col min="8972" max="8972" width="6.7109375" customWidth="1"/>
    <col min="8973" max="8973" width="6.42578125" customWidth="1"/>
    <col min="8974" max="8974" width="5.140625" customWidth="1"/>
    <col min="8975" max="8975" width="10.42578125" customWidth="1"/>
    <col min="8976" max="8976" width="9.140625" customWidth="1"/>
    <col min="8977" max="8977" width="3.5703125" customWidth="1"/>
    <col min="8978" max="8978" width="0.7109375" customWidth="1"/>
    <col min="8979" max="8979" width="1.42578125" customWidth="1"/>
    <col min="8980" max="8981" width="0.7109375" customWidth="1"/>
    <col min="9217" max="9218" width="0.7109375" customWidth="1"/>
    <col min="9219" max="9219" width="1.42578125" customWidth="1"/>
    <col min="9220" max="9220" width="0.7109375" customWidth="1"/>
    <col min="9221" max="9221" width="3.7109375" customWidth="1"/>
    <col min="9222" max="9222" width="16.7109375" customWidth="1"/>
    <col min="9223" max="9223" width="1.7109375" customWidth="1"/>
    <col min="9224" max="9224" width="6.140625" customWidth="1"/>
    <col min="9225" max="9225" width="9" hidden="1" customWidth="1"/>
    <col min="9226" max="9226" width="1" customWidth="1"/>
    <col min="9227" max="9227" width="10" customWidth="1"/>
    <col min="9228" max="9228" width="6.7109375" customWidth="1"/>
    <col min="9229" max="9229" width="6.42578125" customWidth="1"/>
    <col min="9230" max="9230" width="5.140625" customWidth="1"/>
    <col min="9231" max="9231" width="10.42578125" customWidth="1"/>
    <col min="9232" max="9232" width="9.140625" customWidth="1"/>
    <col min="9233" max="9233" width="3.5703125" customWidth="1"/>
    <col min="9234" max="9234" width="0.7109375" customWidth="1"/>
    <col min="9235" max="9235" width="1.42578125" customWidth="1"/>
    <col min="9236" max="9237" width="0.7109375" customWidth="1"/>
    <col min="9473" max="9474" width="0.7109375" customWidth="1"/>
    <col min="9475" max="9475" width="1.42578125" customWidth="1"/>
    <col min="9476" max="9476" width="0.7109375" customWidth="1"/>
    <col min="9477" max="9477" width="3.7109375" customWidth="1"/>
    <col min="9478" max="9478" width="16.7109375" customWidth="1"/>
    <col min="9479" max="9479" width="1.7109375" customWidth="1"/>
    <col min="9480" max="9480" width="6.140625" customWidth="1"/>
    <col min="9481" max="9481" width="9" hidden="1" customWidth="1"/>
    <col min="9482" max="9482" width="1" customWidth="1"/>
    <col min="9483" max="9483" width="10" customWidth="1"/>
    <col min="9484" max="9484" width="6.7109375" customWidth="1"/>
    <col min="9485" max="9485" width="6.42578125" customWidth="1"/>
    <col min="9486" max="9486" width="5.140625" customWidth="1"/>
    <col min="9487" max="9487" width="10.42578125" customWidth="1"/>
    <col min="9488" max="9488" width="9.140625" customWidth="1"/>
    <col min="9489" max="9489" width="3.5703125" customWidth="1"/>
    <col min="9490" max="9490" width="0.7109375" customWidth="1"/>
    <col min="9491" max="9491" width="1.42578125" customWidth="1"/>
    <col min="9492" max="9493" width="0.7109375" customWidth="1"/>
    <col min="9729" max="9730" width="0.7109375" customWidth="1"/>
    <col min="9731" max="9731" width="1.42578125" customWidth="1"/>
    <col min="9732" max="9732" width="0.7109375" customWidth="1"/>
    <col min="9733" max="9733" width="3.7109375" customWidth="1"/>
    <col min="9734" max="9734" width="16.7109375" customWidth="1"/>
    <col min="9735" max="9735" width="1.7109375" customWidth="1"/>
    <col min="9736" max="9736" width="6.140625" customWidth="1"/>
    <col min="9737" max="9737" width="9" hidden="1" customWidth="1"/>
    <col min="9738" max="9738" width="1" customWidth="1"/>
    <col min="9739" max="9739" width="10" customWidth="1"/>
    <col min="9740" max="9740" width="6.7109375" customWidth="1"/>
    <col min="9741" max="9741" width="6.42578125" customWidth="1"/>
    <col min="9742" max="9742" width="5.140625" customWidth="1"/>
    <col min="9743" max="9743" width="10.42578125" customWidth="1"/>
    <col min="9744" max="9744" width="9.140625" customWidth="1"/>
    <col min="9745" max="9745" width="3.5703125" customWidth="1"/>
    <col min="9746" max="9746" width="0.7109375" customWidth="1"/>
    <col min="9747" max="9747" width="1.42578125" customWidth="1"/>
    <col min="9748" max="9749" width="0.7109375" customWidth="1"/>
    <col min="9985" max="9986" width="0.7109375" customWidth="1"/>
    <col min="9987" max="9987" width="1.42578125" customWidth="1"/>
    <col min="9988" max="9988" width="0.7109375" customWidth="1"/>
    <col min="9989" max="9989" width="3.7109375" customWidth="1"/>
    <col min="9990" max="9990" width="16.7109375" customWidth="1"/>
    <col min="9991" max="9991" width="1.7109375" customWidth="1"/>
    <col min="9992" max="9992" width="6.140625" customWidth="1"/>
    <col min="9993" max="9993" width="9" hidden="1" customWidth="1"/>
    <col min="9994" max="9994" width="1" customWidth="1"/>
    <col min="9995" max="9995" width="10" customWidth="1"/>
    <col min="9996" max="9996" width="6.7109375" customWidth="1"/>
    <col min="9997" max="9997" width="6.42578125" customWidth="1"/>
    <col min="9998" max="9998" width="5.140625" customWidth="1"/>
    <col min="9999" max="9999" width="10.42578125" customWidth="1"/>
    <col min="10000" max="10000" width="9.140625" customWidth="1"/>
    <col min="10001" max="10001" width="3.5703125" customWidth="1"/>
    <col min="10002" max="10002" width="0.7109375" customWidth="1"/>
    <col min="10003" max="10003" width="1.42578125" customWidth="1"/>
    <col min="10004" max="10005" width="0.7109375" customWidth="1"/>
    <col min="10241" max="10242" width="0.7109375" customWidth="1"/>
    <col min="10243" max="10243" width="1.42578125" customWidth="1"/>
    <col min="10244" max="10244" width="0.7109375" customWidth="1"/>
    <col min="10245" max="10245" width="3.7109375" customWidth="1"/>
    <col min="10246" max="10246" width="16.7109375" customWidth="1"/>
    <col min="10247" max="10247" width="1.7109375" customWidth="1"/>
    <col min="10248" max="10248" width="6.140625" customWidth="1"/>
    <col min="10249" max="10249" width="9" hidden="1" customWidth="1"/>
    <col min="10250" max="10250" width="1" customWidth="1"/>
    <col min="10251" max="10251" width="10" customWidth="1"/>
    <col min="10252" max="10252" width="6.7109375" customWidth="1"/>
    <col min="10253" max="10253" width="6.42578125" customWidth="1"/>
    <col min="10254" max="10254" width="5.140625" customWidth="1"/>
    <col min="10255" max="10255" width="10.42578125" customWidth="1"/>
    <col min="10256" max="10256" width="9.140625" customWidth="1"/>
    <col min="10257" max="10257" width="3.5703125" customWidth="1"/>
    <col min="10258" max="10258" width="0.7109375" customWidth="1"/>
    <col min="10259" max="10259" width="1.42578125" customWidth="1"/>
    <col min="10260" max="10261" width="0.7109375" customWidth="1"/>
    <col min="10497" max="10498" width="0.7109375" customWidth="1"/>
    <col min="10499" max="10499" width="1.42578125" customWidth="1"/>
    <col min="10500" max="10500" width="0.7109375" customWidth="1"/>
    <col min="10501" max="10501" width="3.7109375" customWidth="1"/>
    <col min="10502" max="10502" width="16.7109375" customWidth="1"/>
    <col min="10503" max="10503" width="1.7109375" customWidth="1"/>
    <col min="10504" max="10504" width="6.140625" customWidth="1"/>
    <col min="10505" max="10505" width="9" hidden="1" customWidth="1"/>
    <col min="10506" max="10506" width="1" customWidth="1"/>
    <col min="10507" max="10507" width="10" customWidth="1"/>
    <col min="10508" max="10508" width="6.7109375" customWidth="1"/>
    <col min="10509" max="10509" width="6.42578125" customWidth="1"/>
    <col min="10510" max="10510" width="5.140625" customWidth="1"/>
    <col min="10511" max="10511" width="10.42578125" customWidth="1"/>
    <col min="10512" max="10512" width="9.140625" customWidth="1"/>
    <col min="10513" max="10513" width="3.5703125" customWidth="1"/>
    <col min="10514" max="10514" width="0.7109375" customWidth="1"/>
    <col min="10515" max="10515" width="1.42578125" customWidth="1"/>
    <col min="10516" max="10517" width="0.7109375" customWidth="1"/>
    <col min="10753" max="10754" width="0.7109375" customWidth="1"/>
    <col min="10755" max="10755" width="1.42578125" customWidth="1"/>
    <col min="10756" max="10756" width="0.7109375" customWidth="1"/>
    <col min="10757" max="10757" width="3.7109375" customWidth="1"/>
    <col min="10758" max="10758" width="16.7109375" customWidth="1"/>
    <col min="10759" max="10759" width="1.7109375" customWidth="1"/>
    <col min="10760" max="10760" width="6.140625" customWidth="1"/>
    <col min="10761" max="10761" width="9" hidden="1" customWidth="1"/>
    <col min="10762" max="10762" width="1" customWidth="1"/>
    <col min="10763" max="10763" width="10" customWidth="1"/>
    <col min="10764" max="10764" width="6.7109375" customWidth="1"/>
    <col min="10765" max="10765" width="6.42578125" customWidth="1"/>
    <col min="10766" max="10766" width="5.140625" customWidth="1"/>
    <col min="10767" max="10767" width="10.42578125" customWidth="1"/>
    <col min="10768" max="10768" width="9.140625" customWidth="1"/>
    <col min="10769" max="10769" width="3.5703125" customWidth="1"/>
    <col min="10770" max="10770" width="0.7109375" customWidth="1"/>
    <col min="10771" max="10771" width="1.42578125" customWidth="1"/>
    <col min="10772" max="10773" width="0.7109375" customWidth="1"/>
    <col min="11009" max="11010" width="0.7109375" customWidth="1"/>
    <col min="11011" max="11011" width="1.42578125" customWidth="1"/>
    <col min="11012" max="11012" width="0.7109375" customWidth="1"/>
    <col min="11013" max="11013" width="3.7109375" customWidth="1"/>
    <col min="11014" max="11014" width="16.7109375" customWidth="1"/>
    <col min="11015" max="11015" width="1.7109375" customWidth="1"/>
    <col min="11016" max="11016" width="6.140625" customWidth="1"/>
    <col min="11017" max="11017" width="9" hidden="1" customWidth="1"/>
    <col min="11018" max="11018" width="1" customWidth="1"/>
    <col min="11019" max="11019" width="10" customWidth="1"/>
    <col min="11020" max="11020" width="6.7109375" customWidth="1"/>
    <col min="11021" max="11021" width="6.42578125" customWidth="1"/>
    <col min="11022" max="11022" width="5.140625" customWidth="1"/>
    <col min="11023" max="11023" width="10.42578125" customWidth="1"/>
    <col min="11024" max="11024" width="9.140625" customWidth="1"/>
    <col min="11025" max="11025" width="3.5703125" customWidth="1"/>
    <col min="11026" max="11026" width="0.7109375" customWidth="1"/>
    <col min="11027" max="11027" width="1.42578125" customWidth="1"/>
    <col min="11028" max="11029" width="0.7109375" customWidth="1"/>
    <col min="11265" max="11266" width="0.7109375" customWidth="1"/>
    <col min="11267" max="11267" width="1.42578125" customWidth="1"/>
    <col min="11268" max="11268" width="0.7109375" customWidth="1"/>
    <col min="11269" max="11269" width="3.7109375" customWidth="1"/>
    <col min="11270" max="11270" width="16.7109375" customWidth="1"/>
    <col min="11271" max="11271" width="1.7109375" customWidth="1"/>
    <col min="11272" max="11272" width="6.140625" customWidth="1"/>
    <col min="11273" max="11273" width="9" hidden="1" customWidth="1"/>
    <col min="11274" max="11274" width="1" customWidth="1"/>
    <col min="11275" max="11275" width="10" customWidth="1"/>
    <col min="11276" max="11276" width="6.7109375" customWidth="1"/>
    <col min="11277" max="11277" width="6.42578125" customWidth="1"/>
    <col min="11278" max="11278" width="5.140625" customWidth="1"/>
    <col min="11279" max="11279" width="10.42578125" customWidth="1"/>
    <col min="11280" max="11280" width="9.140625" customWidth="1"/>
    <col min="11281" max="11281" width="3.5703125" customWidth="1"/>
    <col min="11282" max="11282" width="0.7109375" customWidth="1"/>
    <col min="11283" max="11283" width="1.42578125" customWidth="1"/>
    <col min="11284" max="11285" width="0.7109375" customWidth="1"/>
    <col min="11521" max="11522" width="0.7109375" customWidth="1"/>
    <col min="11523" max="11523" width="1.42578125" customWidth="1"/>
    <col min="11524" max="11524" width="0.7109375" customWidth="1"/>
    <col min="11525" max="11525" width="3.7109375" customWidth="1"/>
    <col min="11526" max="11526" width="16.7109375" customWidth="1"/>
    <col min="11527" max="11527" width="1.7109375" customWidth="1"/>
    <col min="11528" max="11528" width="6.140625" customWidth="1"/>
    <col min="11529" max="11529" width="9" hidden="1" customWidth="1"/>
    <col min="11530" max="11530" width="1" customWidth="1"/>
    <col min="11531" max="11531" width="10" customWidth="1"/>
    <col min="11532" max="11532" width="6.7109375" customWidth="1"/>
    <col min="11533" max="11533" width="6.42578125" customWidth="1"/>
    <col min="11534" max="11534" width="5.140625" customWidth="1"/>
    <col min="11535" max="11535" width="10.42578125" customWidth="1"/>
    <col min="11536" max="11536" width="9.140625" customWidth="1"/>
    <col min="11537" max="11537" width="3.5703125" customWidth="1"/>
    <col min="11538" max="11538" width="0.7109375" customWidth="1"/>
    <col min="11539" max="11539" width="1.42578125" customWidth="1"/>
    <col min="11540" max="11541" width="0.7109375" customWidth="1"/>
    <col min="11777" max="11778" width="0.7109375" customWidth="1"/>
    <col min="11779" max="11779" width="1.42578125" customWidth="1"/>
    <col min="11780" max="11780" width="0.7109375" customWidth="1"/>
    <col min="11781" max="11781" width="3.7109375" customWidth="1"/>
    <col min="11782" max="11782" width="16.7109375" customWidth="1"/>
    <col min="11783" max="11783" width="1.7109375" customWidth="1"/>
    <col min="11784" max="11784" width="6.140625" customWidth="1"/>
    <col min="11785" max="11785" width="9" hidden="1" customWidth="1"/>
    <col min="11786" max="11786" width="1" customWidth="1"/>
    <col min="11787" max="11787" width="10" customWidth="1"/>
    <col min="11788" max="11788" width="6.7109375" customWidth="1"/>
    <col min="11789" max="11789" width="6.42578125" customWidth="1"/>
    <col min="11790" max="11790" width="5.140625" customWidth="1"/>
    <col min="11791" max="11791" width="10.42578125" customWidth="1"/>
    <col min="11792" max="11792" width="9.140625" customWidth="1"/>
    <col min="11793" max="11793" width="3.5703125" customWidth="1"/>
    <col min="11794" max="11794" width="0.7109375" customWidth="1"/>
    <col min="11795" max="11795" width="1.42578125" customWidth="1"/>
    <col min="11796" max="11797" width="0.7109375" customWidth="1"/>
    <col min="12033" max="12034" width="0.7109375" customWidth="1"/>
    <col min="12035" max="12035" width="1.42578125" customWidth="1"/>
    <col min="12036" max="12036" width="0.7109375" customWidth="1"/>
    <col min="12037" max="12037" width="3.7109375" customWidth="1"/>
    <col min="12038" max="12038" width="16.7109375" customWidth="1"/>
    <col min="12039" max="12039" width="1.7109375" customWidth="1"/>
    <col min="12040" max="12040" width="6.140625" customWidth="1"/>
    <col min="12041" max="12041" width="9" hidden="1" customWidth="1"/>
    <col min="12042" max="12042" width="1" customWidth="1"/>
    <col min="12043" max="12043" width="10" customWidth="1"/>
    <col min="12044" max="12044" width="6.7109375" customWidth="1"/>
    <col min="12045" max="12045" width="6.42578125" customWidth="1"/>
    <col min="12046" max="12046" width="5.140625" customWidth="1"/>
    <col min="12047" max="12047" width="10.42578125" customWidth="1"/>
    <col min="12048" max="12048" width="9.140625" customWidth="1"/>
    <col min="12049" max="12049" width="3.5703125" customWidth="1"/>
    <col min="12050" max="12050" width="0.7109375" customWidth="1"/>
    <col min="12051" max="12051" width="1.42578125" customWidth="1"/>
    <col min="12052" max="12053" width="0.7109375" customWidth="1"/>
    <col min="12289" max="12290" width="0.7109375" customWidth="1"/>
    <col min="12291" max="12291" width="1.42578125" customWidth="1"/>
    <col min="12292" max="12292" width="0.7109375" customWidth="1"/>
    <col min="12293" max="12293" width="3.7109375" customWidth="1"/>
    <col min="12294" max="12294" width="16.7109375" customWidth="1"/>
    <col min="12295" max="12295" width="1.7109375" customWidth="1"/>
    <col min="12296" max="12296" width="6.140625" customWidth="1"/>
    <col min="12297" max="12297" width="9" hidden="1" customWidth="1"/>
    <col min="12298" max="12298" width="1" customWidth="1"/>
    <col min="12299" max="12299" width="10" customWidth="1"/>
    <col min="12300" max="12300" width="6.7109375" customWidth="1"/>
    <col min="12301" max="12301" width="6.42578125" customWidth="1"/>
    <col min="12302" max="12302" width="5.140625" customWidth="1"/>
    <col min="12303" max="12303" width="10.42578125" customWidth="1"/>
    <col min="12304" max="12304" width="9.140625" customWidth="1"/>
    <col min="12305" max="12305" width="3.5703125" customWidth="1"/>
    <col min="12306" max="12306" width="0.7109375" customWidth="1"/>
    <col min="12307" max="12307" width="1.42578125" customWidth="1"/>
    <col min="12308" max="12309" width="0.7109375" customWidth="1"/>
    <col min="12545" max="12546" width="0.7109375" customWidth="1"/>
    <col min="12547" max="12547" width="1.42578125" customWidth="1"/>
    <col min="12548" max="12548" width="0.7109375" customWidth="1"/>
    <col min="12549" max="12549" width="3.7109375" customWidth="1"/>
    <col min="12550" max="12550" width="16.7109375" customWidth="1"/>
    <col min="12551" max="12551" width="1.7109375" customWidth="1"/>
    <col min="12552" max="12552" width="6.140625" customWidth="1"/>
    <col min="12553" max="12553" width="9" hidden="1" customWidth="1"/>
    <col min="12554" max="12554" width="1" customWidth="1"/>
    <col min="12555" max="12555" width="10" customWidth="1"/>
    <col min="12556" max="12556" width="6.7109375" customWidth="1"/>
    <col min="12557" max="12557" width="6.42578125" customWidth="1"/>
    <col min="12558" max="12558" width="5.140625" customWidth="1"/>
    <col min="12559" max="12559" width="10.42578125" customWidth="1"/>
    <col min="12560" max="12560" width="9.140625" customWidth="1"/>
    <col min="12561" max="12561" width="3.5703125" customWidth="1"/>
    <col min="12562" max="12562" width="0.7109375" customWidth="1"/>
    <col min="12563" max="12563" width="1.42578125" customWidth="1"/>
    <col min="12564" max="12565" width="0.7109375" customWidth="1"/>
    <col min="12801" max="12802" width="0.7109375" customWidth="1"/>
    <col min="12803" max="12803" width="1.42578125" customWidth="1"/>
    <col min="12804" max="12804" width="0.7109375" customWidth="1"/>
    <col min="12805" max="12805" width="3.7109375" customWidth="1"/>
    <col min="12806" max="12806" width="16.7109375" customWidth="1"/>
    <col min="12807" max="12807" width="1.7109375" customWidth="1"/>
    <col min="12808" max="12808" width="6.140625" customWidth="1"/>
    <col min="12809" max="12809" width="9" hidden="1" customWidth="1"/>
    <col min="12810" max="12810" width="1" customWidth="1"/>
    <col min="12811" max="12811" width="10" customWidth="1"/>
    <col min="12812" max="12812" width="6.7109375" customWidth="1"/>
    <col min="12813" max="12813" width="6.42578125" customWidth="1"/>
    <col min="12814" max="12814" width="5.140625" customWidth="1"/>
    <col min="12815" max="12815" width="10.42578125" customWidth="1"/>
    <col min="12816" max="12816" width="9.140625" customWidth="1"/>
    <col min="12817" max="12817" width="3.5703125" customWidth="1"/>
    <col min="12818" max="12818" width="0.7109375" customWidth="1"/>
    <col min="12819" max="12819" width="1.42578125" customWidth="1"/>
    <col min="12820" max="12821" width="0.7109375" customWidth="1"/>
    <col min="13057" max="13058" width="0.7109375" customWidth="1"/>
    <col min="13059" max="13059" width="1.42578125" customWidth="1"/>
    <col min="13060" max="13060" width="0.7109375" customWidth="1"/>
    <col min="13061" max="13061" width="3.7109375" customWidth="1"/>
    <col min="13062" max="13062" width="16.7109375" customWidth="1"/>
    <col min="13063" max="13063" width="1.7109375" customWidth="1"/>
    <col min="13064" max="13064" width="6.140625" customWidth="1"/>
    <col min="13065" max="13065" width="9" hidden="1" customWidth="1"/>
    <col min="13066" max="13066" width="1" customWidth="1"/>
    <col min="13067" max="13067" width="10" customWidth="1"/>
    <col min="13068" max="13068" width="6.7109375" customWidth="1"/>
    <col min="13069" max="13069" width="6.42578125" customWidth="1"/>
    <col min="13070" max="13070" width="5.140625" customWidth="1"/>
    <col min="13071" max="13071" width="10.42578125" customWidth="1"/>
    <col min="13072" max="13072" width="9.140625" customWidth="1"/>
    <col min="13073" max="13073" width="3.5703125" customWidth="1"/>
    <col min="13074" max="13074" width="0.7109375" customWidth="1"/>
    <col min="13075" max="13075" width="1.42578125" customWidth="1"/>
    <col min="13076" max="13077" width="0.7109375" customWidth="1"/>
    <col min="13313" max="13314" width="0.7109375" customWidth="1"/>
    <col min="13315" max="13315" width="1.42578125" customWidth="1"/>
    <col min="13316" max="13316" width="0.7109375" customWidth="1"/>
    <col min="13317" max="13317" width="3.7109375" customWidth="1"/>
    <col min="13318" max="13318" width="16.7109375" customWidth="1"/>
    <col min="13319" max="13319" width="1.7109375" customWidth="1"/>
    <col min="13320" max="13320" width="6.140625" customWidth="1"/>
    <col min="13321" max="13321" width="9" hidden="1" customWidth="1"/>
    <col min="13322" max="13322" width="1" customWidth="1"/>
    <col min="13323" max="13323" width="10" customWidth="1"/>
    <col min="13324" max="13324" width="6.7109375" customWidth="1"/>
    <col min="13325" max="13325" width="6.42578125" customWidth="1"/>
    <col min="13326" max="13326" width="5.140625" customWidth="1"/>
    <col min="13327" max="13327" width="10.42578125" customWidth="1"/>
    <col min="13328" max="13328" width="9.140625" customWidth="1"/>
    <col min="13329" max="13329" width="3.5703125" customWidth="1"/>
    <col min="13330" max="13330" width="0.7109375" customWidth="1"/>
    <col min="13331" max="13331" width="1.42578125" customWidth="1"/>
    <col min="13332" max="13333" width="0.7109375" customWidth="1"/>
    <col min="13569" max="13570" width="0.7109375" customWidth="1"/>
    <col min="13571" max="13571" width="1.42578125" customWidth="1"/>
    <col min="13572" max="13572" width="0.7109375" customWidth="1"/>
    <col min="13573" max="13573" width="3.7109375" customWidth="1"/>
    <col min="13574" max="13574" width="16.7109375" customWidth="1"/>
    <col min="13575" max="13575" width="1.7109375" customWidth="1"/>
    <col min="13576" max="13576" width="6.140625" customWidth="1"/>
    <col min="13577" max="13577" width="9" hidden="1" customWidth="1"/>
    <col min="13578" max="13578" width="1" customWidth="1"/>
    <col min="13579" max="13579" width="10" customWidth="1"/>
    <col min="13580" max="13580" width="6.7109375" customWidth="1"/>
    <col min="13581" max="13581" width="6.42578125" customWidth="1"/>
    <col min="13582" max="13582" width="5.140625" customWidth="1"/>
    <col min="13583" max="13583" width="10.42578125" customWidth="1"/>
    <col min="13584" max="13584" width="9.140625" customWidth="1"/>
    <col min="13585" max="13585" width="3.5703125" customWidth="1"/>
    <col min="13586" max="13586" width="0.7109375" customWidth="1"/>
    <col min="13587" max="13587" width="1.42578125" customWidth="1"/>
    <col min="13588" max="13589" width="0.7109375" customWidth="1"/>
    <col min="13825" max="13826" width="0.7109375" customWidth="1"/>
    <col min="13827" max="13827" width="1.42578125" customWidth="1"/>
    <col min="13828" max="13828" width="0.7109375" customWidth="1"/>
    <col min="13829" max="13829" width="3.7109375" customWidth="1"/>
    <col min="13830" max="13830" width="16.7109375" customWidth="1"/>
    <col min="13831" max="13831" width="1.7109375" customWidth="1"/>
    <col min="13832" max="13832" width="6.140625" customWidth="1"/>
    <col min="13833" max="13833" width="9" hidden="1" customWidth="1"/>
    <col min="13834" max="13834" width="1" customWidth="1"/>
    <col min="13835" max="13835" width="10" customWidth="1"/>
    <col min="13836" max="13836" width="6.7109375" customWidth="1"/>
    <col min="13837" max="13837" width="6.42578125" customWidth="1"/>
    <col min="13838" max="13838" width="5.140625" customWidth="1"/>
    <col min="13839" max="13839" width="10.42578125" customWidth="1"/>
    <col min="13840" max="13840" width="9.140625" customWidth="1"/>
    <col min="13841" max="13841" width="3.5703125" customWidth="1"/>
    <col min="13842" max="13842" width="0.7109375" customWidth="1"/>
    <col min="13843" max="13843" width="1.42578125" customWidth="1"/>
    <col min="13844" max="13845" width="0.7109375" customWidth="1"/>
    <col min="14081" max="14082" width="0.7109375" customWidth="1"/>
    <col min="14083" max="14083" width="1.42578125" customWidth="1"/>
    <col min="14084" max="14084" width="0.7109375" customWidth="1"/>
    <col min="14085" max="14085" width="3.7109375" customWidth="1"/>
    <col min="14086" max="14086" width="16.7109375" customWidth="1"/>
    <col min="14087" max="14087" width="1.7109375" customWidth="1"/>
    <col min="14088" max="14088" width="6.140625" customWidth="1"/>
    <col min="14089" max="14089" width="9" hidden="1" customWidth="1"/>
    <col min="14090" max="14090" width="1" customWidth="1"/>
    <col min="14091" max="14091" width="10" customWidth="1"/>
    <col min="14092" max="14092" width="6.7109375" customWidth="1"/>
    <col min="14093" max="14093" width="6.42578125" customWidth="1"/>
    <col min="14094" max="14094" width="5.140625" customWidth="1"/>
    <col min="14095" max="14095" width="10.42578125" customWidth="1"/>
    <col min="14096" max="14096" width="9.140625" customWidth="1"/>
    <col min="14097" max="14097" width="3.5703125" customWidth="1"/>
    <col min="14098" max="14098" width="0.7109375" customWidth="1"/>
    <col min="14099" max="14099" width="1.42578125" customWidth="1"/>
    <col min="14100" max="14101" width="0.7109375" customWidth="1"/>
    <col min="14337" max="14338" width="0.7109375" customWidth="1"/>
    <col min="14339" max="14339" width="1.42578125" customWidth="1"/>
    <col min="14340" max="14340" width="0.7109375" customWidth="1"/>
    <col min="14341" max="14341" width="3.7109375" customWidth="1"/>
    <col min="14342" max="14342" width="16.7109375" customWidth="1"/>
    <col min="14343" max="14343" width="1.7109375" customWidth="1"/>
    <col min="14344" max="14344" width="6.140625" customWidth="1"/>
    <col min="14345" max="14345" width="9" hidden="1" customWidth="1"/>
    <col min="14346" max="14346" width="1" customWidth="1"/>
    <col min="14347" max="14347" width="10" customWidth="1"/>
    <col min="14348" max="14348" width="6.7109375" customWidth="1"/>
    <col min="14349" max="14349" width="6.42578125" customWidth="1"/>
    <col min="14350" max="14350" width="5.140625" customWidth="1"/>
    <col min="14351" max="14351" width="10.42578125" customWidth="1"/>
    <col min="14352" max="14352" width="9.140625" customWidth="1"/>
    <col min="14353" max="14353" width="3.5703125" customWidth="1"/>
    <col min="14354" max="14354" width="0.7109375" customWidth="1"/>
    <col min="14355" max="14355" width="1.42578125" customWidth="1"/>
    <col min="14356" max="14357" width="0.7109375" customWidth="1"/>
    <col min="14593" max="14594" width="0.7109375" customWidth="1"/>
    <col min="14595" max="14595" width="1.42578125" customWidth="1"/>
    <col min="14596" max="14596" width="0.7109375" customWidth="1"/>
    <col min="14597" max="14597" width="3.7109375" customWidth="1"/>
    <col min="14598" max="14598" width="16.7109375" customWidth="1"/>
    <col min="14599" max="14599" width="1.7109375" customWidth="1"/>
    <col min="14600" max="14600" width="6.140625" customWidth="1"/>
    <col min="14601" max="14601" width="9" hidden="1" customWidth="1"/>
    <col min="14602" max="14602" width="1" customWidth="1"/>
    <col min="14603" max="14603" width="10" customWidth="1"/>
    <col min="14604" max="14604" width="6.7109375" customWidth="1"/>
    <col min="14605" max="14605" width="6.42578125" customWidth="1"/>
    <col min="14606" max="14606" width="5.140625" customWidth="1"/>
    <col min="14607" max="14607" width="10.42578125" customWidth="1"/>
    <col min="14608" max="14608" width="9.140625" customWidth="1"/>
    <col min="14609" max="14609" width="3.5703125" customWidth="1"/>
    <col min="14610" max="14610" width="0.7109375" customWidth="1"/>
    <col min="14611" max="14611" width="1.42578125" customWidth="1"/>
    <col min="14612" max="14613" width="0.7109375" customWidth="1"/>
    <col min="14849" max="14850" width="0.7109375" customWidth="1"/>
    <col min="14851" max="14851" width="1.42578125" customWidth="1"/>
    <col min="14852" max="14852" width="0.7109375" customWidth="1"/>
    <col min="14853" max="14853" width="3.7109375" customWidth="1"/>
    <col min="14854" max="14854" width="16.7109375" customWidth="1"/>
    <col min="14855" max="14855" width="1.7109375" customWidth="1"/>
    <col min="14856" max="14856" width="6.140625" customWidth="1"/>
    <col min="14857" max="14857" width="9" hidden="1" customWidth="1"/>
    <col min="14858" max="14858" width="1" customWidth="1"/>
    <col min="14859" max="14859" width="10" customWidth="1"/>
    <col min="14860" max="14860" width="6.7109375" customWidth="1"/>
    <col min="14861" max="14861" width="6.42578125" customWidth="1"/>
    <col min="14862" max="14862" width="5.140625" customWidth="1"/>
    <col min="14863" max="14863" width="10.42578125" customWidth="1"/>
    <col min="14864" max="14864" width="9.140625" customWidth="1"/>
    <col min="14865" max="14865" width="3.5703125" customWidth="1"/>
    <col min="14866" max="14866" width="0.7109375" customWidth="1"/>
    <col min="14867" max="14867" width="1.42578125" customWidth="1"/>
    <col min="14868" max="14869" width="0.7109375" customWidth="1"/>
    <col min="15105" max="15106" width="0.7109375" customWidth="1"/>
    <col min="15107" max="15107" width="1.42578125" customWidth="1"/>
    <col min="15108" max="15108" width="0.7109375" customWidth="1"/>
    <col min="15109" max="15109" width="3.7109375" customWidth="1"/>
    <col min="15110" max="15110" width="16.7109375" customWidth="1"/>
    <col min="15111" max="15111" width="1.7109375" customWidth="1"/>
    <col min="15112" max="15112" width="6.140625" customWidth="1"/>
    <col min="15113" max="15113" width="9" hidden="1" customWidth="1"/>
    <col min="15114" max="15114" width="1" customWidth="1"/>
    <col min="15115" max="15115" width="10" customWidth="1"/>
    <col min="15116" max="15116" width="6.7109375" customWidth="1"/>
    <col min="15117" max="15117" width="6.42578125" customWidth="1"/>
    <col min="15118" max="15118" width="5.140625" customWidth="1"/>
    <col min="15119" max="15119" width="10.42578125" customWidth="1"/>
    <col min="15120" max="15120" width="9.140625" customWidth="1"/>
    <col min="15121" max="15121" width="3.5703125" customWidth="1"/>
    <col min="15122" max="15122" width="0.7109375" customWidth="1"/>
    <col min="15123" max="15123" width="1.42578125" customWidth="1"/>
    <col min="15124" max="15125" width="0.7109375" customWidth="1"/>
    <col min="15361" max="15362" width="0.7109375" customWidth="1"/>
    <col min="15363" max="15363" width="1.42578125" customWidth="1"/>
    <col min="15364" max="15364" width="0.7109375" customWidth="1"/>
    <col min="15365" max="15365" width="3.7109375" customWidth="1"/>
    <col min="15366" max="15366" width="16.7109375" customWidth="1"/>
    <col min="15367" max="15367" width="1.7109375" customWidth="1"/>
    <col min="15368" max="15368" width="6.140625" customWidth="1"/>
    <col min="15369" max="15369" width="9" hidden="1" customWidth="1"/>
    <col min="15370" max="15370" width="1" customWidth="1"/>
    <col min="15371" max="15371" width="10" customWidth="1"/>
    <col min="15372" max="15372" width="6.7109375" customWidth="1"/>
    <col min="15373" max="15373" width="6.42578125" customWidth="1"/>
    <col min="15374" max="15374" width="5.140625" customWidth="1"/>
    <col min="15375" max="15375" width="10.42578125" customWidth="1"/>
    <col min="15376" max="15376" width="9.140625" customWidth="1"/>
    <col min="15377" max="15377" width="3.5703125" customWidth="1"/>
    <col min="15378" max="15378" width="0.7109375" customWidth="1"/>
    <col min="15379" max="15379" width="1.42578125" customWidth="1"/>
    <col min="15380" max="15381" width="0.7109375" customWidth="1"/>
    <col min="15617" max="15618" width="0.7109375" customWidth="1"/>
    <col min="15619" max="15619" width="1.42578125" customWidth="1"/>
    <col min="15620" max="15620" width="0.7109375" customWidth="1"/>
    <col min="15621" max="15621" width="3.7109375" customWidth="1"/>
    <col min="15622" max="15622" width="16.7109375" customWidth="1"/>
    <col min="15623" max="15623" width="1.7109375" customWidth="1"/>
    <col min="15624" max="15624" width="6.140625" customWidth="1"/>
    <col min="15625" max="15625" width="9" hidden="1" customWidth="1"/>
    <col min="15626" max="15626" width="1" customWidth="1"/>
    <col min="15627" max="15627" width="10" customWidth="1"/>
    <col min="15628" max="15628" width="6.7109375" customWidth="1"/>
    <col min="15629" max="15629" width="6.42578125" customWidth="1"/>
    <col min="15630" max="15630" width="5.140625" customWidth="1"/>
    <col min="15631" max="15631" width="10.42578125" customWidth="1"/>
    <col min="15632" max="15632" width="9.140625" customWidth="1"/>
    <col min="15633" max="15633" width="3.5703125" customWidth="1"/>
    <col min="15634" max="15634" width="0.7109375" customWidth="1"/>
    <col min="15635" max="15635" width="1.42578125" customWidth="1"/>
    <col min="15636" max="15637" width="0.7109375" customWidth="1"/>
    <col min="15873" max="15874" width="0.7109375" customWidth="1"/>
    <col min="15875" max="15875" width="1.42578125" customWidth="1"/>
    <col min="15876" max="15876" width="0.7109375" customWidth="1"/>
    <col min="15877" max="15877" width="3.7109375" customWidth="1"/>
    <col min="15878" max="15878" width="16.7109375" customWidth="1"/>
    <col min="15879" max="15879" width="1.7109375" customWidth="1"/>
    <col min="15880" max="15880" width="6.140625" customWidth="1"/>
    <col min="15881" max="15881" width="9" hidden="1" customWidth="1"/>
    <col min="15882" max="15882" width="1" customWidth="1"/>
    <col min="15883" max="15883" width="10" customWidth="1"/>
    <col min="15884" max="15884" width="6.7109375" customWidth="1"/>
    <col min="15885" max="15885" width="6.42578125" customWidth="1"/>
    <col min="15886" max="15886" width="5.140625" customWidth="1"/>
    <col min="15887" max="15887" width="10.42578125" customWidth="1"/>
    <col min="15888" max="15888" width="9.140625" customWidth="1"/>
    <col min="15889" max="15889" width="3.5703125" customWidth="1"/>
    <col min="15890" max="15890" width="0.7109375" customWidth="1"/>
    <col min="15891" max="15891" width="1.42578125" customWidth="1"/>
    <col min="15892" max="15893" width="0.7109375" customWidth="1"/>
    <col min="16129" max="16130" width="0.7109375" customWidth="1"/>
    <col min="16131" max="16131" width="1.42578125" customWidth="1"/>
    <col min="16132" max="16132" width="0.7109375" customWidth="1"/>
    <col min="16133" max="16133" width="3.7109375" customWidth="1"/>
    <col min="16134" max="16134" width="16.7109375" customWidth="1"/>
    <col min="16135" max="16135" width="1.7109375" customWidth="1"/>
    <col min="16136" max="16136" width="6.140625" customWidth="1"/>
    <col min="16137" max="16137" width="9" hidden="1" customWidth="1"/>
    <col min="16138" max="16138" width="1" customWidth="1"/>
    <col min="16139" max="16139" width="10" customWidth="1"/>
    <col min="16140" max="16140" width="6.7109375" customWidth="1"/>
    <col min="16141" max="16141" width="6.42578125" customWidth="1"/>
    <col min="16142" max="16142" width="5.140625" customWidth="1"/>
    <col min="16143" max="16143" width="10.42578125" customWidth="1"/>
    <col min="16144" max="16144" width="9.140625" customWidth="1"/>
    <col min="16145" max="16145" width="3.5703125" customWidth="1"/>
    <col min="16146" max="16146" width="0.7109375" customWidth="1"/>
    <col min="16147" max="16147" width="1.42578125" customWidth="1"/>
    <col min="16148" max="16149" width="0.7109375" customWidth="1"/>
  </cols>
  <sheetData>
    <row r="1" spans="1:21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</row>
    <row r="2" spans="1:21" x14ac:dyDescent="0.2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9"/>
    </row>
    <row r="3" spans="1:21" x14ac:dyDescent="0.25">
      <c r="A3" s="90"/>
      <c r="B3" s="91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3"/>
      <c r="U3" s="90"/>
    </row>
    <row r="4" spans="1:21" x14ac:dyDescent="0.25">
      <c r="A4" s="90"/>
      <c r="B4" s="94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95"/>
      <c r="T4" s="94"/>
      <c r="U4" s="90"/>
    </row>
    <row r="5" spans="1:21" x14ac:dyDescent="0.25">
      <c r="A5" s="90"/>
      <c r="B5" s="94"/>
      <c r="C5" s="90"/>
      <c r="D5" s="91"/>
      <c r="E5" s="96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6"/>
      <c r="R5" s="93"/>
      <c r="S5" s="90"/>
      <c r="T5" s="94"/>
      <c r="U5" s="90"/>
    </row>
    <row r="6" spans="1:21" x14ac:dyDescent="0.25">
      <c r="A6" s="90"/>
      <c r="B6" s="94"/>
      <c r="C6" s="90"/>
      <c r="D6" s="97"/>
      <c r="E6" s="91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93"/>
      <c r="R6" s="98"/>
      <c r="S6" s="90"/>
      <c r="T6" s="94"/>
      <c r="U6" s="90"/>
    </row>
    <row r="7" spans="1:21" x14ac:dyDescent="0.25">
      <c r="A7" s="90"/>
      <c r="B7" s="94"/>
      <c r="C7" s="90"/>
      <c r="D7" s="97"/>
      <c r="E7" s="97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98"/>
      <c r="R7" s="98"/>
      <c r="S7" s="90"/>
      <c r="T7" s="94"/>
      <c r="U7" s="90"/>
    </row>
    <row r="8" spans="1:21" x14ac:dyDescent="0.25">
      <c r="A8" s="90"/>
      <c r="B8" s="94"/>
      <c r="C8" s="90"/>
      <c r="D8" s="94"/>
      <c r="E8" s="97"/>
      <c r="F8" s="229" t="s">
        <v>103</v>
      </c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193"/>
      <c r="R8" s="194"/>
      <c r="S8" s="195"/>
      <c r="T8" s="194"/>
      <c r="U8" s="195"/>
    </row>
    <row r="9" spans="1:21" x14ac:dyDescent="0.25">
      <c r="A9" s="90"/>
      <c r="B9" s="94"/>
      <c r="C9" s="90"/>
      <c r="D9" s="94"/>
      <c r="E9" s="86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196"/>
      <c r="R9" s="194"/>
      <c r="S9" s="195"/>
      <c r="T9" s="194"/>
      <c r="U9" s="195"/>
    </row>
    <row r="10" spans="1:21" ht="23.25" x14ac:dyDescent="0.25">
      <c r="A10" s="90"/>
      <c r="B10" s="94"/>
      <c r="C10" s="90"/>
      <c r="D10" s="94"/>
      <c r="E10" s="86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6"/>
      <c r="R10" s="194"/>
      <c r="S10" s="195"/>
      <c r="T10" s="194"/>
      <c r="U10" s="195"/>
    </row>
    <row r="11" spans="1:21" ht="23.25" x14ac:dyDescent="0.25">
      <c r="A11" s="90"/>
      <c r="B11" s="94"/>
      <c r="C11" s="90"/>
      <c r="D11" s="94"/>
      <c r="E11" s="86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6"/>
      <c r="R11" s="194"/>
      <c r="S11" s="195"/>
      <c r="T11" s="194"/>
      <c r="U11" s="195"/>
    </row>
    <row r="12" spans="1:21" ht="23.25" x14ac:dyDescent="0.25">
      <c r="A12" s="90"/>
      <c r="B12" s="94"/>
      <c r="C12" s="90"/>
      <c r="D12" s="94"/>
      <c r="E12" s="86"/>
      <c r="F12" s="229" t="s">
        <v>104</v>
      </c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196"/>
      <c r="R12" s="194"/>
      <c r="S12" s="195"/>
      <c r="T12" s="194"/>
      <c r="U12" s="195"/>
    </row>
    <row r="13" spans="1:21" ht="23.25" x14ac:dyDescent="0.25">
      <c r="A13" s="90"/>
      <c r="B13" s="94"/>
      <c r="C13" s="90"/>
      <c r="D13" s="94"/>
      <c r="E13" s="86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6"/>
      <c r="R13" s="194"/>
      <c r="S13" s="195"/>
      <c r="T13" s="194"/>
      <c r="U13" s="195"/>
    </row>
    <row r="14" spans="1:21" x14ac:dyDescent="0.25">
      <c r="A14" s="90"/>
      <c r="B14" s="94"/>
      <c r="C14" s="90"/>
      <c r="D14" s="94"/>
      <c r="E14" s="8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4"/>
      <c r="S14" s="195"/>
      <c r="T14" s="194"/>
      <c r="U14" s="195"/>
    </row>
    <row r="15" spans="1:21" ht="23.25" x14ac:dyDescent="0.25">
      <c r="A15" s="90"/>
      <c r="B15" s="94"/>
      <c r="C15" s="90"/>
      <c r="D15" s="94"/>
      <c r="E15" s="86"/>
      <c r="F15" s="229" t="s">
        <v>105</v>
      </c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196"/>
      <c r="R15" s="194"/>
      <c r="S15" s="195"/>
      <c r="T15" s="194"/>
      <c r="U15" s="195"/>
    </row>
    <row r="16" spans="1:21" ht="23.25" x14ac:dyDescent="0.25">
      <c r="A16" s="90"/>
      <c r="B16" s="94"/>
      <c r="C16" s="90"/>
      <c r="D16" s="94"/>
      <c r="E16" s="86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6"/>
      <c r="R16" s="194"/>
      <c r="S16" s="195"/>
      <c r="T16" s="194"/>
      <c r="U16" s="195"/>
    </row>
    <row r="17" spans="1:21" x14ac:dyDescent="0.25">
      <c r="A17" s="90"/>
      <c r="B17" s="94"/>
      <c r="C17" s="90"/>
      <c r="D17" s="94"/>
      <c r="E17" s="86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196"/>
      <c r="R17" s="194"/>
      <c r="S17" s="195"/>
      <c r="T17" s="194"/>
      <c r="U17" s="195"/>
    </row>
    <row r="18" spans="1:21" ht="23.25" x14ac:dyDescent="0.25">
      <c r="A18" s="90"/>
      <c r="B18" s="94"/>
      <c r="C18" s="90"/>
      <c r="D18" s="94"/>
      <c r="E18" s="86"/>
      <c r="F18" s="229" t="s">
        <v>71</v>
      </c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198"/>
      <c r="R18" s="199"/>
      <c r="S18" s="200"/>
      <c r="T18" s="199"/>
      <c r="U18" s="200"/>
    </row>
    <row r="19" spans="1:21" x14ac:dyDescent="0.25">
      <c r="A19" s="90"/>
      <c r="B19" s="94"/>
      <c r="C19" s="90"/>
      <c r="D19" s="94"/>
      <c r="E19" s="86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9"/>
      <c r="S19" s="200"/>
      <c r="T19" s="199"/>
      <c r="U19" s="200"/>
    </row>
    <row r="20" spans="1:21" x14ac:dyDescent="0.25">
      <c r="A20" s="90"/>
      <c r="B20" s="94"/>
      <c r="C20" s="90"/>
      <c r="D20" s="94"/>
      <c r="E20" s="86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9"/>
      <c r="S20" s="200"/>
      <c r="T20" s="199"/>
      <c r="U20" s="200"/>
    </row>
    <row r="21" spans="1:21" x14ac:dyDescent="0.25">
      <c r="A21" s="90"/>
      <c r="B21" s="94"/>
      <c r="C21" s="90"/>
      <c r="D21" s="94"/>
      <c r="E21" s="8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198"/>
      <c r="R21" s="199"/>
      <c r="S21" s="200"/>
      <c r="T21" s="199"/>
      <c r="U21" s="200"/>
    </row>
    <row r="22" spans="1:21" ht="23.25" x14ac:dyDescent="0.25">
      <c r="A22" s="90"/>
      <c r="B22" s="94"/>
      <c r="C22" s="90"/>
      <c r="D22" s="94"/>
      <c r="E22" s="86"/>
      <c r="F22" s="229" t="s">
        <v>106</v>
      </c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196"/>
      <c r="R22" s="194"/>
      <c r="S22" s="195"/>
      <c r="T22" s="194"/>
      <c r="U22" s="195"/>
    </row>
    <row r="23" spans="1:21" ht="21" x14ac:dyDescent="0.25">
      <c r="A23" s="90"/>
      <c r="B23" s="94"/>
      <c r="C23" s="90"/>
      <c r="D23" s="94"/>
      <c r="E23" s="86"/>
      <c r="F23" s="230" t="s">
        <v>107</v>
      </c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191"/>
      <c r="R23" s="99"/>
      <c r="S23" s="100"/>
      <c r="T23" s="99"/>
      <c r="U23" s="100"/>
    </row>
    <row r="24" spans="1:21" x14ac:dyDescent="0.25">
      <c r="A24" s="90"/>
      <c r="B24" s="94"/>
      <c r="C24" s="90"/>
      <c r="D24" s="94"/>
      <c r="E24" s="86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99"/>
      <c r="S24" s="100"/>
      <c r="T24" s="99"/>
      <c r="U24" s="100"/>
    </row>
    <row r="25" spans="1:21" x14ac:dyDescent="0.25">
      <c r="A25" s="90"/>
      <c r="B25" s="94"/>
      <c r="C25" s="90"/>
      <c r="D25" s="94"/>
      <c r="E25" s="86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99"/>
      <c r="S25" s="100"/>
      <c r="T25" s="99"/>
      <c r="U25" s="100"/>
    </row>
    <row r="26" spans="1:21" ht="15.75" thickBot="1" x14ac:dyDescent="0.3">
      <c r="A26" s="90"/>
      <c r="B26" s="94"/>
      <c r="C26" s="90"/>
      <c r="D26" s="94"/>
      <c r="E26" s="86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191"/>
      <c r="R26" s="99"/>
      <c r="S26" s="100"/>
      <c r="T26" s="99"/>
      <c r="U26" s="100"/>
    </row>
    <row r="27" spans="1:21" ht="15.75" thickTop="1" x14ac:dyDescent="0.25">
      <c r="A27" s="90"/>
      <c r="B27" s="94"/>
      <c r="C27" s="90"/>
      <c r="D27" s="94"/>
      <c r="E27" s="86"/>
      <c r="F27" s="232"/>
      <c r="G27" s="233" t="s">
        <v>72</v>
      </c>
      <c r="H27" s="234"/>
      <c r="I27" s="234"/>
      <c r="J27" s="234"/>
      <c r="K27" s="234"/>
      <c r="L27" s="234"/>
      <c r="M27" s="234"/>
      <c r="N27" s="234"/>
      <c r="O27" s="235"/>
      <c r="P27" s="239"/>
      <c r="Q27" s="101"/>
      <c r="R27" s="102"/>
      <c r="S27" s="103"/>
      <c r="T27" s="102"/>
      <c r="U27" s="103"/>
    </row>
    <row r="28" spans="1:21" ht="15.75" thickBot="1" x14ac:dyDescent="0.3">
      <c r="A28" s="90"/>
      <c r="B28" s="94"/>
      <c r="C28" s="90"/>
      <c r="D28" s="94"/>
      <c r="E28" s="86"/>
      <c r="F28" s="232"/>
      <c r="G28" s="236"/>
      <c r="H28" s="237"/>
      <c r="I28" s="237"/>
      <c r="J28" s="237"/>
      <c r="K28" s="237"/>
      <c r="L28" s="237"/>
      <c r="M28" s="237"/>
      <c r="N28" s="237"/>
      <c r="O28" s="238"/>
      <c r="P28" s="239"/>
      <c r="Q28" s="101"/>
      <c r="R28" s="102"/>
      <c r="S28" s="103"/>
      <c r="T28" s="102"/>
      <c r="U28" s="103"/>
    </row>
    <row r="29" spans="1:21" ht="24" thickTop="1" x14ac:dyDescent="0.25">
      <c r="A29" s="90"/>
      <c r="B29" s="94"/>
      <c r="C29" s="90"/>
      <c r="D29" s="94"/>
      <c r="E29" s="86"/>
      <c r="F29" s="104"/>
      <c r="G29" s="105"/>
      <c r="H29" s="105"/>
      <c r="I29" s="105"/>
      <c r="J29" s="105"/>
      <c r="K29" s="105"/>
      <c r="L29" s="105"/>
      <c r="M29" s="105"/>
      <c r="N29" s="105"/>
      <c r="O29" s="105"/>
      <c r="P29" s="101"/>
      <c r="Q29" s="101"/>
      <c r="R29" s="102"/>
      <c r="S29" s="103"/>
      <c r="T29" s="102"/>
      <c r="U29" s="103"/>
    </row>
    <row r="30" spans="1:21" ht="22.5" x14ac:dyDescent="0.25">
      <c r="A30" s="90"/>
      <c r="B30" s="94"/>
      <c r="C30" s="90"/>
      <c r="D30" s="94"/>
      <c r="E30" s="106"/>
      <c r="F30" s="228">
        <v>45355</v>
      </c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107"/>
      <c r="R30" s="108"/>
      <c r="S30" s="109"/>
      <c r="T30" s="108"/>
      <c r="U30" s="109"/>
    </row>
    <row r="31" spans="1:21" x14ac:dyDescent="0.25">
      <c r="A31" s="90"/>
      <c r="B31" s="94"/>
      <c r="C31" s="90"/>
      <c r="D31" s="106"/>
      <c r="E31" s="110"/>
      <c r="F31" s="20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2"/>
      <c r="R31" s="107"/>
      <c r="S31" s="109"/>
      <c r="T31" s="108"/>
      <c r="U31" s="109"/>
    </row>
    <row r="32" spans="1:21" x14ac:dyDescent="0.25">
      <c r="A32" s="90"/>
      <c r="B32" s="94"/>
      <c r="C32" s="113"/>
      <c r="D32" s="88"/>
      <c r="E32" s="88"/>
      <c r="F32" s="202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5"/>
      <c r="T32" s="108"/>
      <c r="U32" s="109"/>
    </row>
    <row r="33" spans="1:21" x14ac:dyDescent="0.25">
      <c r="A33" s="90"/>
      <c r="B33" s="106"/>
      <c r="C33" s="110"/>
      <c r="D33" s="110"/>
      <c r="E33" s="110"/>
      <c r="F33" s="203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07"/>
      <c r="U33" s="109"/>
    </row>
    <row r="34" spans="1:21" x14ac:dyDescent="0.25">
      <c r="A34" s="113"/>
      <c r="B34" s="116"/>
      <c r="C34" s="116"/>
      <c r="D34" s="116"/>
      <c r="E34" s="116"/>
      <c r="F34" s="20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5"/>
    </row>
  </sheetData>
  <mergeCells count="13">
    <mergeCell ref="F21:P21"/>
    <mergeCell ref="F8:P9"/>
    <mergeCell ref="F12:P12"/>
    <mergeCell ref="F15:P15"/>
    <mergeCell ref="F17:P17"/>
    <mergeCell ref="F18:P18"/>
    <mergeCell ref="F30:P30"/>
    <mergeCell ref="F22:P22"/>
    <mergeCell ref="F23:P23"/>
    <mergeCell ref="F26:P26"/>
    <mergeCell ref="F27:F28"/>
    <mergeCell ref="G27:O28"/>
    <mergeCell ref="P27:P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view="pageBreakPreview" topLeftCell="A31" zoomScaleNormal="100" zoomScaleSheetLayoutView="100" workbookViewId="0">
      <selection activeCell="I39" sqref="I39"/>
    </sheetView>
  </sheetViews>
  <sheetFormatPr defaultRowHeight="15" x14ac:dyDescent="0.25"/>
  <cols>
    <col min="1" max="1" width="7.5703125" style="118" customWidth="1"/>
    <col min="2" max="2" width="29" style="118" customWidth="1"/>
    <col min="3" max="3" width="9.28515625" style="118" customWidth="1"/>
    <col min="4" max="4" width="8.7109375" style="118" customWidth="1"/>
    <col min="5" max="5" width="14.7109375" style="118" customWidth="1"/>
    <col min="6" max="6" width="20" style="118" customWidth="1"/>
    <col min="7" max="16384" width="9.140625" style="118"/>
  </cols>
  <sheetData>
    <row r="1" spans="1:6" ht="30.75" customHeight="1" thickTop="1" x14ac:dyDescent="0.25">
      <c r="A1" s="242" t="s">
        <v>108</v>
      </c>
      <c r="B1" s="243"/>
      <c r="C1" s="243"/>
      <c r="D1" s="243"/>
      <c r="E1" s="243"/>
      <c r="F1" s="244"/>
    </row>
    <row r="2" spans="1:6" x14ac:dyDescent="0.25">
      <c r="A2" s="119" t="s">
        <v>0</v>
      </c>
      <c r="B2" s="120" t="s">
        <v>1</v>
      </c>
      <c r="C2" s="121" t="s">
        <v>2</v>
      </c>
      <c r="D2" s="122" t="s">
        <v>73</v>
      </c>
      <c r="E2" s="123" t="s">
        <v>74</v>
      </c>
      <c r="F2" s="124" t="s">
        <v>5</v>
      </c>
    </row>
    <row r="3" spans="1:6" x14ac:dyDescent="0.25">
      <c r="A3" s="125"/>
      <c r="B3" s="126"/>
      <c r="C3" s="127"/>
      <c r="D3" s="128"/>
      <c r="E3" s="129"/>
      <c r="F3" s="130" t="s">
        <v>75</v>
      </c>
    </row>
    <row r="4" spans="1:6" x14ac:dyDescent="0.25">
      <c r="A4" s="125"/>
      <c r="B4" s="131"/>
      <c r="C4" s="127"/>
      <c r="D4" s="128"/>
      <c r="E4" s="129"/>
      <c r="F4" s="130"/>
    </row>
    <row r="5" spans="1:6" x14ac:dyDescent="0.25">
      <c r="A5" s="132"/>
      <c r="B5" s="133"/>
      <c r="C5" s="134"/>
      <c r="D5" s="135"/>
      <c r="E5" s="136"/>
      <c r="F5" s="137"/>
    </row>
    <row r="6" spans="1:6" x14ac:dyDescent="0.25">
      <c r="A6" s="132"/>
      <c r="B6" s="138" t="s">
        <v>76</v>
      </c>
      <c r="C6" s="134"/>
      <c r="D6" s="135"/>
      <c r="E6" s="136"/>
      <c r="F6" s="137"/>
    </row>
    <row r="7" spans="1:6" x14ac:dyDescent="0.25">
      <c r="A7" s="132"/>
      <c r="B7" s="131"/>
      <c r="C7" s="134"/>
      <c r="D7" s="135"/>
      <c r="E7" s="136"/>
      <c r="F7" s="137"/>
    </row>
    <row r="8" spans="1:6" x14ac:dyDescent="0.25">
      <c r="A8" s="132">
        <v>1</v>
      </c>
      <c r="B8" s="139" t="s">
        <v>77</v>
      </c>
      <c r="C8" s="134"/>
      <c r="D8" s="135"/>
      <c r="E8" s="136"/>
      <c r="F8" s="137">
        <f>PRELIMINARIES!F36</f>
        <v>21200000</v>
      </c>
    </row>
    <row r="9" spans="1:6" x14ac:dyDescent="0.25">
      <c r="A9" s="132"/>
      <c r="B9" s="139"/>
      <c r="C9" s="134"/>
      <c r="D9" s="135"/>
      <c r="E9" s="136"/>
      <c r="F9" s="137"/>
    </row>
    <row r="10" spans="1:6" x14ac:dyDescent="0.25">
      <c r="A10" s="132"/>
      <c r="B10" s="139"/>
      <c r="C10" s="134"/>
      <c r="D10" s="135"/>
      <c r="E10" s="136"/>
      <c r="F10" s="137"/>
    </row>
    <row r="11" spans="1:6" x14ac:dyDescent="0.25">
      <c r="A11" s="132"/>
      <c r="B11" s="139"/>
      <c r="C11" s="134"/>
      <c r="D11" s="135"/>
      <c r="E11" s="136"/>
      <c r="F11" s="137"/>
    </row>
    <row r="12" spans="1:6" x14ac:dyDescent="0.25">
      <c r="A12" s="132">
        <v>2</v>
      </c>
      <c r="B12" s="139" t="s">
        <v>78</v>
      </c>
      <c r="C12" s="134"/>
      <c r="D12" s="135"/>
      <c r="E12" s="136"/>
      <c r="F12" s="137">
        <f>'TOOLS &amp; EQUIPMENT'!F11</f>
        <v>13075000</v>
      </c>
    </row>
    <row r="13" spans="1:6" x14ac:dyDescent="0.25">
      <c r="A13" s="132"/>
      <c r="B13" s="139"/>
      <c r="C13" s="134"/>
      <c r="D13" s="135"/>
      <c r="E13" s="136"/>
      <c r="F13" s="137"/>
    </row>
    <row r="14" spans="1:6" x14ac:dyDescent="0.25">
      <c r="A14" s="132"/>
      <c r="B14" s="139"/>
      <c r="C14" s="134"/>
      <c r="D14" s="135"/>
      <c r="E14" s="136"/>
      <c r="F14" s="137"/>
    </row>
    <row r="15" spans="1:6" x14ac:dyDescent="0.25">
      <c r="A15" s="132"/>
      <c r="B15" s="139"/>
      <c r="C15" s="134"/>
      <c r="D15" s="135"/>
      <c r="E15" s="136"/>
      <c r="F15" s="137"/>
    </row>
    <row r="16" spans="1:6" x14ac:dyDescent="0.25">
      <c r="A16" s="132">
        <v>3</v>
      </c>
      <c r="B16" s="139" t="s">
        <v>110</v>
      </c>
      <c r="C16" s="134"/>
      <c r="D16" s="135"/>
      <c r="E16" s="136"/>
      <c r="F16" s="137">
        <f>'COMMERCIAL BLOCK'!H28</f>
        <v>288463000</v>
      </c>
    </row>
    <row r="17" spans="1:10" x14ac:dyDescent="0.25">
      <c r="A17" s="132"/>
      <c r="B17" s="139"/>
      <c r="C17" s="134"/>
      <c r="D17" s="135"/>
      <c r="E17" s="136"/>
      <c r="F17" s="137"/>
    </row>
    <row r="18" spans="1:10" x14ac:dyDescent="0.25">
      <c r="A18" s="132"/>
      <c r="B18" s="139"/>
      <c r="C18" s="134"/>
      <c r="D18" s="135"/>
      <c r="E18" s="136"/>
      <c r="F18" s="137"/>
    </row>
    <row r="19" spans="1:10" x14ac:dyDescent="0.25">
      <c r="A19" s="132"/>
      <c r="B19" s="139"/>
      <c r="C19" s="134"/>
      <c r="D19" s="135"/>
      <c r="E19" s="136"/>
      <c r="F19" s="137"/>
    </row>
    <row r="20" spans="1:10" x14ac:dyDescent="0.25">
      <c r="A20" s="132">
        <v>4</v>
      </c>
      <c r="B20" s="139" t="s">
        <v>109</v>
      </c>
      <c r="C20" s="134"/>
      <c r="D20" s="135"/>
      <c r="E20" s="136"/>
      <c r="F20" s="137">
        <f>'RESIDENTIAL BLOCK'!H30</f>
        <v>297980000</v>
      </c>
    </row>
    <row r="21" spans="1:10" x14ac:dyDescent="0.25">
      <c r="A21" s="132"/>
      <c r="B21" s="139"/>
      <c r="C21" s="134"/>
      <c r="D21" s="135"/>
      <c r="E21" s="136"/>
      <c r="F21" s="137"/>
    </row>
    <row r="22" spans="1:10" x14ac:dyDescent="0.25">
      <c r="A22" s="132"/>
      <c r="B22" s="139"/>
      <c r="C22" s="134"/>
      <c r="D22" s="135"/>
      <c r="E22" s="136"/>
      <c r="F22" s="137"/>
    </row>
    <row r="23" spans="1:10" x14ac:dyDescent="0.25">
      <c r="A23" s="132"/>
      <c r="B23" s="139"/>
      <c r="C23" s="134"/>
      <c r="D23" s="135"/>
      <c r="E23" s="136"/>
      <c r="F23" s="137"/>
    </row>
    <row r="24" spans="1:10" x14ac:dyDescent="0.25">
      <c r="A24" s="132"/>
      <c r="B24" s="139"/>
      <c r="C24" s="134"/>
      <c r="D24" s="135"/>
      <c r="E24" s="136"/>
      <c r="F24" s="137"/>
    </row>
    <row r="25" spans="1:10" x14ac:dyDescent="0.25">
      <c r="A25" s="132"/>
      <c r="B25" s="139"/>
      <c r="C25" s="134"/>
      <c r="D25" s="135"/>
      <c r="E25" s="136"/>
      <c r="F25" s="137"/>
    </row>
    <row r="26" spans="1:10" x14ac:dyDescent="0.25">
      <c r="A26" s="132"/>
      <c r="B26" s="139"/>
      <c r="C26" s="134"/>
      <c r="D26" s="135"/>
      <c r="E26" s="136"/>
      <c r="F26" s="137"/>
      <c r="J26" s="118" t="s">
        <v>97</v>
      </c>
    </row>
    <row r="27" spans="1:10" x14ac:dyDescent="0.25">
      <c r="A27" s="132"/>
      <c r="B27" s="139"/>
      <c r="C27" s="134"/>
      <c r="D27" s="135"/>
      <c r="E27" s="136"/>
      <c r="F27" s="137"/>
    </row>
    <row r="28" spans="1:10" x14ac:dyDescent="0.25">
      <c r="A28" s="132"/>
      <c r="B28" s="139"/>
      <c r="C28" s="134"/>
      <c r="D28" s="135"/>
      <c r="E28" s="136"/>
      <c r="F28" s="137"/>
    </row>
    <row r="29" spans="1:10" x14ac:dyDescent="0.25">
      <c r="A29" s="132"/>
      <c r="B29" s="139"/>
      <c r="C29" s="134"/>
      <c r="D29" s="135"/>
      <c r="E29" s="136"/>
      <c r="F29" s="137"/>
    </row>
    <row r="30" spans="1:10" ht="15.75" thickBot="1" x14ac:dyDescent="0.3">
      <c r="A30" s="132"/>
      <c r="B30" s="131" t="s">
        <v>79</v>
      </c>
      <c r="C30" s="134"/>
      <c r="D30" s="135"/>
      <c r="E30" s="136"/>
      <c r="F30" s="140">
        <f>SUM(F8:F29)</f>
        <v>620718000</v>
      </c>
    </row>
    <row r="31" spans="1:10" ht="15.75" thickTop="1" x14ac:dyDescent="0.25">
      <c r="A31" s="132"/>
      <c r="B31" s="131"/>
      <c r="C31" s="134"/>
      <c r="D31" s="135"/>
      <c r="E31" s="136"/>
      <c r="F31" s="137"/>
    </row>
    <row r="32" spans="1:10" x14ac:dyDescent="0.25">
      <c r="A32" s="132"/>
      <c r="B32" s="131"/>
      <c r="C32" s="134"/>
      <c r="D32" s="135"/>
      <c r="E32" s="136"/>
      <c r="F32" s="137"/>
    </row>
    <row r="33" spans="1:6" x14ac:dyDescent="0.25">
      <c r="A33" s="132"/>
      <c r="B33" s="131"/>
      <c r="C33" s="134"/>
      <c r="D33" s="135"/>
      <c r="E33" s="136"/>
      <c r="F33" s="137"/>
    </row>
    <row r="34" spans="1:6" x14ac:dyDescent="0.25">
      <c r="A34" s="132"/>
      <c r="B34" s="131"/>
      <c r="C34" s="134"/>
      <c r="D34" s="135"/>
      <c r="E34" s="136"/>
      <c r="F34" s="137"/>
    </row>
    <row r="35" spans="1:6" x14ac:dyDescent="0.25">
      <c r="A35" s="132"/>
      <c r="B35" s="131"/>
      <c r="C35" s="134"/>
      <c r="D35" s="135"/>
      <c r="E35" s="136"/>
      <c r="F35" s="137"/>
    </row>
    <row r="36" spans="1:6" x14ac:dyDescent="0.25">
      <c r="A36" s="132"/>
      <c r="B36" s="139"/>
      <c r="C36" s="134"/>
      <c r="D36" s="135"/>
      <c r="E36" s="136"/>
      <c r="F36" s="137"/>
    </row>
    <row r="37" spans="1:6" x14ac:dyDescent="0.25">
      <c r="A37" s="132"/>
      <c r="B37" s="141" t="s">
        <v>133</v>
      </c>
      <c r="C37" s="134"/>
      <c r="D37" s="135"/>
      <c r="E37" s="136"/>
      <c r="F37" s="137">
        <f>0.03*F30</f>
        <v>18621540</v>
      </c>
    </row>
    <row r="38" spans="1:6" x14ac:dyDescent="0.25">
      <c r="A38" s="132"/>
      <c r="B38" s="141"/>
      <c r="C38" s="134"/>
      <c r="D38" s="135"/>
      <c r="E38" s="136"/>
      <c r="F38" s="137"/>
    </row>
    <row r="39" spans="1:6" x14ac:dyDescent="0.25">
      <c r="A39" s="132"/>
      <c r="B39" s="141"/>
      <c r="C39" s="134"/>
      <c r="D39" s="135"/>
      <c r="E39" s="136"/>
      <c r="F39" s="137"/>
    </row>
    <row r="40" spans="1:6" x14ac:dyDescent="0.25">
      <c r="A40" s="132"/>
      <c r="B40" s="141"/>
      <c r="C40" s="134"/>
      <c r="D40" s="135"/>
      <c r="E40" s="136"/>
      <c r="F40" s="137"/>
    </row>
    <row r="41" spans="1:6" x14ac:dyDescent="0.25">
      <c r="A41" s="132"/>
      <c r="B41" s="141"/>
      <c r="C41" s="134"/>
      <c r="D41" s="135"/>
      <c r="E41" s="136"/>
      <c r="F41" s="137"/>
    </row>
    <row r="42" spans="1:6" x14ac:dyDescent="0.25">
      <c r="A42" s="132"/>
      <c r="B42" s="139"/>
      <c r="C42" s="134"/>
      <c r="D42" s="135"/>
      <c r="E42" s="136"/>
      <c r="F42" s="137"/>
    </row>
    <row r="43" spans="1:6" x14ac:dyDescent="0.25">
      <c r="A43" s="132"/>
      <c r="B43" s="139"/>
      <c r="C43" s="134"/>
      <c r="D43" s="135"/>
      <c r="E43" s="136"/>
      <c r="F43" s="137"/>
    </row>
    <row r="44" spans="1:6" ht="15.75" thickBot="1" x14ac:dyDescent="0.3">
      <c r="A44" s="142"/>
      <c r="B44" s="143" t="s">
        <v>80</v>
      </c>
      <c r="C44" s="144"/>
      <c r="D44" s="145"/>
      <c r="E44" s="146"/>
      <c r="F44" s="147">
        <f>F30+F37</f>
        <v>639339540</v>
      </c>
    </row>
    <row r="45" spans="1:6" ht="15.75" thickTop="1" x14ac:dyDescent="0.25"/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view="pageBreakPreview" zoomScale="70" zoomScaleNormal="100" zoomScaleSheetLayoutView="70" workbookViewId="0">
      <selection sqref="A1:E1"/>
    </sheetView>
  </sheetViews>
  <sheetFormatPr defaultRowHeight="12.75" x14ac:dyDescent="0.2"/>
  <cols>
    <col min="1" max="1" width="9.140625" style="165"/>
    <col min="2" max="2" width="4.85546875" style="165" customWidth="1"/>
    <col min="3" max="3" width="56" style="165" customWidth="1"/>
    <col min="4" max="257" width="9.140625" style="165"/>
    <col min="258" max="258" width="4.85546875" style="165" customWidth="1"/>
    <col min="259" max="259" width="56" style="165" customWidth="1"/>
    <col min="260" max="513" width="9.140625" style="165"/>
    <col min="514" max="514" width="4.85546875" style="165" customWidth="1"/>
    <col min="515" max="515" width="56" style="165" customWidth="1"/>
    <col min="516" max="769" width="9.140625" style="165"/>
    <col min="770" max="770" width="4.85546875" style="165" customWidth="1"/>
    <col min="771" max="771" width="56" style="165" customWidth="1"/>
    <col min="772" max="1025" width="9.140625" style="165"/>
    <col min="1026" max="1026" width="4.85546875" style="165" customWidth="1"/>
    <col min="1027" max="1027" width="56" style="165" customWidth="1"/>
    <col min="1028" max="1281" width="9.140625" style="165"/>
    <col min="1282" max="1282" width="4.85546875" style="165" customWidth="1"/>
    <col min="1283" max="1283" width="56" style="165" customWidth="1"/>
    <col min="1284" max="1537" width="9.140625" style="165"/>
    <col min="1538" max="1538" width="4.85546875" style="165" customWidth="1"/>
    <col min="1539" max="1539" width="56" style="165" customWidth="1"/>
    <col min="1540" max="1793" width="9.140625" style="165"/>
    <col min="1794" max="1794" width="4.85546875" style="165" customWidth="1"/>
    <col min="1795" max="1795" width="56" style="165" customWidth="1"/>
    <col min="1796" max="2049" width="9.140625" style="165"/>
    <col min="2050" max="2050" width="4.85546875" style="165" customWidth="1"/>
    <col min="2051" max="2051" width="56" style="165" customWidth="1"/>
    <col min="2052" max="2305" width="9.140625" style="165"/>
    <col min="2306" max="2306" width="4.85546875" style="165" customWidth="1"/>
    <col min="2307" max="2307" width="56" style="165" customWidth="1"/>
    <col min="2308" max="2561" width="9.140625" style="165"/>
    <col min="2562" max="2562" width="4.85546875" style="165" customWidth="1"/>
    <col min="2563" max="2563" width="56" style="165" customWidth="1"/>
    <col min="2564" max="2817" width="9.140625" style="165"/>
    <col min="2818" max="2818" width="4.85546875" style="165" customWidth="1"/>
    <col min="2819" max="2819" width="56" style="165" customWidth="1"/>
    <col min="2820" max="3073" width="9.140625" style="165"/>
    <col min="3074" max="3074" width="4.85546875" style="165" customWidth="1"/>
    <col min="3075" max="3075" width="56" style="165" customWidth="1"/>
    <col min="3076" max="3329" width="9.140625" style="165"/>
    <col min="3330" max="3330" width="4.85546875" style="165" customWidth="1"/>
    <col min="3331" max="3331" width="56" style="165" customWidth="1"/>
    <col min="3332" max="3585" width="9.140625" style="165"/>
    <col min="3586" max="3586" width="4.85546875" style="165" customWidth="1"/>
    <col min="3587" max="3587" width="56" style="165" customWidth="1"/>
    <col min="3588" max="3841" width="9.140625" style="165"/>
    <col min="3842" max="3842" width="4.85546875" style="165" customWidth="1"/>
    <col min="3843" max="3843" width="56" style="165" customWidth="1"/>
    <col min="3844" max="4097" width="9.140625" style="165"/>
    <col min="4098" max="4098" width="4.85546875" style="165" customWidth="1"/>
    <col min="4099" max="4099" width="56" style="165" customWidth="1"/>
    <col min="4100" max="4353" width="9.140625" style="165"/>
    <col min="4354" max="4354" width="4.85546875" style="165" customWidth="1"/>
    <col min="4355" max="4355" width="56" style="165" customWidth="1"/>
    <col min="4356" max="4609" width="9.140625" style="165"/>
    <col min="4610" max="4610" width="4.85546875" style="165" customWidth="1"/>
    <col min="4611" max="4611" width="56" style="165" customWidth="1"/>
    <col min="4612" max="4865" width="9.140625" style="165"/>
    <col min="4866" max="4866" width="4.85546875" style="165" customWidth="1"/>
    <col min="4867" max="4867" width="56" style="165" customWidth="1"/>
    <col min="4868" max="5121" width="9.140625" style="165"/>
    <col min="5122" max="5122" width="4.85546875" style="165" customWidth="1"/>
    <col min="5123" max="5123" width="56" style="165" customWidth="1"/>
    <col min="5124" max="5377" width="9.140625" style="165"/>
    <col min="5378" max="5378" width="4.85546875" style="165" customWidth="1"/>
    <col min="5379" max="5379" width="56" style="165" customWidth="1"/>
    <col min="5380" max="5633" width="9.140625" style="165"/>
    <col min="5634" max="5634" width="4.85546875" style="165" customWidth="1"/>
    <col min="5635" max="5635" width="56" style="165" customWidth="1"/>
    <col min="5636" max="5889" width="9.140625" style="165"/>
    <col min="5890" max="5890" width="4.85546875" style="165" customWidth="1"/>
    <col min="5891" max="5891" width="56" style="165" customWidth="1"/>
    <col min="5892" max="6145" width="9.140625" style="165"/>
    <col min="6146" max="6146" width="4.85546875" style="165" customWidth="1"/>
    <col min="6147" max="6147" width="56" style="165" customWidth="1"/>
    <col min="6148" max="6401" width="9.140625" style="165"/>
    <col min="6402" max="6402" width="4.85546875" style="165" customWidth="1"/>
    <col min="6403" max="6403" width="56" style="165" customWidth="1"/>
    <col min="6404" max="6657" width="9.140625" style="165"/>
    <col min="6658" max="6658" width="4.85546875" style="165" customWidth="1"/>
    <col min="6659" max="6659" width="56" style="165" customWidth="1"/>
    <col min="6660" max="6913" width="9.140625" style="165"/>
    <col min="6914" max="6914" width="4.85546875" style="165" customWidth="1"/>
    <col min="6915" max="6915" width="56" style="165" customWidth="1"/>
    <col min="6916" max="7169" width="9.140625" style="165"/>
    <col min="7170" max="7170" width="4.85546875" style="165" customWidth="1"/>
    <col min="7171" max="7171" width="56" style="165" customWidth="1"/>
    <col min="7172" max="7425" width="9.140625" style="165"/>
    <col min="7426" max="7426" width="4.85546875" style="165" customWidth="1"/>
    <col min="7427" max="7427" width="56" style="165" customWidth="1"/>
    <col min="7428" max="7681" width="9.140625" style="165"/>
    <col min="7682" max="7682" width="4.85546875" style="165" customWidth="1"/>
    <col min="7683" max="7683" width="56" style="165" customWidth="1"/>
    <col min="7684" max="7937" width="9.140625" style="165"/>
    <col min="7938" max="7938" width="4.85546875" style="165" customWidth="1"/>
    <col min="7939" max="7939" width="56" style="165" customWidth="1"/>
    <col min="7940" max="8193" width="9.140625" style="165"/>
    <col min="8194" max="8194" width="4.85546875" style="165" customWidth="1"/>
    <col min="8195" max="8195" width="56" style="165" customWidth="1"/>
    <col min="8196" max="8449" width="9.140625" style="165"/>
    <col min="8450" max="8450" width="4.85546875" style="165" customWidth="1"/>
    <col min="8451" max="8451" width="56" style="165" customWidth="1"/>
    <col min="8452" max="8705" width="9.140625" style="165"/>
    <col min="8706" max="8706" width="4.85546875" style="165" customWidth="1"/>
    <col min="8707" max="8707" width="56" style="165" customWidth="1"/>
    <col min="8708" max="8961" width="9.140625" style="165"/>
    <col min="8962" max="8962" width="4.85546875" style="165" customWidth="1"/>
    <col min="8963" max="8963" width="56" style="165" customWidth="1"/>
    <col min="8964" max="9217" width="9.140625" style="165"/>
    <col min="9218" max="9218" width="4.85546875" style="165" customWidth="1"/>
    <col min="9219" max="9219" width="56" style="165" customWidth="1"/>
    <col min="9220" max="9473" width="9.140625" style="165"/>
    <col min="9474" max="9474" width="4.85546875" style="165" customWidth="1"/>
    <col min="9475" max="9475" width="56" style="165" customWidth="1"/>
    <col min="9476" max="9729" width="9.140625" style="165"/>
    <col min="9730" max="9730" width="4.85546875" style="165" customWidth="1"/>
    <col min="9731" max="9731" width="56" style="165" customWidth="1"/>
    <col min="9732" max="9985" width="9.140625" style="165"/>
    <col min="9986" max="9986" width="4.85546875" style="165" customWidth="1"/>
    <col min="9987" max="9987" width="56" style="165" customWidth="1"/>
    <col min="9988" max="10241" width="9.140625" style="165"/>
    <col min="10242" max="10242" width="4.85546875" style="165" customWidth="1"/>
    <col min="10243" max="10243" width="56" style="165" customWidth="1"/>
    <col min="10244" max="10497" width="9.140625" style="165"/>
    <col min="10498" max="10498" width="4.85546875" style="165" customWidth="1"/>
    <col min="10499" max="10499" width="56" style="165" customWidth="1"/>
    <col min="10500" max="10753" width="9.140625" style="165"/>
    <col min="10754" max="10754" width="4.85546875" style="165" customWidth="1"/>
    <col min="10755" max="10755" width="56" style="165" customWidth="1"/>
    <col min="10756" max="11009" width="9.140625" style="165"/>
    <col min="11010" max="11010" width="4.85546875" style="165" customWidth="1"/>
    <col min="11011" max="11011" width="56" style="165" customWidth="1"/>
    <col min="11012" max="11265" width="9.140625" style="165"/>
    <col min="11266" max="11266" width="4.85546875" style="165" customWidth="1"/>
    <col min="11267" max="11267" width="56" style="165" customWidth="1"/>
    <col min="11268" max="11521" width="9.140625" style="165"/>
    <col min="11522" max="11522" width="4.85546875" style="165" customWidth="1"/>
    <col min="11523" max="11523" width="56" style="165" customWidth="1"/>
    <col min="11524" max="11777" width="9.140625" style="165"/>
    <col min="11778" max="11778" width="4.85546875" style="165" customWidth="1"/>
    <col min="11779" max="11779" width="56" style="165" customWidth="1"/>
    <col min="11780" max="12033" width="9.140625" style="165"/>
    <col min="12034" max="12034" width="4.85546875" style="165" customWidth="1"/>
    <col min="12035" max="12035" width="56" style="165" customWidth="1"/>
    <col min="12036" max="12289" width="9.140625" style="165"/>
    <col min="12290" max="12290" width="4.85546875" style="165" customWidth="1"/>
    <col min="12291" max="12291" width="56" style="165" customWidth="1"/>
    <col min="12292" max="12545" width="9.140625" style="165"/>
    <col min="12546" max="12546" width="4.85546875" style="165" customWidth="1"/>
    <col min="12547" max="12547" width="56" style="165" customWidth="1"/>
    <col min="12548" max="12801" width="9.140625" style="165"/>
    <col min="12802" max="12802" width="4.85546875" style="165" customWidth="1"/>
    <col min="12803" max="12803" width="56" style="165" customWidth="1"/>
    <col min="12804" max="13057" width="9.140625" style="165"/>
    <col min="13058" max="13058" width="4.85546875" style="165" customWidth="1"/>
    <col min="13059" max="13059" width="56" style="165" customWidth="1"/>
    <col min="13060" max="13313" width="9.140625" style="165"/>
    <col min="13314" max="13314" width="4.85546875" style="165" customWidth="1"/>
    <col min="13315" max="13315" width="56" style="165" customWidth="1"/>
    <col min="13316" max="13569" width="9.140625" style="165"/>
    <col min="13570" max="13570" width="4.85546875" style="165" customWidth="1"/>
    <col min="13571" max="13571" width="56" style="165" customWidth="1"/>
    <col min="13572" max="13825" width="9.140625" style="165"/>
    <col min="13826" max="13826" width="4.85546875" style="165" customWidth="1"/>
    <col min="13827" max="13827" width="56" style="165" customWidth="1"/>
    <col min="13828" max="14081" width="9.140625" style="165"/>
    <col min="14082" max="14082" width="4.85546875" style="165" customWidth="1"/>
    <col min="14083" max="14083" width="56" style="165" customWidth="1"/>
    <col min="14084" max="14337" width="9.140625" style="165"/>
    <col min="14338" max="14338" width="4.85546875" style="165" customWidth="1"/>
    <col min="14339" max="14339" width="56" style="165" customWidth="1"/>
    <col min="14340" max="14593" width="9.140625" style="165"/>
    <col min="14594" max="14594" width="4.85546875" style="165" customWidth="1"/>
    <col min="14595" max="14595" width="56" style="165" customWidth="1"/>
    <col min="14596" max="14849" width="9.140625" style="165"/>
    <col min="14850" max="14850" width="4.85546875" style="165" customWidth="1"/>
    <col min="14851" max="14851" width="56" style="165" customWidth="1"/>
    <col min="14852" max="15105" width="9.140625" style="165"/>
    <col min="15106" max="15106" width="4.85546875" style="165" customWidth="1"/>
    <col min="15107" max="15107" width="56" style="165" customWidth="1"/>
    <col min="15108" max="15361" width="9.140625" style="165"/>
    <col min="15362" max="15362" width="4.85546875" style="165" customWidth="1"/>
    <col min="15363" max="15363" width="56" style="165" customWidth="1"/>
    <col min="15364" max="15617" width="9.140625" style="165"/>
    <col min="15618" max="15618" width="4.85546875" style="165" customWidth="1"/>
    <col min="15619" max="15619" width="56" style="165" customWidth="1"/>
    <col min="15620" max="15873" width="9.140625" style="165"/>
    <col min="15874" max="15874" width="4.85546875" style="165" customWidth="1"/>
    <col min="15875" max="15875" width="56" style="165" customWidth="1"/>
    <col min="15876" max="16129" width="9.140625" style="165"/>
    <col min="16130" max="16130" width="4.85546875" style="165" customWidth="1"/>
    <col min="16131" max="16131" width="56" style="165" customWidth="1"/>
    <col min="16132" max="16384" width="9.140625" style="165"/>
  </cols>
  <sheetData>
    <row r="1" spans="1:5" ht="32.25" customHeight="1" thickTop="1" x14ac:dyDescent="0.25">
      <c r="A1" s="245" t="s">
        <v>108</v>
      </c>
      <c r="B1" s="246"/>
      <c r="C1" s="246"/>
      <c r="D1" s="246"/>
      <c r="E1" s="247"/>
    </row>
    <row r="2" spans="1:5" x14ac:dyDescent="0.2">
      <c r="A2" s="166"/>
      <c r="B2" s="167"/>
      <c r="C2" s="167"/>
      <c r="D2" s="167"/>
      <c r="E2" s="168"/>
    </row>
    <row r="3" spans="1:5" x14ac:dyDescent="0.2">
      <c r="A3" s="166"/>
      <c r="B3" s="167"/>
      <c r="C3" s="167"/>
      <c r="D3" s="167"/>
      <c r="E3" s="168"/>
    </row>
    <row r="4" spans="1:5" x14ac:dyDescent="0.2">
      <c r="A4" s="166"/>
      <c r="B4" s="167"/>
      <c r="C4" s="167"/>
      <c r="D4" s="167"/>
      <c r="E4" s="168"/>
    </row>
    <row r="5" spans="1:5" x14ac:dyDescent="0.2">
      <c r="A5" s="166"/>
      <c r="B5" s="167"/>
      <c r="C5" s="167"/>
      <c r="D5" s="167"/>
      <c r="E5" s="168"/>
    </row>
    <row r="6" spans="1:5" x14ac:dyDescent="0.2">
      <c r="A6" s="166"/>
      <c r="B6" s="167"/>
      <c r="C6" s="167"/>
      <c r="D6" s="167"/>
      <c r="E6" s="168"/>
    </row>
    <row r="7" spans="1:5" ht="33" x14ac:dyDescent="0.45">
      <c r="A7" s="166"/>
      <c r="B7" s="167"/>
      <c r="C7" s="169" t="s">
        <v>89</v>
      </c>
      <c r="D7" s="167"/>
      <c r="E7" s="168"/>
    </row>
    <row r="8" spans="1:5" x14ac:dyDescent="0.2">
      <c r="A8" s="166"/>
      <c r="B8" s="167"/>
      <c r="C8" s="167"/>
      <c r="D8" s="167"/>
      <c r="E8" s="168"/>
    </row>
    <row r="9" spans="1:5" x14ac:dyDescent="0.2">
      <c r="A9" s="166"/>
      <c r="B9" s="167"/>
      <c r="C9" s="167"/>
      <c r="D9" s="167"/>
      <c r="E9" s="168"/>
    </row>
    <row r="10" spans="1:5" x14ac:dyDescent="0.2">
      <c r="A10" s="166"/>
      <c r="B10" s="167"/>
      <c r="C10" s="167"/>
      <c r="D10" s="167"/>
      <c r="E10" s="168"/>
    </row>
    <row r="11" spans="1:5" x14ac:dyDescent="0.2">
      <c r="A11" s="166"/>
      <c r="B11" s="167"/>
      <c r="C11" s="167"/>
      <c r="D11" s="167"/>
      <c r="E11" s="168"/>
    </row>
    <row r="12" spans="1:5" x14ac:dyDescent="0.2">
      <c r="A12" s="166"/>
      <c r="B12" s="167"/>
      <c r="C12" s="167"/>
      <c r="D12" s="167"/>
      <c r="E12" s="168"/>
    </row>
    <row r="13" spans="1:5" x14ac:dyDescent="0.2">
      <c r="A13" s="166"/>
      <c r="B13" s="167"/>
      <c r="C13" s="167"/>
      <c r="D13" s="167"/>
      <c r="E13" s="168"/>
    </row>
    <row r="14" spans="1:5" x14ac:dyDescent="0.2">
      <c r="A14" s="166"/>
      <c r="B14" s="167"/>
      <c r="C14" s="167"/>
      <c r="D14" s="167"/>
      <c r="E14" s="168"/>
    </row>
    <row r="15" spans="1:5" x14ac:dyDescent="0.2">
      <c r="A15" s="166"/>
      <c r="B15" s="167"/>
      <c r="C15" s="167"/>
      <c r="D15" s="167"/>
      <c r="E15" s="168"/>
    </row>
    <row r="16" spans="1:5" x14ac:dyDescent="0.2">
      <c r="A16" s="166"/>
      <c r="B16" s="167"/>
      <c r="C16" s="167"/>
      <c r="D16" s="167"/>
      <c r="E16" s="168"/>
    </row>
    <row r="17" spans="1:5" x14ac:dyDescent="0.2">
      <c r="A17" s="166"/>
      <c r="B17" s="167"/>
      <c r="C17" s="167"/>
      <c r="D17" s="167"/>
      <c r="E17" s="168"/>
    </row>
    <row r="18" spans="1:5" ht="45" x14ac:dyDescent="0.6">
      <c r="A18" s="166"/>
      <c r="B18" s="167"/>
      <c r="C18" s="170" t="s">
        <v>77</v>
      </c>
      <c r="D18" s="171"/>
      <c r="E18" s="168"/>
    </row>
    <row r="19" spans="1:5" x14ac:dyDescent="0.2">
      <c r="A19" s="166"/>
      <c r="B19" s="167"/>
      <c r="C19" s="167"/>
      <c r="D19" s="167"/>
      <c r="E19" s="168"/>
    </row>
    <row r="20" spans="1:5" x14ac:dyDescent="0.2">
      <c r="A20" s="166"/>
      <c r="B20" s="167"/>
      <c r="C20" s="167"/>
      <c r="D20" s="167"/>
      <c r="E20" s="168"/>
    </row>
    <row r="21" spans="1:5" x14ac:dyDescent="0.2">
      <c r="A21" s="166"/>
      <c r="B21" s="167"/>
      <c r="C21" s="167"/>
      <c r="D21" s="167"/>
      <c r="E21" s="168"/>
    </row>
    <row r="22" spans="1:5" x14ac:dyDescent="0.2">
      <c r="A22" s="166"/>
      <c r="B22" s="167"/>
      <c r="C22" s="167"/>
      <c r="D22" s="167"/>
      <c r="E22" s="168"/>
    </row>
    <row r="23" spans="1:5" x14ac:dyDescent="0.2">
      <c r="A23" s="166"/>
      <c r="B23" s="167"/>
      <c r="C23" s="167"/>
      <c r="D23" s="167"/>
      <c r="E23" s="168"/>
    </row>
    <row r="24" spans="1:5" x14ac:dyDescent="0.2">
      <c r="A24" s="166"/>
      <c r="B24" s="167"/>
      <c r="C24" s="167"/>
      <c r="D24" s="167"/>
      <c r="E24" s="168"/>
    </row>
    <row r="25" spans="1:5" x14ac:dyDescent="0.2">
      <c r="A25" s="166"/>
      <c r="B25" s="167"/>
      <c r="C25" s="167"/>
      <c r="D25" s="167"/>
      <c r="E25" s="168"/>
    </row>
    <row r="26" spans="1:5" x14ac:dyDescent="0.2">
      <c r="A26" s="166"/>
      <c r="B26" s="167"/>
      <c r="C26" s="167"/>
      <c r="D26" s="167"/>
      <c r="E26" s="168"/>
    </row>
    <row r="27" spans="1:5" x14ac:dyDescent="0.2">
      <c r="A27" s="166"/>
      <c r="B27" s="167"/>
      <c r="C27" s="167"/>
      <c r="D27" s="167"/>
      <c r="E27" s="168"/>
    </row>
    <row r="28" spans="1:5" x14ac:dyDescent="0.2">
      <c r="A28" s="166"/>
      <c r="B28" s="167"/>
      <c r="C28" s="167"/>
      <c r="D28" s="167"/>
      <c r="E28" s="168"/>
    </row>
    <row r="29" spans="1:5" x14ac:dyDescent="0.2">
      <c r="A29" s="166"/>
      <c r="B29" s="167"/>
      <c r="C29" s="167"/>
      <c r="D29" s="167"/>
      <c r="E29" s="168"/>
    </row>
    <row r="30" spans="1:5" x14ac:dyDescent="0.2">
      <c r="A30" s="166"/>
      <c r="B30" s="167"/>
      <c r="C30" s="167"/>
      <c r="D30" s="167"/>
      <c r="E30" s="168"/>
    </row>
    <row r="31" spans="1:5" x14ac:dyDescent="0.2">
      <c r="A31" s="166"/>
      <c r="B31" s="167"/>
      <c r="C31" s="167"/>
      <c r="D31" s="167"/>
      <c r="E31" s="168"/>
    </row>
    <row r="32" spans="1:5" x14ac:dyDescent="0.2">
      <c r="A32" s="166"/>
      <c r="B32" s="167"/>
      <c r="C32" s="167"/>
      <c r="D32" s="167"/>
      <c r="E32" s="168"/>
    </row>
    <row r="33" spans="1:5" x14ac:dyDescent="0.2">
      <c r="A33" s="166"/>
      <c r="B33" s="167"/>
      <c r="C33" s="167"/>
      <c r="D33" s="167"/>
      <c r="E33" s="168"/>
    </row>
    <row r="34" spans="1:5" x14ac:dyDescent="0.2">
      <c r="A34" s="166"/>
      <c r="B34" s="167"/>
      <c r="C34" s="167"/>
      <c r="D34" s="167"/>
      <c r="E34" s="168"/>
    </row>
    <row r="35" spans="1:5" x14ac:dyDescent="0.2">
      <c r="A35" s="166"/>
      <c r="B35" s="167"/>
      <c r="C35" s="167"/>
      <c r="D35" s="167"/>
      <c r="E35" s="168"/>
    </row>
    <row r="36" spans="1:5" x14ac:dyDescent="0.2">
      <c r="A36" s="166"/>
      <c r="B36" s="167"/>
      <c r="C36" s="167"/>
      <c r="D36" s="167"/>
      <c r="E36" s="168"/>
    </row>
    <row r="37" spans="1:5" x14ac:dyDescent="0.2">
      <c r="A37" s="166"/>
      <c r="B37" s="167"/>
      <c r="C37" s="167"/>
      <c r="D37" s="167"/>
      <c r="E37" s="168"/>
    </row>
    <row r="38" spans="1:5" x14ac:dyDescent="0.2">
      <c r="A38" s="166"/>
      <c r="B38" s="167"/>
      <c r="C38" s="167"/>
      <c r="D38" s="167"/>
      <c r="E38" s="168"/>
    </row>
    <row r="39" spans="1:5" x14ac:dyDescent="0.2">
      <c r="A39" s="166"/>
      <c r="B39" s="167"/>
      <c r="C39" s="167"/>
      <c r="D39" s="167"/>
      <c r="E39" s="168"/>
    </row>
    <row r="40" spans="1:5" x14ac:dyDescent="0.2">
      <c r="A40" s="166"/>
      <c r="B40" s="167"/>
      <c r="C40" s="167"/>
      <c r="D40" s="167"/>
      <c r="E40" s="168"/>
    </row>
    <row r="41" spans="1:5" x14ac:dyDescent="0.2">
      <c r="A41" s="166"/>
      <c r="B41" s="167"/>
      <c r="C41" s="167"/>
      <c r="D41" s="167"/>
      <c r="E41" s="168"/>
    </row>
    <row r="42" spans="1:5" x14ac:dyDescent="0.2">
      <c r="A42" s="166"/>
      <c r="B42" s="167"/>
      <c r="C42" s="167"/>
      <c r="D42" s="167"/>
      <c r="E42" s="168"/>
    </row>
    <row r="43" spans="1:5" x14ac:dyDescent="0.2">
      <c r="A43" s="166"/>
      <c r="B43" s="167"/>
      <c r="C43" s="167"/>
      <c r="D43" s="167"/>
      <c r="E43" s="168"/>
    </row>
    <row r="44" spans="1:5" x14ac:dyDescent="0.2">
      <c r="A44" s="166"/>
      <c r="B44" s="167"/>
      <c r="C44" s="167"/>
      <c r="D44" s="167"/>
      <c r="E44" s="168"/>
    </row>
    <row r="45" spans="1:5" x14ac:dyDescent="0.2">
      <c r="A45" s="166"/>
      <c r="B45" s="167"/>
      <c r="C45" s="167"/>
      <c r="D45" s="167"/>
      <c r="E45" s="168"/>
    </row>
    <row r="46" spans="1:5" x14ac:dyDescent="0.2">
      <c r="A46" s="166"/>
      <c r="B46" s="167"/>
      <c r="C46" s="167"/>
      <c r="D46" s="167"/>
      <c r="E46" s="168"/>
    </row>
    <row r="47" spans="1:5" x14ac:dyDescent="0.2">
      <c r="A47" s="166"/>
      <c r="B47" s="167"/>
      <c r="C47" s="167"/>
      <c r="D47" s="167"/>
      <c r="E47" s="168"/>
    </row>
    <row r="48" spans="1:5" x14ac:dyDescent="0.2">
      <c r="A48" s="166"/>
      <c r="B48" s="167"/>
      <c r="C48" s="167"/>
      <c r="D48" s="167"/>
      <c r="E48" s="168"/>
    </row>
    <row r="49" spans="1:5" ht="13.5" thickBot="1" x14ac:dyDescent="0.25">
      <c r="A49" s="172"/>
      <c r="B49" s="173"/>
      <c r="C49" s="173"/>
      <c r="D49" s="173"/>
      <c r="E49" s="174" t="s">
        <v>90</v>
      </c>
    </row>
    <row r="50" spans="1:5" ht="13.5" thickTop="1" x14ac:dyDescent="0.2"/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view="pageBreakPreview" topLeftCell="A22" zoomScaleNormal="100" zoomScaleSheetLayoutView="100" workbookViewId="0">
      <selection activeCell="K19" sqref="K19"/>
    </sheetView>
  </sheetViews>
  <sheetFormatPr defaultRowHeight="15" x14ac:dyDescent="0.25"/>
  <cols>
    <col min="2" max="2" width="28.140625" customWidth="1"/>
    <col min="3" max="3" width="13.5703125" customWidth="1"/>
    <col min="4" max="4" width="11.140625" customWidth="1"/>
    <col min="5" max="5" width="9.7109375" customWidth="1"/>
    <col min="6" max="6" width="15.28515625" customWidth="1"/>
  </cols>
  <sheetData>
    <row r="1" spans="1:6" ht="32.25" customHeight="1" thickTop="1" x14ac:dyDescent="0.25">
      <c r="A1" s="242" t="s">
        <v>108</v>
      </c>
      <c r="B1" s="243"/>
      <c r="C1" s="243"/>
      <c r="D1" s="243"/>
      <c r="E1" s="243"/>
      <c r="F1" s="244"/>
    </row>
    <row r="2" spans="1:6" x14ac:dyDescent="0.25">
      <c r="A2" s="148"/>
      <c r="B2" s="149"/>
      <c r="C2" s="149"/>
      <c r="D2" s="149"/>
      <c r="E2" s="149"/>
      <c r="F2" s="150"/>
    </row>
    <row r="3" spans="1:6" x14ac:dyDescent="0.25">
      <c r="A3" s="151"/>
      <c r="B3" s="152" t="s">
        <v>83</v>
      </c>
      <c r="C3" s="153"/>
      <c r="D3" s="153"/>
      <c r="E3" s="153"/>
      <c r="F3" s="154"/>
    </row>
    <row r="4" spans="1:6" x14ac:dyDescent="0.25">
      <c r="A4" s="151"/>
      <c r="B4" s="152"/>
      <c r="C4" s="153"/>
      <c r="D4" s="153"/>
      <c r="E4" s="153"/>
      <c r="F4" s="154"/>
    </row>
    <row r="5" spans="1:6" x14ac:dyDescent="0.25">
      <c r="A5" s="151"/>
      <c r="B5" s="152"/>
      <c r="C5" s="153"/>
      <c r="D5" s="153"/>
      <c r="E5" s="153"/>
      <c r="F5" s="154"/>
    </row>
    <row r="6" spans="1:6" x14ac:dyDescent="0.25">
      <c r="A6" s="151"/>
      <c r="B6" s="152"/>
      <c r="C6" s="153"/>
      <c r="D6" s="153"/>
      <c r="E6" s="153"/>
      <c r="F6" s="154"/>
    </row>
    <row r="7" spans="1:6" x14ac:dyDescent="0.25">
      <c r="A7" s="155"/>
      <c r="B7" s="156"/>
      <c r="C7" s="156"/>
      <c r="D7" s="156"/>
      <c r="E7" s="156"/>
      <c r="F7" s="157"/>
    </row>
    <row r="8" spans="1:6" x14ac:dyDescent="0.25">
      <c r="A8" s="158" t="s">
        <v>0</v>
      </c>
      <c r="B8" s="159" t="s">
        <v>1</v>
      </c>
      <c r="C8" s="160" t="s">
        <v>2</v>
      </c>
      <c r="D8" s="161" t="s">
        <v>3</v>
      </c>
      <c r="E8" s="162" t="s">
        <v>4</v>
      </c>
      <c r="F8" s="163" t="s">
        <v>5</v>
      </c>
    </row>
    <row r="9" spans="1:6" ht="24.75" customHeight="1" x14ac:dyDescent="0.25">
      <c r="A9" s="79"/>
      <c r="B9" s="11" t="s">
        <v>77</v>
      </c>
      <c r="C9" s="52"/>
      <c r="D9" s="20"/>
      <c r="E9" s="30"/>
      <c r="F9" s="31"/>
    </row>
    <row r="10" spans="1:6" ht="24.75" customHeight="1" x14ac:dyDescent="0.25">
      <c r="A10" s="79"/>
      <c r="B10" s="11"/>
      <c r="C10" s="52"/>
      <c r="D10" s="20"/>
      <c r="E10" s="30"/>
      <c r="F10" s="31"/>
    </row>
    <row r="11" spans="1:6" ht="27" customHeight="1" x14ac:dyDescent="0.25">
      <c r="A11" s="16">
        <v>1</v>
      </c>
      <c r="B11" s="36" t="s">
        <v>84</v>
      </c>
      <c r="C11" s="12" t="s">
        <v>0</v>
      </c>
      <c r="D11" s="54"/>
      <c r="E11" s="14"/>
      <c r="F11" s="15">
        <v>4700000</v>
      </c>
    </row>
    <row r="12" spans="1:6" ht="27" customHeight="1" x14ac:dyDescent="0.25">
      <c r="A12" s="16"/>
      <c r="B12" s="36"/>
      <c r="C12" s="12"/>
      <c r="D12" s="54"/>
      <c r="E12" s="14"/>
      <c r="F12" s="15"/>
    </row>
    <row r="13" spans="1:6" ht="27" customHeight="1" x14ac:dyDescent="0.25">
      <c r="A13" s="16"/>
      <c r="B13" s="36"/>
      <c r="C13" s="12"/>
      <c r="D13" s="54"/>
      <c r="E13" s="14"/>
      <c r="F13" s="15"/>
    </row>
    <row r="14" spans="1:6" ht="17.25" customHeight="1" x14ac:dyDescent="0.25">
      <c r="A14" s="16">
        <f>A11+1</f>
        <v>2</v>
      </c>
      <c r="B14" s="36" t="s">
        <v>85</v>
      </c>
      <c r="C14" s="12" t="s">
        <v>0</v>
      </c>
      <c r="D14" s="164"/>
      <c r="E14" s="50"/>
      <c r="F14" s="15">
        <v>4800000</v>
      </c>
    </row>
    <row r="15" spans="1:6" ht="17.25" customHeight="1" x14ac:dyDescent="0.25">
      <c r="A15" s="16"/>
      <c r="B15" s="36"/>
      <c r="C15" s="12"/>
      <c r="D15" s="164"/>
      <c r="E15" s="50"/>
      <c r="F15" s="15"/>
    </row>
    <row r="16" spans="1:6" ht="17.25" customHeight="1" x14ac:dyDescent="0.25">
      <c r="A16" s="16"/>
      <c r="B16" s="36"/>
      <c r="C16" s="12"/>
      <c r="D16" s="164"/>
      <c r="E16" s="50"/>
      <c r="F16" s="15"/>
    </row>
    <row r="17" spans="1:6" ht="20.25" customHeight="1" x14ac:dyDescent="0.25">
      <c r="A17" s="16">
        <v>3</v>
      </c>
      <c r="B17" s="36" t="s">
        <v>86</v>
      </c>
      <c r="C17" s="12" t="s">
        <v>0</v>
      </c>
      <c r="D17" s="164"/>
      <c r="E17" s="50"/>
      <c r="F17" s="15">
        <v>5400000</v>
      </c>
    </row>
    <row r="18" spans="1:6" ht="20.25" customHeight="1" x14ac:dyDescent="0.25">
      <c r="A18" s="16"/>
      <c r="B18" s="36"/>
      <c r="C18" s="12"/>
      <c r="D18" s="164"/>
      <c r="E18" s="50"/>
      <c r="F18" s="15"/>
    </row>
    <row r="19" spans="1:6" ht="20.25" customHeight="1" x14ac:dyDescent="0.25">
      <c r="A19" s="16"/>
      <c r="B19" s="36"/>
      <c r="C19" s="12"/>
      <c r="D19" s="164"/>
      <c r="E19" s="50"/>
      <c r="F19" s="15"/>
    </row>
    <row r="20" spans="1:6" ht="18" customHeight="1" x14ac:dyDescent="0.25">
      <c r="A20" s="16">
        <v>4</v>
      </c>
      <c r="B20" s="36" t="s">
        <v>87</v>
      </c>
      <c r="C20" s="12" t="s">
        <v>0</v>
      </c>
      <c r="D20" s="164"/>
      <c r="E20" s="50"/>
      <c r="F20" s="15">
        <v>6300000</v>
      </c>
    </row>
    <row r="21" spans="1:6" ht="18" customHeight="1" x14ac:dyDescent="0.25">
      <c r="A21" s="16"/>
      <c r="B21" s="36"/>
      <c r="C21" s="12"/>
      <c r="D21" s="164"/>
      <c r="E21" s="50"/>
      <c r="F21" s="15"/>
    </row>
    <row r="22" spans="1:6" ht="18" customHeight="1" x14ac:dyDescent="0.25">
      <c r="A22" s="16"/>
      <c r="B22" s="36"/>
      <c r="C22" s="12"/>
      <c r="D22" s="164"/>
      <c r="E22" s="50"/>
      <c r="F22" s="15"/>
    </row>
    <row r="23" spans="1:6" ht="18" customHeight="1" x14ac:dyDescent="0.25">
      <c r="A23" s="16"/>
      <c r="B23" s="36"/>
      <c r="C23" s="12"/>
      <c r="D23" s="164"/>
      <c r="E23" s="50"/>
      <c r="F23" s="15"/>
    </row>
    <row r="24" spans="1:6" ht="18" customHeight="1" x14ac:dyDescent="0.25">
      <c r="A24" s="16"/>
      <c r="B24" s="36"/>
      <c r="C24" s="12"/>
      <c r="D24" s="164"/>
      <c r="E24" s="50"/>
      <c r="F24" s="15"/>
    </row>
    <row r="25" spans="1:6" ht="18" customHeight="1" x14ac:dyDescent="0.25">
      <c r="A25" s="16"/>
      <c r="B25" s="36"/>
      <c r="C25" s="12"/>
      <c r="D25" s="164"/>
      <c r="E25" s="50"/>
      <c r="F25" s="15"/>
    </row>
    <row r="26" spans="1:6" ht="18" customHeight="1" x14ac:dyDescent="0.25">
      <c r="A26" s="16"/>
      <c r="B26" s="36"/>
      <c r="C26" s="12"/>
      <c r="D26" s="164"/>
      <c r="E26" s="50"/>
      <c r="F26" s="15"/>
    </row>
    <row r="27" spans="1:6" ht="18" customHeight="1" x14ac:dyDescent="0.25">
      <c r="A27" s="16"/>
      <c r="B27" s="36"/>
      <c r="C27" s="12"/>
      <c r="D27" s="164"/>
      <c r="E27" s="50"/>
      <c r="F27" s="15"/>
    </row>
    <row r="28" spans="1:6" ht="18" customHeight="1" x14ac:dyDescent="0.25">
      <c r="A28" s="16"/>
      <c r="B28" s="36"/>
      <c r="C28" s="12"/>
      <c r="D28" s="164"/>
      <c r="E28" s="50"/>
      <c r="F28" s="15"/>
    </row>
    <row r="29" spans="1:6" ht="18" customHeight="1" x14ac:dyDescent="0.25">
      <c r="A29" s="16"/>
      <c r="B29" s="36"/>
      <c r="C29" s="12"/>
      <c r="D29" s="164"/>
      <c r="E29" s="50"/>
      <c r="F29" s="15"/>
    </row>
    <row r="30" spans="1:6" ht="18" customHeight="1" x14ac:dyDescent="0.25">
      <c r="A30" s="16"/>
      <c r="B30" s="36"/>
      <c r="C30" s="12"/>
      <c r="D30" s="164"/>
      <c r="E30" s="50"/>
      <c r="F30" s="15"/>
    </row>
    <row r="31" spans="1:6" ht="18" customHeight="1" x14ac:dyDescent="0.25">
      <c r="A31" s="16"/>
      <c r="B31" s="36"/>
      <c r="C31" s="12"/>
      <c r="D31" s="164"/>
      <c r="E31" s="50"/>
      <c r="F31" s="15"/>
    </row>
    <row r="32" spans="1:6" ht="18" customHeight="1" x14ac:dyDescent="0.25">
      <c r="A32" s="16"/>
      <c r="B32" s="36"/>
      <c r="C32" s="12"/>
      <c r="D32" s="164"/>
      <c r="E32" s="50"/>
      <c r="F32" s="15"/>
    </row>
    <row r="33" spans="1:6" ht="18" customHeight="1" x14ac:dyDescent="0.25">
      <c r="A33" s="16"/>
      <c r="B33" s="36"/>
      <c r="C33" s="12"/>
      <c r="D33" s="164"/>
      <c r="E33" s="50"/>
      <c r="F33" s="15"/>
    </row>
    <row r="34" spans="1:6" ht="18" customHeight="1" x14ac:dyDescent="0.25">
      <c r="A34" s="16"/>
      <c r="B34" s="36"/>
      <c r="C34" s="12"/>
      <c r="D34" s="164"/>
      <c r="E34" s="50"/>
      <c r="F34" s="15"/>
    </row>
    <row r="35" spans="1:6" x14ac:dyDescent="0.25">
      <c r="A35" s="16"/>
      <c r="B35" s="36"/>
      <c r="C35" s="12"/>
      <c r="D35" s="164"/>
      <c r="E35" s="50"/>
      <c r="F35" s="15"/>
    </row>
    <row r="36" spans="1:6" ht="33.75" customHeight="1" thickBot="1" x14ac:dyDescent="0.3">
      <c r="A36" s="23"/>
      <c r="B36" s="24" t="s">
        <v>88</v>
      </c>
      <c r="C36" s="25"/>
      <c r="D36" s="47"/>
      <c r="E36" s="27"/>
      <c r="F36" s="28">
        <f>SUM(F11:F20)</f>
        <v>21200000</v>
      </c>
    </row>
    <row r="37" spans="1:6" ht="15.75" thickTop="1" x14ac:dyDescent="0.25"/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view="pageBreakPreview" topLeftCell="A4" zoomScale="80" zoomScaleNormal="100" zoomScaleSheetLayoutView="80" workbookViewId="0">
      <selection activeCell="D16" sqref="D16"/>
    </sheetView>
  </sheetViews>
  <sheetFormatPr defaultRowHeight="12.75" x14ac:dyDescent="0.2"/>
  <cols>
    <col min="1" max="1" width="9.140625" style="165"/>
    <col min="2" max="2" width="4.85546875" style="165" customWidth="1"/>
    <col min="3" max="3" width="56" style="165" customWidth="1"/>
    <col min="4" max="257" width="9.140625" style="165"/>
    <col min="258" max="258" width="4.85546875" style="165" customWidth="1"/>
    <col min="259" max="259" width="56" style="165" customWidth="1"/>
    <col min="260" max="513" width="9.140625" style="165"/>
    <col min="514" max="514" width="4.85546875" style="165" customWidth="1"/>
    <col min="515" max="515" width="56" style="165" customWidth="1"/>
    <col min="516" max="769" width="9.140625" style="165"/>
    <col min="770" max="770" width="4.85546875" style="165" customWidth="1"/>
    <col min="771" max="771" width="56" style="165" customWidth="1"/>
    <col min="772" max="1025" width="9.140625" style="165"/>
    <col min="1026" max="1026" width="4.85546875" style="165" customWidth="1"/>
    <col min="1027" max="1027" width="56" style="165" customWidth="1"/>
    <col min="1028" max="1281" width="9.140625" style="165"/>
    <col min="1282" max="1282" width="4.85546875" style="165" customWidth="1"/>
    <col min="1283" max="1283" width="56" style="165" customWidth="1"/>
    <col min="1284" max="1537" width="9.140625" style="165"/>
    <col min="1538" max="1538" width="4.85546875" style="165" customWidth="1"/>
    <col min="1539" max="1539" width="56" style="165" customWidth="1"/>
    <col min="1540" max="1793" width="9.140625" style="165"/>
    <col min="1794" max="1794" width="4.85546875" style="165" customWidth="1"/>
    <col min="1795" max="1795" width="56" style="165" customWidth="1"/>
    <col min="1796" max="2049" width="9.140625" style="165"/>
    <col min="2050" max="2050" width="4.85546875" style="165" customWidth="1"/>
    <col min="2051" max="2051" width="56" style="165" customWidth="1"/>
    <col min="2052" max="2305" width="9.140625" style="165"/>
    <col min="2306" max="2306" width="4.85546875" style="165" customWidth="1"/>
    <col min="2307" max="2307" width="56" style="165" customWidth="1"/>
    <col min="2308" max="2561" width="9.140625" style="165"/>
    <col min="2562" max="2562" width="4.85546875" style="165" customWidth="1"/>
    <col min="2563" max="2563" width="56" style="165" customWidth="1"/>
    <col min="2564" max="2817" width="9.140625" style="165"/>
    <col min="2818" max="2818" width="4.85546875" style="165" customWidth="1"/>
    <col min="2819" max="2819" width="56" style="165" customWidth="1"/>
    <col min="2820" max="3073" width="9.140625" style="165"/>
    <col min="3074" max="3074" width="4.85546875" style="165" customWidth="1"/>
    <col min="3075" max="3075" width="56" style="165" customWidth="1"/>
    <col min="3076" max="3329" width="9.140625" style="165"/>
    <col min="3330" max="3330" width="4.85546875" style="165" customWidth="1"/>
    <col min="3331" max="3331" width="56" style="165" customWidth="1"/>
    <col min="3332" max="3585" width="9.140625" style="165"/>
    <col min="3586" max="3586" width="4.85546875" style="165" customWidth="1"/>
    <col min="3587" max="3587" width="56" style="165" customWidth="1"/>
    <col min="3588" max="3841" width="9.140625" style="165"/>
    <col min="3842" max="3842" width="4.85546875" style="165" customWidth="1"/>
    <col min="3843" max="3843" width="56" style="165" customWidth="1"/>
    <col min="3844" max="4097" width="9.140625" style="165"/>
    <col min="4098" max="4098" width="4.85546875" style="165" customWidth="1"/>
    <col min="4099" max="4099" width="56" style="165" customWidth="1"/>
    <col min="4100" max="4353" width="9.140625" style="165"/>
    <col min="4354" max="4354" width="4.85546875" style="165" customWidth="1"/>
    <col min="4355" max="4355" width="56" style="165" customWidth="1"/>
    <col min="4356" max="4609" width="9.140625" style="165"/>
    <col min="4610" max="4610" width="4.85546875" style="165" customWidth="1"/>
    <col min="4611" max="4611" width="56" style="165" customWidth="1"/>
    <col min="4612" max="4865" width="9.140625" style="165"/>
    <col min="4866" max="4866" width="4.85546875" style="165" customWidth="1"/>
    <col min="4867" max="4867" width="56" style="165" customWidth="1"/>
    <col min="4868" max="5121" width="9.140625" style="165"/>
    <col min="5122" max="5122" width="4.85546875" style="165" customWidth="1"/>
    <col min="5123" max="5123" width="56" style="165" customWidth="1"/>
    <col min="5124" max="5377" width="9.140625" style="165"/>
    <col min="5378" max="5378" width="4.85546875" style="165" customWidth="1"/>
    <col min="5379" max="5379" width="56" style="165" customWidth="1"/>
    <col min="5380" max="5633" width="9.140625" style="165"/>
    <col min="5634" max="5634" width="4.85546875" style="165" customWidth="1"/>
    <col min="5635" max="5635" width="56" style="165" customWidth="1"/>
    <col min="5636" max="5889" width="9.140625" style="165"/>
    <col min="5890" max="5890" width="4.85546875" style="165" customWidth="1"/>
    <col min="5891" max="5891" width="56" style="165" customWidth="1"/>
    <col min="5892" max="6145" width="9.140625" style="165"/>
    <col min="6146" max="6146" width="4.85546875" style="165" customWidth="1"/>
    <col min="6147" max="6147" width="56" style="165" customWidth="1"/>
    <col min="6148" max="6401" width="9.140625" style="165"/>
    <col min="6402" max="6402" width="4.85546875" style="165" customWidth="1"/>
    <col min="6403" max="6403" width="56" style="165" customWidth="1"/>
    <col min="6404" max="6657" width="9.140625" style="165"/>
    <col min="6658" max="6658" width="4.85546875" style="165" customWidth="1"/>
    <col min="6659" max="6659" width="56" style="165" customWidth="1"/>
    <col min="6660" max="6913" width="9.140625" style="165"/>
    <col min="6914" max="6914" width="4.85546875" style="165" customWidth="1"/>
    <col min="6915" max="6915" width="56" style="165" customWidth="1"/>
    <col min="6916" max="7169" width="9.140625" style="165"/>
    <col min="7170" max="7170" width="4.85546875" style="165" customWidth="1"/>
    <col min="7171" max="7171" width="56" style="165" customWidth="1"/>
    <col min="7172" max="7425" width="9.140625" style="165"/>
    <col min="7426" max="7426" width="4.85546875" style="165" customWidth="1"/>
    <col min="7427" max="7427" width="56" style="165" customWidth="1"/>
    <col min="7428" max="7681" width="9.140625" style="165"/>
    <col min="7682" max="7682" width="4.85546875" style="165" customWidth="1"/>
    <col min="7683" max="7683" width="56" style="165" customWidth="1"/>
    <col min="7684" max="7937" width="9.140625" style="165"/>
    <col min="7938" max="7938" width="4.85546875" style="165" customWidth="1"/>
    <col min="7939" max="7939" width="56" style="165" customWidth="1"/>
    <col min="7940" max="8193" width="9.140625" style="165"/>
    <col min="8194" max="8194" width="4.85546875" style="165" customWidth="1"/>
    <col min="8195" max="8195" width="56" style="165" customWidth="1"/>
    <col min="8196" max="8449" width="9.140625" style="165"/>
    <col min="8450" max="8450" width="4.85546875" style="165" customWidth="1"/>
    <col min="8451" max="8451" width="56" style="165" customWidth="1"/>
    <col min="8452" max="8705" width="9.140625" style="165"/>
    <col min="8706" max="8706" width="4.85546875" style="165" customWidth="1"/>
    <col min="8707" max="8707" width="56" style="165" customWidth="1"/>
    <col min="8708" max="8961" width="9.140625" style="165"/>
    <col min="8962" max="8962" width="4.85546875" style="165" customWidth="1"/>
    <col min="8963" max="8963" width="56" style="165" customWidth="1"/>
    <col min="8964" max="9217" width="9.140625" style="165"/>
    <col min="9218" max="9218" width="4.85546875" style="165" customWidth="1"/>
    <col min="9219" max="9219" width="56" style="165" customWidth="1"/>
    <col min="9220" max="9473" width="9.140625" style="165"/>
    <col min="9474" max="9474" width="4.85546875" style="165" customWidth="1"/>
    <col min="9475" max="9475" width="56" style="165" customWidth="1"/>
    <col min="9476" max="9729" width="9.140625" style="165"/>
    <col min="9730" max="9730" width="4.85546875" style="165" customWidth="1"/>
    <col min="9731" max="9731" width="56" style="165" customWidth="1"/>
    <col min="9732" max="9985" width="9.140625" style="165"/>
    <col min="9986" max="9986" width="4.85546875" style="165" customWidth="1"/>
    <col min="9987" max="9987" width="56" style="165" customWidth="1"/>
    <col min="9988" max="10241" width="9.140625" style="165"/>
    <col min="10242" max="10242" width="4.85546875" style="165" customWidth="1"/>
    <col min="10243" max="10243" width="56" style="165" customWidth="1"/>
    <col min="10244" max="10497" width="9.140625" style="165"/>
    <col min="10498" max="10498" width="4.85546875" style="165" customWidth="1"/>
    <col min="10499" max="10499" width="56" style="165" customWidth="1"/>
    <col min="10500" max="10753" width="9.140625" style="165"/>
    <col min="10754" max="10754" width="4.85546875" style="165" customWidth="1"/>
    <col min="10755" max="10755" width="56" style="165" customWidth="1"/>
    <col min="10756" max="11009" width="9.140625" style="165"/>
    <col min="11010" max="11010" width="4.85546875" style="165" customWidth="1"/>
    <col min="11011" max="11011" width="56" style="165" customWidth="1"/>
    <col min="11012" max="11265" width="9.140625" style="165"/>
    <col min="11266" max="11266" width="4.85546875" style="165" customWidth="1"/>
    <col min="11267" max="11267" width="56" style="165" customWidth="1"/>
    <col min="11268" max="11521" width="9.140625" style="165"/>
    <col min="11522" max="11522" width="4.85546875" style="165" customWidth="1"/>
    <col min="11523" max="11523" width="56" style="165" customWidth="1"/>
    <col min="11524" max="11777" width="9.140625" style="165"/>
    <col min="11778" max="11778" width="4.85546875" style="165" customWidth="1"/>
    <col min="11779" max="11779" width="56" style="165" customWidth="1"/>
    <col min="11780" max="12033" width="9.140625" style="165"/>
    <col min="12034" max="12034" width="4.85546875" style="165" customWidth="1"/>
    <col min="12035" max="12035" width="56" style="165" customWidth="1"/>
    <col min="12036" max="12289" width="9.140625" style="165"/>
    <col min="12290" max="12290" width="4.85546875" style="165" customWidth="1"/>
    <col min="12291" max="12291" width="56" style="165" customWidth="1"/>
    <col min="12292" max="12545" width="9.140625" style="165"/>
    <col min="12546" max="12546" width="4.85546875" style="165" customWidth="1"/>
    <col min="12547" max="12547" width="56" style="165" customWidth="1"/>
    <col min="12548" max="12801" width="9.140625" style="165"/>
    <col min="12802" max="12802" width="4.85546875" style="165" customWidth="1"/>
    <col min="12803" max="12803" width="56" style="165" customWidth="1"/>
    <col min="12804" max="13057" width="9.140625" style="165"/>
    <col min="13058" max="13058" width="4.85546875" style="165" customWidth="1"/>
    <col min="13059" max="13059" width="56" style="165" customWidth="1"/>
    <col min="13060" max="13313" width="9.140625" style="165"/>
    <col min="13314" max="13314" width="4.85546875" style="165" customWidth="1"/>
    <col min="13315" max="13315" width="56" style="165" customWidth="1"/>
    <col min="13316" max="13569" width="9.140625" style="165"/>
    <col min="13570" max="13570" width="4.85546875" style="165" customWidth="1"/>
    <col min="13571" max="13571" width="56" style="165" customWidth="1"/>
    <col min="13572" max="13825" width="9.140625" style="165"/>
    <col min="13826" max="13826" width="4.85546875" style="165" customWidth="1"/>
    <col min="13827" max="13827" width="56" style="165" customWidth="1"/>
    <col min="13828" max="14081" width="9.140625" style="165"/>
    <col min="14082" max="14082" width="4.85546875" style="165" customWidth="1"/>
    <col min="14083" max="14083" width="56" style="165" customWidth="1"/>
    <col min="14084" max="14337" width="9.140625" style="165"/>
    <col min="14338" max="14338" width="4.85546875" style="165" customWidth="1"/>
    <col min="14339" max="14339" width="56" style="165" customWidth="1"/>
    <col min="14340" max="14593" width="9.140625" style="165"/>
    <col min="14594" max="14594" width="4.85546875" style="165" customWidth="1"/>
    <col min="14595" max="14595" width="56" style="165" customWidth="1"/>
    <col min="14596" max="14849" width="9.140625" style="165"/>
    <col min="14850" max="14850" width="4.85546875" style="165" customWidth="1"/>
    <col min="14851" max="14851" width="56" style="165" customWidth="1"/>
    <col min="14852" max="15105" width="9.140625" style="165"/>
    <col min="15106" max="15106" width="4.85546875" style="165" customWidth="1"/>
    <col min="15107" max="15107" width="56" style="165" customWidth="1"/>
    <col min="15108" max="15361" width="9.140625" style="165"/>
    <col min="15362" max="15362" width="4.85546875" style="165" customWidth="1"/>
    <col min="15363" max="15363" width="56" style="165" customWidth="1"/>
    <col min="15364" max="15617" width="9.140625" style="165"/>
    <col min="15618" max="15618" width="4.85546875" style="165" customWidth="1"/>
    <col min="15619" max="15619" width="56" style="165" customWidth="1"/>
    <col min="15620" max="15873" width="9.140625" style="165"/>
    <col min="15874" max="15874" width="4.85546875" style="165" customWidth="1"/>
    <col min="15875" max="15875" width="56" style="165" customWidth="1"/>
    <col min="15876" max="16129" width="9.140625" style="165"/>
    <col min="16130" max="16130" width="4.85546875" style="165" customWidth="1"/>
    <col min="16131" max="16131" width="56" style="165" customWidth="1"/>
    <col min="16132" max="16384" width="9.140625" style="165"/>
  </cols>
  <sheetData>
    <row r="1" spans="1:5" ht="34.5" customHeight="1" thickTop="1" x14ac:dyDescent="0.25">
      <c r="A1" s="245" t="s">
        <v>108</v>
      </c>
      <c r="B1" s="246"/>
      <c r="C1" s="246"/>
      <c r="D1" s="246"/>
      <c r="E1" s="247"/>
    </row>
    <row r="2" spans="1:5" x14ac:dyDescent="0.2">
      <c r="A2" s="166"/>
      <c r="B2" s="167"/>
      <c r="C2" s="167"/>
      <c r="D2" s="167"/>
      <c r="E2" s="168"/>
    </row>
    <row r="3" spans="1:5" x14ac:dyDescent="0.2">
      <c r="A3" s="166"/>
      <c r="B3" s="167"/>
      <c r="C3" s="167"/>
      <c r="D3" s="167"/>
      <c r="E3" s="168"/>
    </row>
    <row r="4" spans="1:5" x14ac:dyDescent="0.2">
      <c r="A4" s="166"/>
      <c r="B4" s="167"/>
      <c r="C4" s="167"/>
      <c r="D4" s="167"/>
      <c r="E4" s="168"/>
    </row>
    <row r="5" spans="1:5" x14ac:dyDescent="0.2">
      <c r="A5" s="166"/>
      <c r="B5" s="167"/>
      <c r="C5" s="167"/>
      <c r="D5" s="167"/>
      <c r="E5" s="168"/>
    </row>
    <row r="6" spans="1:5" x14ac:dyDescent="0.2">
      <c r="A6" s="166"/>
      <c r="B6" s="167"/>
      <c r="C6" s="167"/>
      <c r="D6" s="167"/>
      <c r="E6" s="168"/>
    </row>
    <row r="7" spans="1:5" ht="33" x14ac:dyDescent="0.45">
      <c r="A7" s="166"/>
      <c r="B7" s="167"/>
      <c r="C7" s="169" t="s">
        <v>91</v>
      </c>
      <c r="D7" s="167"/>
      <c r="E7" s="168"/>
    </row>
    <row r="8" spans="1:5" x14ac:dyDescent="0.2">
      <c r="A8" s="166"/>
      <c r="B8" s="167"/>
      <c r="C8" s="167"/>
      <c r="D8" s="167"/>
      <c r="E8" s="168"/>
    </row>
    <row r="9" spans="1:5" x14ac:dyDescent="0.2">
      <c r="A9" s="166"/>
      <c r="B9" s="167"/>
      <c r="C9" s="167"/>
      <c r="D9" s="167"/>
      <c r="E9" s="168"/>
    </row>
    <row r="10" spans="1:5" x14ac:dyDescent="0.2">
      <c r="A10" s="166"/>
      <c r="B10" s="167"/>
      <c r="C10" s="167"/>
      <c r="D10" s="167"/>
      <c r="E10" s="168"/>
    </row>
    <row r="11" spans="1:5" x14ac:dyDescent="0.2">
      <c r="A11" s="166"/>
      <c r="B11" s="167"/>
      <c r="C11" s="167"/>
      <c r="D11" s="167"/>
      <c r="E11" s="168"/>
    </row>
    <row r="12" spans="1:5" x14ac:dyDescent="0.2">
      <c r="A12" s="166"/>
      <c r="B12" s="167"/>
      <c r="C12" s="167"/>
      <c r="D12" s="167"/>
      <c r="E12" s="168"/>
    </row>
    <row r="13" spans="1:5" x14ac:dyDescent="0.2">
      <c r="A13" s="166"/>
      <c r="B13" s="167"/>
      <c r="C13" s="167"/>
      <c r="D13" s="167"/>
      <c r="E13" s="168"/>
    </row>
    <row r="14" spans="1:5" x14ac:dyDescent="0.2">
      <c r="A14" s="166"/>
      <c r="B14" s="167"/>
      <c r="C14" s="167"/>
      <c r="D14" s="167"/>
      <c r="E14" s="168"/>
    </row>
    <row r="15" spans="1:5" x14ac:dyDescent="0.2">
      <c r="A15" s="166"/>
      <c r="B15" s="167"/>
      <c r="C15" s="167"/>
      <c r="D15" s="167"/>
      <c r="E15" s="168"/>
    </row>
    <row r="16" spans="1:5" x14ac:dyDescent="0.2">
      <c r="A16" s="166"/>
      <c r="B16" s="167"/>
      <c r="C16" s="167"/>
      <c r="D16" s="167"/>
      <c r="E16" s="168"/>
    </row>
    <row r="17" spans="1:5" x14ac:dyDescent="0.2">
      <c r="A17" s="166"/>
      <c r="B17" s="167"/>
      <c r="C17" s="167"/>
      <c r="D17" s="167"/>
      <c r="E17" s="168"/>
    </row>
    <row r="18" spans="1:5" ht="90" x14ac:dyDescent="0.6">
      <c r="A18" s="166"/>
      <c r="B18" s="167"/>
      <c r="C18" s="170" t="s">
        <v>92</v>
      </c>
      <c r="D18" s="171"/>
      <c r="E18" s="168"/>
    </row>
    <row r="19" spans="1:5" x14ac:dyDescent="0.2">
      <c r="A19" s="166"/>
      <c r="B19" s="167"/>
      <c r="C19" s="167"/>
      <c r="D19" s="167"/>
      <c r="E19" s="168"/>
    </row>
    <row r="20" spans="1:5" x14ac:dyDescent="0.2">
      <c r="A20" s="166"/>
      <c r="B20" s="167"/>
      <c r="C20" s="167"/>
      <c r="D20" s="167"/>
      <c r="E20" s="168"/>
    </row>
    <row r="21" spans="1:5" x14ac:dyDescent="0.2">
      <c r="A21" s="166"/>
      <c r="B21" s="167"/>
      <c r="C21" s="167"/>
      <c r="D21" s="167"/>
      <c r="E21" s="168"/>
    </row>
    <row r="22" spans="1:5" x14ac:dyDescent="0.2">
      <c r="A22" s="166"/>
      <c r="B22" s="167"/>
      <c r="C22" s="167"/>
      <c r="D22" s="167"/>
      <c r="E22" s="168"/>
    </row>
    <row r="23" spans="1:5" x14ac:dyDescent="0.2">
      <c r="A23" s="166"/>
      <c r="B23" s="167"/>
      <c r="C23" s="167"/>
      <c r="D23" s="167"/>
      <c r="E23" s="168"/>
    </row>
    <row r="24" spans="1:5" x14ac:dyDescent="0.2">
      <c r="A24" s="166"/>
      <c r="B24" s="167"/>
      <c r="C24" s="167"/>
      <c r="D24" s="167"/>
      <c r="E24" s="168"/>
    </row>
    <row r="25" spans="1:5" x14ac:dyDescent="0.2">
      <c r="A25" s="166"/>
      <c r="B25" s="167"/>
      <c r="C25" s="167"/>
      <c r="D25" s="167"/>
      <c r="E25" s="168"/>
    </row>
    <row r="26" spans="1:5" x14ac:dyDescent="0.2">
      <c r="A26" s="166"/>
      <c r="B26" s="167"/>
      <c r="C26" s="167"/>
      <c r="D26" s="167"/>
      <c r="E26" s="168"/>
    </row>
    <row r="27" spans="1:5" x14ac:dyDescent="0.2">
      <c r="A27" s="166"/>
      <c r="B27" s="167"/>
      <c r="C27" s="167"/>
      <c r="D27" s="167"/>
      <c r="E27" s="168"/>
    </row>
    <row r="28" spans="1:5" x14ac:dyDescent="0.2">
      <c r="A28" s="166"/>
      <c r="B28" s="167"/>
      <c r="C28" s="167"/>
      <c r="D28" s="167"/>
      <c r="E28" s="168"/>
    </row>
    <row r="29" spans="1:5" x14ac:dyDescent="0.2">
      <c r="A29" s="166"/>
      <c r="B29" s="167"/>
      <c r="C29" s="167"/>
      <c r="D29" s="167"/>
      <c r="E29" s="168"/>
    </row>
    <row r="30" spans="1:5" x14ac:dyDescent="0.2">
      <c r="A30" s="166"/>
      <c r="B30" s="167"/>
      <c r="C30" s="167"/>
      <c r="D30" s="167"/>
      <c r="E30" s="168"/>
    </row>
    <row r="31" spans="1:5" x14ac:dyDescent="0.2">
      <c r="A31" s="166"/>
      <c r="B31" s="167"/>
      <c r="C31" s="167"/>
      <c r="D31" s="167"/>
      <c r="E31" s="168"/>
    </row>
    <row r="32" spans="1:5" x14ac:dyDescent="0.2">
      <c r="A32" s="166"/>
      <c r="B32" s="167"/>
      <c r="C32" s="167"/>
      <c r="D32" s="167"/>
      <c r="E32" s="168"/>
    </row>
    <row r="33" spans="1:5" x14ac:dyDescent="0.2">
      <c r="A33" s="166"/>
      <c r="B33" s="167"/>
      <c r="C33" s="167"/>
      <c r="D33" s="167"/>
      <c r="E33" s="168"/>
    </row>
    <row r="34" spans="1:5" x14ac:dyDescent="0.2">
      <c r="A34" s="166"/>
      <c r="B34" s="167"/>
      <c r="C34" s="167"/>
      <c r="D34" s="167"/>
      <c r="E34" s="168"/>
    </row>
    <row r="35" spans="1:5" x14ac:dyDescent="0.2">
      <c r="A35" s="166"/>
      <c r="B35" s="167"/>
      <c r="C35" s="167"/>
      <c r="D35" s="167"/>
      <c r="E35" s="168"/>
    </row>
    <row r="36" spans="1:5" x14ac:dyDescent="0.2">
      <c r="A36" s="166"/>
      <c r="B36" s="167"/>
      <c r="C36" s="167"/>
      <c r="D36" s="167"/>
      <c r="E36" s="168"/>
    </row>
    <row r="37" spans="1:5" x14ac:dyDescent="0.2">
      <c r="A37" s="166"/>
      <c r="B37" s="167"/>
      <c r="C37" s="167"/>
      <c r="D37" s="167"/>
      <c r="E37" s="168"/>
    </row>
    <row r="38" spans="1:5" x14ac:dyDescent="0.2">
      <c r="A38" s="166"/>
      <c r="B38" s="167"/>
      <c r="C38" s="167"/>
      <c r="D38" s="167"/>
      <c r="E38" s="168"/>
    </row>
    <row r="39" spans="1:5" x14ac:dyDescent="0.2">
      <c r="A39" s="166"/>
      <c r="B39" s="167"/>
      <c r="C39" s="167"/>
      <c r="D39" s="167"/>
      <c r="E39" s="168"/>
    </row>
    <row r="40" spans="1:5" x14ac:dyDescent="0.2">
      <c r="A40" s="166"/>
      <c r="B40" s="167"/>
      <c r="C40" s="167"/>
      <c r="D40" s="167"/>
      <c r="E40" s="168"/>
    </row>
    <row r="41" spans="1:5" x14ac:dyDescent="0.2">
      <c r="A41" s="166"/>
      <c r="B41" s="167"/>
      <c r="C41" s="167"/>
      <c r="D41" s="167"/>
      <c r="E41" s="168"/>
    </row>
    <row r="42" spans="1:5" x14ac:dyDescent="0.2">
      <c r="A42" s="166"/>
      <c r="B42" s="167"/>
      <c r="C42" s="167"/>
      <c r="D42" s="167"/>
      <c r="E42" s="168"/>
    </row>
    <row r="43" spans="1:5" x14ac:dyDescent="0.2">
      <c r="A43" s="166"/>
      <c r="B43" s="167"/>
      <c r="C43" s="167"/>
      <c r="D43" s="167"/>
      <c r="E43" s="168"/>
    </row>
    <row r="44" spans="1:5" x14ac:dyDescent="0.2">
      <c r="A44" s="166"/>
      <c r="B44" s="167"/>
      <c r="C44" s="167"/>
      <c r="D44" s="167"/>
      <c r="E44" s="168"/>
    </row>
    <row r="45" spans="1:5" x14ac:dyDescent="0.2">
      <c r="A45" s="166"/>
      <c r="B45" s="167"/>
      <c r="C45" s="167"/>
      <c r="D45" s="167"/>
      <c r="E45" s="168"/>
    </row>
    <row r="46" spans="1:5" ht="13.5" thickBot="1" x14ac:dyDescent="0.25">
      <c r="A46" s="172"/>
      <c r="B46" s="173"/>
      <c r="C46" s="173"/>
      <c r="D46" s="173"/>
      <c r="E46" s="174" t="s">
        <v>90</v>
      </c>
    </row>
    <row r="47" spans="1:5" ht="13.5" thickTop="1" x14ac:dyDescent="0.2"/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view="pageBreakPreview" topLeftCell="A10" zoomScale="90" zoomScaleNormal="100" zoomScaleSheetLayoutView="90" workbookViewId="0">
      <selection activeCell="D32" sqref="D32"/>
    </sheetView>
  </sheetViews>
  <sheetFormatPr defaultRowHeight="15" x14ac:dyDescent="0.25"/>
  <cols>
    <col min="2" max="2" width="38" customWidth="1"/>
    <col min="3" max="3" width="7.140625" customWidth="1"/>
    <col min="4" max="4" width="6.140625" customWidth="1"/>
    <col min="5" max="5" width="11.28515625" customWidth="1"/>
    <col min="6" max="6" width="16" customWidth="1"/>
  </cols>
  <sheetData>
    <row r="1" spans="1:6" ht="30" customHeight="1" thickTop="1" x14ac:dyDescent="0.25">
      <c r="A1" s="242" t="s">
        <v>108</v>
      </c>
      <c r="B1" s="243"/>
      <c r="C1" s="243"/>
      <c r="D1" s="243"/>
      <c r="E1" s="243"/>
      <c r="F1" s="244"/>
    </row>
    <row r="2" spans="1:6" x14ac:dyDescent="0.25">
      <c r="A2" s="148"/>
      <c r="B2" s="149"/>
      <c r="C2" s="149"/>
      <c r="D2" s="149"/>
      <c r="E2" s="149"/>
      <c r="F2" s="175"/>
    </row>
    <row r="3" spans="1:6" x14ac:dyDescent="0.25">
      <c r="A3" s="151"/>
      <c r="B3" s="152" t="s">
        <v>93</v>
      </c>
      <c r="C3" s="153"/>
      <c r="D3" s="153"/>
      <c r="E3" s="153"/>
      <c r="F3" s="176"/>
    </row>
    <row r="4" spans="1:6" x14ac:dyDescent="0.25">
      <c r="A4" s="151"/>
      <c r="B4" s="152"/>
      <c r="C4" s="153"/>
      <c r="D4" s="153"/>
      <c r="E4" s="153"/>
      <c r="F4" s="176"/>
    </row>
    <row r="5" spans="1:6" ht="15.75" x14ac:dyDescent="0.25">
      <c r="A5" s="65"/>
      <c r="B5" s="177" t="s">
        <v>62</v>
      </c>
      <c r="C5" s="67"/>
      <c r="D5" s="68"/>
      <c r="E5" s="69"/>
      <c r="F5" s="178"/>
    </row>
    <row r="6" spans="1:6" x14ac:dyDescent="0.25">
      <c r="A6" s="65"/>
      <c r="B6" s="66"/>
      <c r="C6" s="67"/>
      <c r="D6" s="68"/>
      <c r="E6" s="69"/>
      <c r="F6" s="178"/>
    </row>
    <row r="7" spans="1:6" ht="15.75" x14ac:dyDescent="0.25">
      <c r="A7" s="179" t="s">
        <v>6</v>
      </c>
      <c r="B7" s="180" t="s">
        <v>66</v>
      </c>
      <c r="C7" s="181"/>
      <c r="D7" s="182"/>
      <c r="E7" s="183"/>
      <c r="F7" s="184">
        <f>F27</f>
        <v>3325000</v>
      </c>
    </row>
    <row r="8" spans="1:6" ht="15.75" x14ac:dyDescent="0.25">
      <c r="A8" s="179"/>
      <c r="B8" s="180"/>
      <c r="C8" s="181"/>
      <c r="D8" s="182"/>
      <c r="E8" s="183"/>
      <c r="F8" s="184"/>
    </row>
    <row r="9" spans="1:6" ht="15.75" x14ac:dyDescent="0.25">
      <c r="A9" s="179" t="s">
        <v>24</v>
      </c>
      <c r="B9" s="180" t="s">
        <v>94</v>
      </c>
      <c r="C9" s="181"/>
      <c r="D9" s="182"/>
      <c r="E9" s="183"/>
      <c r="F9" s="184">
        <f>F33</f>
        <v>9750000</v>
      </c>
    </row>
    <row r="10" spans="1:6" ht="15.75" x14ac:dyDescent="0.25">
      <c r="A10" s="179"/>
      <c r="B10" s="180"/>
      <c r="C10" s="181"/>
      <c r="D10" s="182"/>
      <c r="E10" s="183"/>
      <c r="F10" s="184"/>
    </row>
    <row r="11" spans="1:6" ht="15.75" x14ac:dyDescent="0.25">
      <c r="A11" s="185"/>
      <c r="B11" s="186" t="s">
        <v>95</v>
      </c>
      <c r="C11" s="187"/>
      <c r="D11" s="188"/>
      <c r="E11" s="189"/>
      <c r="F11" s="190">
        <f>SUM(F7:F10)</f>
        <v>13075000</v>
      </c>
    </row>
    <row r="12" spans="1:6" ht="29.25" customHeight="1" x14ac:dyDescent="0.25">
      <c r="A12" s="10" t="s">
        <v>6</v>
      </c>
      <c r="B12" s="11" t="s">
        <v>66</v>
      </c>
      <c r="C12" s="12"/>
      <c r="D12" s="13"/>
      <c r="E12" s="14"/>
      <c r="F12" s="15"/>
    </row>
    <row r="13" spans="1:6" ht="24.75" customHeight="1" x14ac:dyDescent="0.25">
      <c r="A13" s="16">
        <v>1</v>
      </c>
      <c r="B13" s="17" t="s">
        <v>7</v>
      </c>
      <c r="C13" s="12" t="s">
        <v>8</v>
      </c>
      <c r="D13" s="13">
        <v>10</v>
      </c>
      <c r="E13" s="14">
        <v>150000</v>
      </c>
      <c r="F13" s="15">
        <f>E13*D13</f>
        <v>1500000</v>
      </c>
    </row>
    <row r="14" spans="1:6" ht="21" customHeight="1" x14ac:dyDescent="0.25">
      <c r="A14" s="16">
        <v>2</v>
      </c>
      <c r="B14" s="17" t="s">
        <v>9</v>
      </c>
      <c r="C14" s="12" t="s">
        <v>8</v>
      </c>
      <c r="D14" s="13">
        <v>15</v>
      </c>
      <c r="E14" s="14">
        <v>15000</v>
      </c>
      <c r="F14" s="15">
        <f t="shared" ref="F14:F25" si="0">E14*D14</f>
        <v>225000</v>
      </c>
    </row>
    <row r="15" spans="1:6" ht="19.5" customHeight="1" x14ac:dyDescent="0.25">
      <c r="A15" s="16">
        <v>3</v>
      </c>
      <c r="B15" s="17" t="s">
        <v>10</v>
      </c>
      <c r="C15" s="12" t="s">
        <v>8</v>
      </c>
      <c r="D15" s="13">
        <v>5</v>
      </c>
      <c r="E15" s="14">
        <v>10000</v>
      </c>
      <c r="F15" s="15">
        <f t="shared" si="0"/>
        <v>50000</v>
      </c>
    </row>
    <row r="16" spans="1:6" ht="23.25" customHeight="1" x14ac:dyDescent="0.25">
      <c r="A16" s="16">
        <v>4</v>
      </c>
      <c r="B16" s="17" t="s">
        <v>11</v>
      </c>
      <c r="C16" s="12" t="s">
        <v>8</v>
      </c>
      <c r="D16" s="13">
        <v>5</v>
      </c>
      <c r="E16" s="14">
        <v>20000</v>
      </c>
      <c r="F16" s="15">
        <f t="shared" si="0"/>
        <v>100000</v>
      </c>
    </row>
    <row r="17" spans="1:6" ht="21" customHeight="1" x14ac:dyDescent="0.25">
      <c r="A17" s="16">
        <v>5</v>
      </c>
      <c r="B17" s="17" t="s">
        <v>12</v>
      </c>
      <c r="C17" s="12" t="s">
        <v>13</v>
      </c>
      <c r="D17" s="13">
        <v>5</v>
      </c>
      <c r="E17" s="14">
        <v>40000</v>
      </c>
      <c r="F17" s="15">
        <f t="shared" si="0"/>
        <v>200000</v>
      </c>
    </row>
    <row r="18" spans="1:6" ht="21.75" customHeight="1" x14ac:dyDescent="0.25">
      <c r="A18" s="16">
        <v>6</v>
      </c>
      <c r="B18" s="17" t="s">
        <v>14</v>
      </c>
      <c r="C18" s="12" t="s">
        <v>8</v>
      </c>
      <c r="D18" s="13">
        <v>5</v>
      </c>
      <c r="E18" s="14">
        <v>20000</v>
      </c>
      <c r="F18" s="15">
        <f t="shared" si="0"/>
        <v>100000</v>
      </c>
    </row>
    <row r="19" spans="1:6" ht="17.25" customHeight="1" x14ac:dyDescent="0.25">
      <c r="A19" s="16">
        <v>7</v>
      </c>
      <c r="B19" s="17" t="s">
        <v>15</v>
      </c>
      <c r="C19" s="12" t="s">
        <v>8</v>
      </c>
      <c r="D19" s="13">
        <v>15</v>
      </c>
      <c r="E19" s="14">
        <v>11000</v>
      </c>
      <c r="F19" s="15">
        <f t="shared" si="0"/>
        <v>165000</v>
      </c>
    </row>
    <row r="20" spans="1:6" ht="19.5" customHeight="1" x14ac:dyDescent="0.25">
      <c r="A20" s="16">
        <v>8</v>
      </c>
      <c r="B20" s="17" t="s">
        <v>16</v>
      </c>
      <c r="C20" s="12" t="s">
        <v>8</v>
      </c>
      <c r="D20" s="13">
        <v>2</v>
      </c>
      <c r="E20" s="14">
        <v>10000</v>
      </c>
      <c r="F20" s="15">
        <f>E20*D20</f>
        <v>20000</v>
      </c>
    </row>
    <row r="21" spans="1:6" ht="17.25" customHeight="1" x14ac:dyDescent="0.25">
      <c r="A21" s="16">
        <v>9</v>
      </c>
      <c r="B21" s="17" t="s">
        <v>17</v>
      </c>
      <c r="C21" s="12" t="s">
        <v>8</v>
      </c>
      <c r="D21" s="13">
        <v>10</v>
      </c>
      <c r="E21" s="14">
        <v>20000</v>
      </c>
      <c r="F21" s="15">
        <f t="shared" si="0"/>
        <v>200000</v>
      </c>
    </row>
    <row r="22" spans="1:6" ht="24" customHeight="1" x14ac:dyDescent="0.25">
      <c r="A22" s="16">
        <v>10</v>
      </c>
      <c r="B22" s="17" t="s">
        <v>18</v>
      </c>
      <c r="C22" s="12" t="s">
        <v>8</v>
      </c>
      <c r="D22" s="13">
        <v>2</v>
      </c>
      <c r="E22" s="14">
        <v>100000</v>
      </c>
      <c r="F22" s="15">
        <f t="shared" si="0"/>
        <v>200000</v>
      </c>
    </row>
    <row r="23" spans="1:6" ht="23.25" customHeight="1" x14ac:dyDescent="0.25">
      <c r="A23" s="16">
        <v>11</v>
      </c>
      <c r="B23" s="17" t="s">
        <v>19</v>
      </c>
      <c r="C23" s="12" t="s">
        <v>20</v>
      </c>
      <c r="D23" s="13">
        <v>3</v>
      </c>
      <c r="E23" s="14">
        <v>10000</v>
      </c>
      <c r="F23" s="15">
        <f t="shared" si="0"/>
        <v>30000</v>
      </c>
    </row>
    <row r="24" spans="1:6" ht="23.25" customHeight="1" x14ac:dyDescent="0.25">
      <c r="A24" s="16">
        <v>12</v>
      </c>
      <c r="B24" s="17" t="s">
        <v>21</v>
      </c>
      <c r="C24" s="12" t="s">
        <v>8</v>
      </c>
      <c r="D24" s="13">
        <v>5</v>
      </c>
      <c r="E24" s="14">
        <v>75000</v>
      </c>
      <c r="F24" s="15">
        <f t="shared" si="0"/>
        <v>375000</v>
      </c>
    </row>
    <row r="25" spans="1:6" ht="20.25" customHeight="1" x14ac:dyDescent="0.25">
      <c r="A25" s="16">
        <v>13</v>
      </c>
      <c r="B25" s="17" t="s">
        <v>22</v>
      </c>
      <c r="C25" s="12" t="s">
        <v>8</v>
      </c>
      <c r="D25" s="13">
        <v>20</v>
      </c>
      <c r="E25" s="14">
        <v>8000</v>
      </c>
      <c r="F25" s="15">
        <f t="shared" si="0"/>
        <v>160000</v>
      </c>
    </row>
    <row r="26" spans="1:6" x14ac:dyDescent="0.25">
      <c r="A26" s="10"/>
      <c r="B26" s="18"/>
      <c r="C26" s="19"/>
      <c r="D26" s="20"/>
      <c r="E26" s="21"/>
      <c r="F26" s="22"/>
    </row>
    <row r="27" spans="1:6" ht="29.25" customHeight="1" thickBot="1" x14ac:dyDescent="0.3">
      <c r="A27" s="23"/>
      <c r="B27" s="24" t="s">
        <v>23</v>
      </c>
      <c r="C27" s="25"/>
      <c r="D27" s="26"/>
      <c r="E27" s="27"/>
      <c r="F27" s="28">
        <f>SUM(F13:F25)</f>
        <v>3325000</v>
      </c>
    </row>
    <row r="28" spans="1:6" ht="28.5" customHeight="1" thickTop="1" x14ac:dyDescent="0.25">
      <c r="A28" s="82" t="s">
        <v>24</v>
      </c>
      <c r="B28" s="83" t="s">
        <v>96</v>
      </c>
      <c r="C28" s="84"/>
      <c r="D28" s="77"/>
      <c r="E28" s="78"/>
      <c r="F28" s="64"/>
    </row>
    <row r="29" spans="1:6" ht="22.5" customHeight="1" x14ac:dyDescent="0.25">
      <c r="A29" s="80">
        <v>1</v>
      </c>
      <c r="B29" s="36" t="s">
        <v>67</v>
      </c>
      <c r="C29" s="52" t="s">
        <v>70</v>
      </c>
      <c r="D29" s="192">
        <v>4</v>
      </c>
      <c r="E29" s="85">
        <v>150000</v>
      </c>
      <c r="F29" s="15">
        <f>D29*E29</f>
        <v>600000</v>
      </c>
    </row>
    <row r="30" spans="1:6" ht="27" customHeight="1" x14ac:dyDescent="0.25">
      <c r="A30" s="80">
        <v>2</v>
      </c>
      <c r="B30" s="36" t="s">
        <v>68</v>
      </c>
      <c r="C30" s="52" t="s">
        <v>70</v>
      </c>
      <c r="D30" s="192">
        <v>18</v>
      </c>
      <c r="E30" s="85">
        <v>50000</v>
      </c>
      <c r="F30" s="15">
        <f>D30*E30</f>
        <v>900000</v>
      </c>
    </row>
    <row r="31" spans="1:6" ht="27" customHeight="1" x14ac:dyDescent="0.25">
      <c r="A31" s="80"/>
      <c r="B31" s="36" t="s">
        <v>100</v>
      </c>
      <c r="C31" s="52" t="s">
        <v>70</v>
      </c>
      <c r="D31" s="192">
        <v>15</v>
      </c>
      <c r="E31" s="85">
        <v>250000</v>
      </c>
      <c r="F31" s="15">
        <f>D31*E31</f>
        <v>3750000</v>
      </c>
    </row>
    <row r="32" spans="1:6" ht="21" customHeight="1" x14ac:dyDescent="0.25">
      <c r="A32" s="80">
        <v>3</v>
      </c>
      <c r="B32" s="36" t="s">
        <v>69</v>
      </c>
      <c r="C32" s="52" t="s">
        <v>70</v>
      </c>
      <c r="D32" s="192">
        <v>30</v>
      </c>
      <c r="E32" s="85">
        <v>150000</v>
      </c>
      <c r="F32" s="15">
        <f>D32*E32</f>
        <v>4500000</v>
      </c>
    </row>
    <row r="33" spans="1:6" ht="30" customHeight="1" thickBot="1" x14ac:dyDescent="0.3">
      <c r="A33" s="23"/>
      <c r="B33" s="24" t="s">
        <v>61</v>
      </c>
      <c r="C33" s="25"/>
      <c r="D33" s="81"/>
      <c r="E33" s="27"/>
      <c r="F33" s="28">
        <f>SUM(F29:F32)</f>
        <v>9750000</v>
      </c>
    </row>
    <row r="34" spans="1:6" ht="15.75" thickTop="1" x14ac:dyDescent="0.25"/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view="pageBreakPreview" zoomScale="60" zoomScaleNormal="100" workbookViewId="0">
      <selection activeCell="C7" sqref="C7"/>
    </sheetView>
  </sheetViews>
  <sheetFormatPr defaultRowHeight="12.75" x14ac:dyDescent="0.2"/>
  <cols>
    <col min="1" max="1" width="9.140625" style="165"/>
    <col min="2" max="2" width="4.85546875" style="165" customWidth="1"/>
    <col min="3" max="3" width="56" style="165" customWidth="1"/>
    <col min="4" max="257" width="9.140625" style="165"/>
    <col min="258" max="258" width="4.85546875" style="165" customWidth="1"/>
    <col min="259" max="259" width="56" style="165" customWidth="1"/>
    <col min="260" max="513" width="9.140625" style="165"/>
    <col min="514" max="514" width="4.85546875" style="165" customWidth="1"/>
    <col min="515" max="515" width="56" style="165" customWidth="1"/>
    <col min="516" max="769" width="9.140625" style="165"/>
    <col min="770" max="770" width="4.85546875" style="165" customWidth="1"/>
    <col min="771" max="771" width="56" style="165" customWidth="1"/>
    <col min="772" max="1025" width="9.140625" style="165"/>
    <col min="1026" max="1026" width="4.85546875" style="165" customWidth="1"/>
    <col min="1027" max="1027" width="56" style="165" customWidth="1"/>
    <col min="1028" max="1281" width="9.140625" style="165"/>
    <col min="1282" max="1282" width="4.85546875" style="165" customWidth="1"/>
    <col min="1283" max="1283" width="56" style="165" customWidth="1"/>
    <col min="1284" max="1537" width="9.140625" style="165"/>
    <col min="1538" max="1538" width="4.85546875" style="165" customWidth="1"/>
    <col min="1539" max="1539" width="56" style="165" customWidth="1"/>
    <col min="1540" max="1793" width="9.140625" style="165"/>
    <col min="1794" max="1794" width="4.85546875" style="165" customWidth="1"/>
    <col min="1795" max="1795" width="56" style="165" customWidth="1"/>
    <col min="1796" max="2049" width="9.140625" style="165"/>
    <col min="2050" max="2050" width="4.85546875" style="165" customWidth="1"/>
    <col min="2051" max="2051" width="56" style="165" customWidth="1"/>
    <col min="2052" max="2305" width="9.140625" style="165"/>
    <col min="2306" max="2306" width="4.85546875" style="165" customWidth="1"/>
    <col min="2307" max="2307" width="56" style="165" customWidth="1"/>
    <col min="2308" max="2561" width="9.140625" style="165"/>
    <col min="2562" max="2562" width="4.85546875" style="165" customWidth="1"/>
    <col min="2563" max="2563" width="56" style="165" customWidth="1"/>
    <col min="2564" max="2817" width="9.140625" style="165"/>
    <col min="2818" max="2818" width="4.85546875" style="165" customWidth="1"/>
    <col min="2819" max="2819" width="56" style="165" customWidth="1"/>
    <col min="2820" max="3073" width="9.140625" style="165"/>
    <col min="3074" max="3074" width="4.85546875" style="165" customWidth="1"/>
    <col min="3075" max="3075" width="56" style="165" customWidth="1"/>
    <col min="3076" max="3329" width="9.140625" style="165"/>
    <col min="3330" max="3330" width="4.85546875" style="165" customWidth="1"/>
    <col min="3331" max="3331" width="56" style="165" customWidth="1"/>
    <col min="3332" max="3585" width="9.140625" style="165"/>
    <col min="3586" max="3586" width="4.85546875" style="165" customWidth="1"/>
    <col min="3587" max="3587" width="56" style="165" customWidth="1"/>
    <col min="3588" max="3841" width="9.140625" style="165"/>
    <col min="3842" max="3842" width="4.85546875" style="165" customWidth="1"/>
    <col min="3843" max="3843" width="56" style="165" customWidth="1"/>
    <col min="3844" max="4097" width="9.140625" style="165"/>
    <col min="4098" max="4098" width="4.85546875" style="165" customWidth="1"/>
    <col min="4099" max="4099" width="56" style="165" customWidth="1"/>
    <col min="4100" max="4353" width="9.140625" style="165"/>
    <col min="4354" max="4354" width="4.85546875" style="165" customWidth="1"/>
    <col min="4355" max="4355" width="56" style="165" customWidth="1"/>
    <col min="4356" max="4609" width="9.140625" style="165"/>
    <col min="4610" max="4610" width="4.85546875" style="165" customWidth="1"/>
    <col min="4611" max="4611" width="56" style="165" customWidth="1"/>
    <col min="4612" max="4865" width="9.140625" style="165"/>
    <col min="4866" max="4866" width="4.85546875" style="165" customWidth="1"/>
    <col min="4867" max="4867" width="56" style="165" customWidth="1"/>
    <col min="4868" max="5121" width="9.140625" style="165"/>
    <col min="5122" max="5122" width="4.85546875" style="165" customWidth="1"/>
    <col min="5123" max="5123" width="56" style="165" customWidth="1"/>
    <col min="5124" max="5377" width="9.140625" style="165"/>
    <col min="5378" max="5378" width="4.85546875" style="165" customWidth="1"/>
    <col min="5379" max="5379" width="56" style="165" customWidth="1"/>
    <col min="5380" max="5633" width="9.140625" style="165"/>
    <col min="5634" max="5634" width="4.85546875" style="165" customWidth="1"/>
    <col min="5635" max="5635" width="56" style="165" customWidth="1"/>
    <col min="5636" max="5889" width="9.140625" style="165"/>
    <col min="5890" max="5890" width="4.85546875" style="165" customWidth="1"/>
    <col min="5891" max="5891" width="56" style="165" customWidth="1"/>
    <col min="5892" max="6145" width="9.140625" style="165"/>
    <col min="6146" max="6146" width="4.85546875" style="165" customWidth="1"/>
    <col min="6147" max="6147" width="56" style="165" customWidth="1"/>
    <col min="6148" max="6401" width="9.140625" style="165"/>
    <col min="6402" max="6402" width="4.85546875" style="165" customWidth="1"/>
    <col min="6403" max="6403" width="56" style="165" customWidth="1"/>
    <col min="6404" max="6657" width="9.140625" style="165"/>
    <col min="6658" max="6658" width="4.85546875" style="165" customWidth="1"/>
    <col min="6659" max="6659" width="56" style="165" customWidth="1"/>
    <col min="6660" max="6913" width="9.140625" style="165"/>
    <col min="6914" max="6914" width="4.85546875" style="165" customWidth="1"/>
    <col min="6915" max="6915" width="56" style="165" customWidth="1"/>
    <col min="6916" max="7169" width="9.140625" style="165"/>
    <col min="7170" max="7170" width="4.85546875" style="165" customWidth="1"/>
    <col min="7171" max="7171" width="56" style="165" customWidth="1"/>
    <col min="7172" max="7425" width="9.140625" style="165"/>
    <col min="7426" max="7426" width="4.85546875" style="165" customWidth="1"/>
    <col min="7427" max="7427" width="56" style="165" customWidth="1"/>
    <col min="7428" max="7681" width="9.140625" style="165"/>
    <col min="7682" max="7682" width="4.85546875" style="165" customWidth="1"/>
    <col min="7683" max="7683" width="56" style="165" customWidth="1"/>
    <col min="7684" max="7937" width="9.140625" style="165"/>
    <col min="7938" max="7938" width="4.85546875" style="165" customWidth="1"/>
    <col min="7939" max="7939" width="56" style="165" customWidth="1"/>
    <col min="7940" max="8193" width="9.140625" style="165"/>
    <col min="8194" max="8194" width="4.85546875" style="165" customWidth="1"/>
    <col min="8195" max="8195" width="56" style="165" customWidth="1"/>
    <col min="8196" max="8449" width="9.140625" style="165"/>
    <col min="8450" max="8450" width="4.85546875" style="165" customWidth="1"/>
    <col min="8451" max="8451" width="56" style="165" customWidth="1"/>
    <col min="8452" max="8705" width="9.140625" style="165"/>
    <col min="8706" max="8706" width="4.85546875" style="165" customWidth="1"/>
    <col min="8707" max="8707" width="56" style="165" customWidth="1"/>
    <col min="8708" max="8961" width="9.140625" style="165"/>
    <col min="8962" max="8962" width="4.85546875" style="165" customWidth="1"/>
    <col min="8963" max="8963" width="56" style="165" customWidth="1"/>
    <col min="8964" max="9217" width="9.140625" style="165"/>
    <col min="9218" max="9218" width="4.85546875" style="165" customWidth="1"/>
    <col min="9219" max="9219" width="56" style="165" customWidth="1"/>
    <col min="9220" max="9473" width="9.140625" style="165"/>
    <col min="9474" max="9474" width="4.85546875" style="165" customWidth="1"/>
    <col min="9475" max="9475" width="56" style="165" customWidth="1"/>
    <col min="9476" max="9729" width="9.140625" style="165"/>
    <col min="9730" max="9730" width="4.85546875" style="165" customWidth="1"/>
    <col min="9731" max="9731" width="56" style="165" customWidth="1"/>
    <col min="9732" max="9985" width="9.140625" style="165"/>
    <col min="9986" max="9986" width="4.85546875" style="165" customWidth="1"/>
    <col min="9987" max="9987" width="56" style="165" customWidth="1"/>
    <col min="9988" max="10241" width="9.140625" style="165"/>
    <col min="10242" max="10242" width="4.85546875" style="165" customWidth="1"/>
    <col min="10243" max="10243" width="56" style="165" customWidth="1"/>
    <col min="10244" max="10497" width="9.140625" style="165"/>
    <col min="10498" max="10498" width="4.85546875" style="165" customWidth="1"/>
    <col min="10499" max="10499" width="56" style="165" customWidth="1"/>
    <col min="10500" max="10753" width="9.140625" style="165"/>
    <col min="10754" max="10754" width="4.85546875" style="165" customWidth="1"/>
    <col min="10755" max="10755" width="56" style="165" customWidth="1"/>
    <col min="10756" max="11009" width="9.140625" style="165"/>
    <col min="11010" max="11010" width="4.85546875" style="165" customWidth="1"/>
    <col min="11011" max="11011" width="56" style="165" customWidth="1"/>
    <col min="11012" max="11265" width="9.140625" style="165"/>
    <col min="11266" max="11266" width="4.85546875" style="165" customWidth="1"/>
    <col min="11267" max="11267" width="56" style="165" customWidth="1"/>
    <col min="11268" max="11521" width="9.140625" style="165"/>
    <col min="11522" max="11522" width="4.85546875" style="165" customWidth="1"/>
    <col min="11523" max="11523" width="56" style="165" customWidth="1"/>
    <col min="11524" max="11777" width="9.140625" style="165"/>
    <col min="11778" max="11778" width="4.85546875" style="165" customWidth="1"/>
    <col min="11779" max="11779" width="56" style="165" customWidth="1"/>
    <col min="11780" max="12033" width="9.140625" style="165"/>
    <col min="12034" max="12034" width="4.85546875" style="165" customWidth="1"/>
    <col min="12035" max="12035" width="56" style="165" customWidth="1"/>
    <col min="12036" max="12289" width="9.140625" style="165"/>
    <col min="12290" max="12290" width="4.85546875" style="165" customWidth="1"/>
    <col min="12291" max="12291" width="56" style="165" customWidth="1"/>
    <col min="12292" max="12545" width="9.140625" style="165"/>
    <col min="12546" max="12546" width="4.85546875" style="165" customWidth="1"/>
    <col min="12547" max="12547" width="56" style="165" customWidth="1"/>
    <col min="12548" max="12801" width="9.140625" style="165"/>
    <col min="12802" max="12802" width="4.85546875" style="165" customWidth="1"/>
    <col min="12803" max="12803" width="56" style="165" customWidth="1"/>
    <col min="12804" max="13057" width="9.140625" style="165"/>
    <col min="13058" max="13058" width="4.85546875" style="165" customWidth="1"/>
    <col min="13059" max="13059" width="56" style="165" customWidth="1"/>
    <col min="13060" max="13313" width="9.140625" style="165"/>
    <col min="13314" max="13314" width="4.85546875" style="165" customWidth="1"/>
    <col min="13315" max="13315" width="56" style="165" customWidth="1"/>
    <col min="13316" max="13569" width="9.140625" style="165"/>
    <col min="13570" max="13570" width="4.85546875" style="165" customWidth="1"/>
    <col min="13571" max="13571" width="56" style="165" customWidth="1"/>
    <col min="13572" max="13825" width="9.140625" style="165"/>
    <col min="13826" max="13826" width="4.85546875" style="165" customWidth="1"/>
    <col min="13827" max="13827" width="56" style="165" customWidth="1"/>
    <col min="13828" max="14081" width="9.140625" style="165"/>
    <col min="14082" max="14082" width="4.85546875" style="165" customWidth="1"/>
    <col min="14083" max="14083" width="56" style="165" customWidth="1"/>
    <col min="14084" max="14337" width="9.140625" style="165"/>
    <col min="14338" max="14338" width="4.85546875" style="165" customWidth="1"/>
    <col min="14339" max="14339" width="56" style="165" customWidth="1"/>
    <col min="14340" max="14593" width="9.140625" style="165"/>
    <col min="14594" max="14594" width="4.85546875" style="165" customWidth="1"/>
    <col min="14595" max="14595" width="56" style="165" customWidth="1"/>
    <col min="14596" max="14849" width="9.140625" style="165"/>
    <col min="14850" max="14850" width="4.85546875" style="165" customWidth="1"/>
    <col min="14851" max="14851" width="56" style="165" customWidth="1"/>
    <col min="14852" max="15105" width="9.140625" style="165"/>
    <col min="15106" max="15106" width="4.85546875" style="165" customWidth="1"/>
    <col min="15107" max="15107" width="56" style="165" customWidth="1"/>
    <col min="15108" max="15361" width="9.140625" style="165"/>
    <col min="15362" max="15362" width="4.85546875" style="165" customWidth="1"/>
    <col min="15363" max="15363" width="56" style="165" customWidth="1"/>
    <col min="15364" max="15617" width="9.140625" style="165"/>
    <col min="15618" max="15618" width="4.85546875" style="165" customWidth="1"/>
    <col min="15619" max="15619" width="56" style="165" customWidth="1"/>
    <col min="15620" max="15873" width="9.140625" style="165"/>
    <col min="15874" max="15874" width="4.85546875" style="165" customWidth="1"/>
    <col min="15875" max="15875" width="56" style="165" customWidth="1"/>
    <col min="15876" max="16129" width="9.140625" style="165"/>
    <col min="16130" max="16130" width="4.85546875" style="165" customWidth="1"/>
    <col min="16131" max="16131" width="56" style="165" customWidth="1"/>
    <col min="16132" max="16384" width="9.140625" style="165"/>
  </cols>
  <sheetData>
    <row r="1" spans="1:5" ht="36.75" customHeight="1" thickTop="1" x14ac:dyDescent="0.25">
      <c r="A1" s="245" t="s">
        <v>111</v>
      </c>
      <c r="B1" s="246"/>
      <c r="C1" s="246"/>
      <c r="D1" s="246"/>
      <c r="E1" s="247"/>
    </row>
    <row r="2" spans="1:5" x14ac:dyDescent="0.2">
      <c r="A2" s="166"/>
      <c r="B2" s="167"/>
      <c r="C2" s="167"/>
      <c r="D2" s="167"/>
      <c r="E2" s="168"/>
    </row>
    <row r="3" spans="1:5" x14ac:dyDescent="0.2">
      <c r="A3" s="166"/>
      <c r="B3" s="167"/>
      <c r="C3" s="167"/>
      <c r="D3" s="167"/>
      <c r="E3" s="168"/>
    </row>
    <row r="4" spans="1:5" x14ac:dyDescent="0.2">
      <c r="A4" s="166"/>
      <c r="B4" s="167"/>
      <c r="C4" s="167"/>
      <c r="D4" s="167"/>
      <c r="E4" s="168"/>
    </row>
    <row r="5" spans="1:5" x14ac:dyDescent="0.2">
      <c r="A5" s="166"/>
      <c r="B5" s="167"/>
      <c r="C5" s="167"/>
      <c r="D5" s="167"/>
      <c r="E5" s="168"/>
    </row>
    <row r="6" spans="1:5" x14ac:dyDescent="0.2">
      <c r="A6" s="166"/>
      <c r="B6" s="167"/>
      <c r="C6" s="167"/>
      <c r="D6" s="167"/>
      <c r="E6" s="168"/>
    </row>
    <row r="7" spans="1:5" ht="33" x14ac:dyDescent="0.45">
      <c r="A7" s="166"/>
      <c r="B7" s="167"/>
      <c r="C7" s="169" t="s">
        <v>98</v>
      </c>
      <c r="D7" s="167"/>
      <c r="E7" s="168"/>
    </row>
    <row r="8" spans="1:5" x14ac:dyDescent="0.2">
      <c r="A8" s="166"/>
      <c r="B8" s="167"/>
      <c r="C8" s="167"/>
      <c r="D8" s="167"/>
      <c r="E8" s="168"/>
    </row>
    <row r="9" spans="1:5" x14ac:dyDescent="0.2">
      <c r="A9" s="166"/>
      <c r="B9" s="167"/>
      <c r="C9" s="167"/>
      <c r="D9" s="167"/>
      <c r="E9" s="168"/>
    </row>
    <row r="10" spans="1:5" x14ac:dyDescent="0.2">
      <c r="A10" s="166"/>
      <c r="B10" s="167"/>
      <c r="C10" s="167"/>
      <c r="D10" s="167"/>
      <c r="E10" s="168"/>
    </row>
    <row r="11" spans="1:5" x14ac:dyDescent="0.2">
      <c r="A11" s="166"/>
      <c r="B11" s="167"/>
      <c r="C11" s="167"/>
      <c r="D11" s="167"/>
      <c r="E11" s="168"/>
    </row>
    <row r="12" spans="1:5" x14ac:dyDescent="0.2">
      <c r="A12" s="166"/>
      <c r="B12" s="167"/>
      <c r="C12" s="167"/>
      <c r="D12" s="167"/>
      <c r="E12" s="168"/>
    </row>
    <row r="13" spans="1:5" x14ac:dyDescent="0.2">
      <c r="A13" s="166"/>
      <c r="B13" s="167"/>
      <c r="C13" s="167"/>
      <c r="D13" s="167"/>
      <c r="E13" s="168"/>
    </row>
    <row r="14" spans="1:5" x14ac:dyDescent="0.2">
      <c r="A14" s="166"/>
      <c r="B14" s="167"/>
      <c r="C14" s="167"/>
      <c r="D14" s="167"/>
      <c r="E14" s="168"/>
    </row>
    <row r="15" spans="1:5" x14ac:dyDescent="0.2">
      <c r="A15" s="166"/>
      <c r="B15" s="167"/>
      <c r="C15" s="167"/>
      <c r="D15" s="167"/>
      <c r="E15" s="168"/>
    </row>
    <row r="16" spans="1:5" x14ac:dyDescent="0.2">
      <c r="A16" s="166"/>
      <c r="B16" s="167"/>
      <c r="C16" s="167"/>
      <c r="D16" s="167"/>
      <c r="E16" s="168"/>
    </row>
    <row r="17" spans="1:5" x14ac:dyDescent="0.2">
      <c r="A17" s="166"/>
      <c r="B17" s="167"/>
      <c r="C17" s="167"/>
      <c r="D17" s="167"/>
      <c r="E17" s="168"/>
    </row>
    <row r="18" spans="1:5" ht="90" x14ac:dyDescent="0.6">
      <c r="A18" s="166"/>
      <c r="B18" s="167"/>
      <c r="C18" s="170" t="s">
        <v>110</v>
      </c>
      <c r="D18" s="171"/>
      <c r="E18" s="168"/>
    </row>
    <row r="19" spans="1:5" x14ac:dyDescent="0.2">
      <c r="A19" s="166"/>
      <c r="B19" s="167"/>
      <c r="C19" s="167"/>
      <c r="D19" s="167"/>
      <c r="E19" s="168"/>
    </row>
    <row r="20" spans="1:5" x14ac:dyDescent="0.2">
      <c r="A20" s="166"/>
      <c r="B20" s="167"/>
      <c r="C20" s="167"/>
      <c r="D20" s="167"/>
      <c r="E20" s="168"/>
    </row>
    <row r="21" spans="1:5" x14ac:dyDescent="0.2">
      <c r="A21" s="166"/>
      <c r="B21" s="167"/>
      <c r="C21" s="167"/>
      <c r="D21" s="167"/>
      <c r="E21" s="168"/>
    </row>
    <row r="22" spans="1:5" x14ac:dyDescent="0.2">
      <c r="A22" s="166"/>
      <c r="B22" s="167"/>
      <c r="C22" s="167"/>
      <c r="D22" s="167"/>
      <c r="E22" s="168"/>
    </row>
    <row r="23" spans="1:5" x14ac:dyDescent="0.2">
      <c r="A23" s="166"/>
      <c r="B23" s="167"/>
      <c r="C23" s="167"/>
      <c r="D23" s="167"/>
      <c r="E23" s="168"/>
    </row>
    <row r="24" spans="1:5" x14ac:dyDescent="0.2">
      <c r="A24" s="166"/>
      <c r="B24" s="167"/>
      <c r="C24" s="167"/>
      <c r="D24" s="167"/>
      <c r="E24" s="168"/>
    </row>
    <row r="25" spans="1:5" x14ac:dyDescent="0.2">
      <c r="A25" s="166"/>
      <c r="B25" s="167"/>
      <c r="C25" s="167"/>
      <c r="D25" s="167"/>
      <c r="E25" s="168"/>
    </row>
    <row r="26" spans="1:5" x14ac:dyDescent="0.2">
      <c r="A26" s="166"/>
      <c r="B26" s="167"/>
      <c r="C26" s="167"/>
      <c r="D26" s="167"/>
      <c r="E26" s="168"/>
    </row>
    <row r="27" spans="1:5" x14ac:dyDescent="0.2">
      <c r="A27" s="166"/>
      <c r="B27" s="167"/>
      <c r="C27" s="167"/>
      <c r="D27" s="167"/>
      <c r="E27" s="168"/>
    </row>
    <row r="28" spans="1:5" x14ac:dyDescent="0.2">
      <c r="A28" s="166"/>
      <c r="B28" s="167"/>
      <c r="C28" s="167"/>
      <c r="D28" s="167"/>
      <c r="E28" s="168"/>
    </row>
    <row r="29" spans="1:5" x14ac:dyDescent="0.2">
      <c r="A29" s="166"/>
      <c r="B29" s="167"/>
      <c r="C29" s="167"/>
      <c r="D29" s="167"/>
      <c r="E29" s="168"/>
    </row>
    <row r="30" spans="1:5" x14ac:dyDescent="0.2">
      <c r="A30" s="166"/>
      <c r="B30" s="167"/>
      <c r="C30" s="167"/>
      <c r="D30" s="167"/>
      <c r="E30" s="168"/>
    </row>
    <row r="31" spans="1:5" x14ac:dyDescent="0.2">
      <c r="A31" s="166"/>
      <c r="B31" s="167"/>
      <c r="C31" s="167"/>
      <c r="D31" s="167"/>
      <c r="E31" s="168"/>
    </row>
    <row r="32" spans="1:5" x14ac:dyDescent="0.2">
      <c r="A32" s="166"/>
      <c r="B32" s="167"/>
      <c r="C32" s="167"/>
      <c r="D32" s="167"/>
      <c r="E32" s="168"/>
    </row>
    <row r="33" spans="1:5" x14ac:dyDescent="0.2">
      <c r="A33" s="166"/>
      <c r="B33" s="167"/>
      <c r="C33" s="167"/>
      <c r="D33" s="167"/>
      <c r="E33" s="168"/>
    </row>
    <row r="34" spans="1:5" x14ac:dyDescent="0.2">
      <c r="A34" s="166"/>
      <c r="B34" s="167"/>
      <c r="C34" s="167"/>
      <c r="D34" s="167"/>
      <c r="E34" s="168"/>
    </row>
    <row r="35" spans="1:5" x14ac:dyDescent="0.2">
      <c r="A35" s="166"/>
      <c r="B35" s="167"/>
      <c r="C35" s="167"/>
      <c r="D35" s="167"/>
      <c r="E35" s="168"/>
    </row>
    <row r="36" spans="1:5" x14ac:dyDescent="0.2">
      <c r="A36" s="166"/>
      <c r="B36" s="167"/>
      <c r="C36" s="167"/>
      <c r="D36" s="167"/>
      <c r="E36" s="168"/>
    </row>
    <row r="37" spans="1:5" x14ac:dyDescent="0.2">
      <c r="A37" s="166"/>
      <c r="B37" s="167"/>
      <c r="C37" s="167"/>
      <c r="D37" s="167"/>
      <c r="E37" s="168"/>
    </row>
    <row r="38" spans="1:5" x14ac:dyDescent="0.2">
      <c r="A38" s="166"/>
      <c r="B38" s="167"/>
      <c r="C38" s="167"/>
      <c r="D38" s="167"/>
      <c r="E38" s="168"/>
    </row>
    <row r="39" spans="1:5" x14ac:dyDescent="0.2">
      <c r="A39" s="166"/>
      <c r="B39" s="167"/>
      <c r="C39" s="167"/>
      <c r="D39" s="167"/>
      <c r="E39" s="168"/>
    </row>
    <row r="40" spans="1:5" x14ac:dyDescent="0.2">
      <c r="A40" s="166"/>
      <c r="B40" s="167"/>
      <c r="C40" s="167"/>
      <c r="D40" s="167"/>
      <c r="E40" s="168"/>
    </row>
    <row r="41" spans="1:5" x14ac:dyDescent="0.2">
      <c r="A41" s="166"/>
      <c r="B41" s="167"/>
      <c r="C41" s="167"/>
      <c r="D41" s="167"/>
      <c r="E41" s="168"/>
    </row>
    <row r="42" spans="1:5" x14ac:dyDescent="0.2">
      <c r="A42" s="166"/>
      <c r="B42" s="167"/>
      <c r="C42" s="167"/>
      <c r="D42" s="167"/>
      <c r="E42" s="168"/>
    </row>
    <row r="43" spans="1:5" x14ac:dyDescent="0.2">
      <c r="A43" s="166"/>
      <c r="B43" s="167"/>
      <c r="C43" s="167"/>
      <c r="D43" s="167"/>
      <c r="E43" s="168"/>
    </row>
    <row r="44" spans="1:5" x14ac:dyDescent="0.2">
      <c r="A44" s="166"/>
      <c r="B44" s="167"/>
      <c r="C44" s="167"/>
      <c r="D44" s="167"/>
      <c r="E44" s="168"/>
    </row>
    <row r="45" spans="1:5" x14ac:dyDescent="0.2">
      <c r="A45" s="166"/>
      <c r="B45" s="167"/>
      <c r="C45" s="167"/>
      <c r="D45" s="167"/>
      <c r="E45" s="168"/>
    </row>
    <row r="46" spans="1:5" ht="13.5" thickBot="1" x14ac:dyDescent="0.25">
      <c r="A46" s="172"/>
      <c r="B46" s="173"/>
      <c r="C46" s="173"/>
      <c r="D46" s="173"/>
      <c r="E46" s="174" t="s">
        <v>90</v>
      </c>
    </row>
    <row r="47" spans="1:5" ht="13.5" thickTop="1" x14ac:dyDescent="0.2"/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L128"/>
  <sheetViews>
    <sheetView tabSelected="1" view="pageBreakPreview" topLeftCell="B22" zoomScaleNormal="100" zoomScaleSheetLayoutView="100" workbookViewId="0">
      <selection activeCell="I116" sqref="I116"/>
    </sheetView>
  </sheetViews>
  <sheetFormatPr defaultColWidth="9" defaultRowHeight="21.95" customHeight="1" x14ac:dyDescent="0.25"/>
  <cols>
    <col min="1" max="1" width="0.85546875" style="32" hidden="1" customWidth="1"/>
    <col min="2" max="2" width="5.5703125" style="70" customWidth="1"/>
    <col min="3" max="3" width="38.7109375" style="71" customWidth="1"/>
    <col min="4" max="4" width="0.140625" style="217" hidden="1" customWidth="1"/>
    <col min="5" max="5" width="20.28515625" style="12" customWidth="1"/>
    <col min="6" max="6" width="10.28515625" style="34" customWidth="1"/>
    <col min="7" max="7" width="12.5703125" style="69" customWidth="1"/>
    <col min="8" max="8" width="18.5703125" style="72" customWidth="1"/>
    <col min="9" max="9" width="12.42578125" style="1" customWidth="1"/>
    <col min="10" max="10" width="21.140625" style="1" customWidth="1"/>
    <col min="11" max="11" width="10" style="1" customWidth="1"/>
    <col min="12" max="256" width="9" style="32"/>
    <col min="257" max="257" width="9" style="32" hidden="1" customWidth="1"/>
    <col min="258" max="258" width="5.5703125" style="32" customWidth="1"/>
    <col min="259" max="259" width="34.140625" style="32" customWidth="1"/>
    <col min="260" max="260" width="9" style="32" hidden="1" customWidth="1"/>
    <col min="261" max="261" width="10.140625" style="32" customWidth="1"/>
    <col min="262" max="262" width="9.85546875" style="32" customWidth="1"/>
    <col min="263" max="263" width="11.42578125" style="32" customWidth="1"/>
    <col min="264" max="264" width="14" style="32" customWidth="1"/>
    <col min="265" max="265" width="11.42578125" style="32" customWidth="1"/>
    <col min="266" max="266" width="21.140625" style="32" customWidth="1"/>
    <col min="267" max="512" width="9" style="32"/>
    <col min="513" max="513" width="9" style="32" hidden="1" customWidth="1"/>
    <col min="514" max="514" width="5.5703125" style="32" customWidth="1"/>
    <col min="515" max="515" width="34.140625" style="32" customWidth="1"/>
    <col min="516" max="516" width="9" style="32" hidden="1" customWidth="1"/>
    <col min="517" max="517" width="10.140625" style="32" customWidth="1"/>
    <col min="518" max="518" width="9.85546875" style="32" customWidth="1"/>
    <col min="519" max="519" width="11.42578125" style="32" customWidth="1"/>
    <col min="520" max="520" width="14" style="32" customWidth="1"/>
    <col min="521" max="521" width="11.42578125" style="32" customWidth="1"/>
    <col min="522" max="522" width="21.140625" style="32" customWidth="1"/>
    <col min="523" max="768" width="9" style="32"/>
    <col min="769" max="769" width="9" style="32" hidden="1" customWidth="1"/>
    <col min="770" max="770" width="5.5703125" style="32" customWidth="1"/>
    <col min="771" max="771" width="34.140625" style="32" customWidth="1"/>
    <col min="772" max="772" width="9" style="32" hidden="1" customWidth="1"/>
    <col min="773" max="773" width="10.140625" style="32" customWidth="1"/>
    <col min="774" max="774" width="9.85546875" style="32" customWidth="1"/>
    <col min="775" max="775" width="11.42578125" style="32" customWidth="1"/>
    <col min="776" max="776" width="14" style="32" customWidth="1"/>
    <col min="777" max="777" width="11.42578125" style="32" customWidth="1"/>
    <col min="778" max="778" width="21.140625" style="32" customWidth="1"/>
    <col min="779" max="1024" width="9" style="32"/>
    <col min="1025" max="1025" width="9" style="32" hidden="1" customWidth="1"/>
    <col min="1026" max="1026" width="5.5703125" style="32" customWidth="1"/>
    <col min="1027" max="1027" width="34.140625" style="32" customWidth="1"/>
    <col min="1028" max="1028" width="9" style="32" hidden="1" customWidth="1"/>
    <col min="1029" max="1029" width="10.140625" style="32" customWidth="1"/>
    <col min="1030" max="1030" width="9.85546875" style="32" customWidth="1"/>
    <col min="1031" max="1031" width="11.42578125" style="32" customWidth="1"/>
    <col min="1032" max="1032" width="14" style="32" customWidth="1"/>
    <col min="1033" max="1033" width="11.42578125" style="32" customWidth="1"/>
    <col min="1034" max="1034" width="21.140625" style="32" customWidth="1"/>
    <col min="1035" max="1280" width="9" style="32"/>
    <col min="1281" max="1281" width="9" style="32" hidden="1" customWidth="1"/>
    <col min="1282" max="1282" width="5.5703125" style="32" customWidth="1"/>
    <col min="1283" max="1283" width="34.140625" style="32" customWidth="1"/>
    <col min="1284" max="1284" width="9" style="32" hidden="1" customWidth="1"/>
    <col min="1285" max="1285" width="10.140625" style="32" customWidth="1"/>
    <col min="1286" max="1286" width="9.85546875" style="32" customWidth="1"/>
    <col min="1287" max="1287" width="11.42578125" style="32" customWidth="1"/>
    <col min="1288" max="1288" width="14" style="32" customWidth="1"/>
    <col min="1289" max="1289" width="11.42578125" style="32" customWidth="1"/>
    <col min="1290" max="1290" width="21.140625" style="32" customWidth="1"/>
    <col min="1291" max="1536" width="9" style="32"/>
    <col min="1537" max="1537" width="9" style="32" hidden="1" customWidth="1"/>
    <col min="1538" max="1538" width="5.5703125" style="32" customWidth="1"/>
    <col min="1539" max="1539" width="34.140625" style="32" customWidth="1"/>
    <col min="1540" max="1540" width="9" style="32" hidden="1" customWidth="1"/>
    <col min="1541" max="1541" width="10.140625" style="32" customWidth="1"/>
    <col min="1542" max="1542" width="9.85546875" style="32" customWidth="1"/>
    <col min="1543" max="1543" width="11.42578125" style="32" customWidth="1"/>
    <col min="1544" max="1544" width="14" style="32" customWidth="1"/>
    <col min="1545" max="1545" width="11.42578125" style="32" customWidth="1"/>
    <col min="1546" max="1546" width="21.140625" style="32" customWidth="1"/>
    <col min="1547" max="1792" width="9" style="32"/>
    <col min="1793" max="1793" width="9" style="32" hidden="1" customWidth="1"/>
    <col min="1794" max="1794" width="5.5703125" style="32" customWidth="1"/>
    <col min="1795" max="1795" width="34.140625" style="32" customWidth="1"/>
    <col min="1796" max="1796" width="9" style="32" hidden="1" customWidth="1"/>
    <col min="1797" max="1797" width="10.140625" style="32" customWidth="1"/>
    <col min="1798" max="1798" width="9.85546875" style="32" customWidth="1"/>
    <col min="1799" max="1799" width="11.42578125" style="32" customWidth="1"/>
    <col min="1800" max="1800" width="14" style="32" customWidth="1"/>
    <col min="1801" max="1801" width="11.42578125" style="32" customWidth="1"/>
    <col min="1802" max="1802" width="21.140625" style="32" customWidth="1"/>
    <col min="1803" max="2048" width="9" style="32"/>
    <col min="2049" max="2049" width="9" style="32" hidden="1" customWidth="1"/>
    <col min="2050" max="2050" width="5.5703125" style="32" customWidth="1"/>
    <col min="2051" max="2051" width="34.140625" style="32" customWidth="1"/>
    <col min="2052" max="2052" width="9" style="32" hidden="1" customWidth="1"/>
    <col min="2053" max="2053" width="10.140625" style="32" customWidth="1"/>
    <col min="2054" max="2054" width="9.85546875" style="32" customWidth="1"/>
    <col min="2055" max="2055" width="11.42578125" style="32" customWidth="1"/>
    <col min="2056" max="2056" width="14" style="32" customWidth="1"/>
    <col min="2057" max="2057" width="11.42578125" style="32" customWidth="1"/>
    <col min="2058" max="2058" width="21.140625" style="32" customWidth="1"/>
    <col min="2059" max="2304" width="9" style="32"/>
    <col min="2305" max="2305" width="9" style="32" hidden="1" customWidth="1"/>
    <col min="2306" max="2306" width="5.5703125" style="32" customWidth="1"/>
    <col min="2307" max="2307" width="34.140625" style="32" customWidth="1"/>
    <col min="2308" max="2308" width="9" style="32" hidden="1" customWidth="1"/>
    <col min="2309" max="2309" width="10.140625" style="32" customWidth="1"/>
    <col min="2310" max="2310" width="9.85546875" style="32" customWidth="1"/>
    <col min="2311" max="2311" width="11.42578125" style="32" customWidth="1"/>
    <col min="2312" max="2312" width="14" style="32" customWidth="1"/>
    <col min="2313" max="2313" width="11.42578125" style="32" customWidth="1"/>
    <col min="2314" max="2314" width="21.140625" style="32" customWidth="1"/>
    <col min="2315" max="2560" width="9" style="32"/>
    <col min="2561" max="2561" width="9" style="32" hidden="1" customWidth="1"/>
    <col min="2562" max="2562" width="5.5703125" style="32" customWidth="1"/>
    <col min="2563" max="2563" width="34.140625" style="32" customWidth="1"/>
    <col min="2564" max="2564" width="9" style="32" hidden="1" customWidth="1"/>
    <col min="2565" max="2565" width="10.140625" style="32" customWidth="1"/>
    <col min="2566" max="2566" width="9.85546875" style="32" customWidth="1"/>
    <col min="2567" max="2567" width="11.42578125" style="32" customWidth="1"/>
    <col min="2568" max="2568" width="14" style="32" customWidth="1"/>
    <col min="2569" max="2569" width="11.42578125" style="32" customWidth="1"/>
    <col min="2570" max="2570" width="21.140625" style="32" customWidth="1"/>
    <col min="2571" max="2816" width="9" style="32"/>
    <col min="2817" max="2817" width="9" style="32" hidden="1" customWidth="1"/>
    <col min="2818" max="2818" width="5.5703125" style="32" customWidth="1"/>
    <col min="2819" max="2819" width="34.140625" style="32" customWidth="1"/>
    <col min="2820" max="2820" width="9" style="32" hidden="1" customWidth="1"/>
    <col min="2821" max="2821" width="10.140625" style="32" customWidth="1"/>
    <col min="2822" max="2822" width="9.85546875" style="32" customWidth="1"/>
    <col min="2823" max="2823" width="11.42578125" style="32" customWidth="1"/>
    <col min="2824" max="2824" width="14" style="32" customWidth="1"/>
    <col min="2825" max="2825" width="11.42578125" style="32" customWidth="1"/>
    <col min="2826" max="2826" width="21.140625" style="32" customWidth="1"/>
    <col min="2827" max="3072" width="9" style="32"/>
    <col min="3073" max="3073" width="9" style="32" hidden="1" customWidth="1"/>
    <col min="3074" max="3074" width="5.5703125" style="32" customWidth="1"/>
    <col min="3075" max="3075" width="34.140625" style="32" customWidth="1"/>
    <col min="3076" max="3076" width="9" style="32" hidden="1" customWidth="1"/>
    <col min="3077" max="3077" width="10.140625" style="32" customWidth="1"/>
    <col min="3078" max="3078" width="9.85546875" style="32" customWidth="1"/>
    <col min="3079" max="3079" width="11.42578125" style="32" customWidth="1"/>
    <col min="3080" max="3080" width="14" style="32" customWidth="1"/>
    <col min="3081" max="3081" width="11.42578125" style="32" customWidth="1"/>
    <col min="3082" max="3082" width="21.140625" style="32" customWidth="1"/>
    <col min="3083" max="3328" width="9" style="32"/>
    <col min="3329" max="3329" width="9" style="32" hidden="1" customWidth="1"/>
    <col min="3330" max="3330" width="5.5703125" style="32" customWidth="1"/>
    <col min="3331" max="3331" width="34.140625" style="32" customWidth="1"/>
    <col min="3332" max="3332" width="9" style="32" hidden="1" customWidth="1"/>
    <col min="3333" max="3333" width="10.140625" style="32" customWidth="1"/>
    <col min="3334" max="3334" width="9.85546875" style="32" customWidth="1"/>
    <col min="3335" max="3335" width="11.42578125" style="32" customWidth="1"/>
    <col min="3336" max="3336" width="14" style="32" customWidth="1"/>
    <col min="3337" max="3337" width="11.42578125" style="32" customWidth="1"/>
    <col min="3338" max="3338" width="21.140625" style="32" customWidth="1"/>
    <col min="3339" max="3584" width="9" style="32"/>
    <col min="3585" max="3585" width="9" style="32" hidden="1" customWidth="1"/>
    <col min="3586" max="3586" width="5.5703125" style="32" customWidth="1"/>
    <col min="3587" max="3587" width="34.140625" style="32" customWidth="1"/>
    <col min="3588" max="3588" width="9" style="32" hidden="1" customWidth="1"/>
    <col min="3589" max="3589" width="10.140625" style="32" customWidth="1"/>
    <col min="3590" max="3590" width="9.85546875" style="32" customWidth="1"/>
    <col min="3591" max="3591" width="11.42578125" style="32" customWidth="1"/>
    <col min="3592" max="3592" width="14" style="32" customWidth="1"/>
    <col min="3593" max="3593" width="11.42578125" style="32" customWidth="1"/>
    <col min="3594" max="3594" width="21.140625" style="32" customWidth="1"/>
    <col min="3595" max="3840" width="9" style="32"/>
    <col min="3841" max="3841" width="9" style="32" hidden="1" customWidth="1"/>
    <col min="3842" max="3842" width="5.5703125" style="32" customWidth="1"/>
    <col min="3843" max="3843" width="34.140625" style="32" customWidth="1"/>
    <col min="3844" max="3844" width="9" style="32" hidden="1" customWidth="1"/>
    <col min="3845" max="3845" width="10.140625" style="32" customWidth="1"/>
    <col min="3846" max="3846" width="9.85546875" style="32" customWidth="1"/>
    <col min="3847" max="3847" width="11.42578125" style="32" customWidth="1"/>
    <col min="3848" max="3848" width="14" style="32" customWidth="1"/>
    <col min="3849" max="3849" width="11.42578125" style="32" customWidth="1"/>
    <col min="3850" max="3850" width="21.140625" style="32" customWidth="1"/>
    <col min="3851" max="4096" width="9" style="32"/>
    <col min="4097" max="4097" width="9" style="32" hidden="1" customWidth="1"/>
    <col min="4098" max="4098" width="5.5703125" style="32" customWidth="1"/>
    <col min="4099" max="4099" width="34.140625" style="32" customWidth="1"/>
    <col min="4100" max="4100" width="9" style="32" hidden="1" customWidth="1"/>
    <col min="4101" max="4101" width="10.140625" style="32" customWidth="1"/>
    <col min="4102" max="4102" width="9.85546875" style="32" customWidth="1"/>
    <col min="4103" max="4103" width="11.42578125" style="32" customWidth="1"/>
    <col min="4104" max="4104" width="14" style="32" customWidth="1"/>
    <col min="4105" max="4105" width="11.42578125" style="32" customWidth="1"/>
    <col min="4106" max="4106" width="21.140625" style="32" customWidth="1"/>
    <col min="4107" max="4352" width="9" style="32"/>
    <col min="4353" max="4353" width="9" style="32" hidden="1" customWidth="1"/>
    <col min="4354" max="4354" width="5.5703125" style="32" customWidth="1"/>
    <col min="4355" max="4355" width="34.140625" style="32" customWidth="1"/>
    <col min="4356" max="4356" width="9" style="32" hidden="1" customWidth="1"/>
    <col min="4357" max="4357" width="10.140625" style="32" customWidth="1"/>
    <col min="4358" max="4358" width="9.85546875" style="32" customWidth="1"/>
    <col min="4359" max="4359" width="11.42578125" style="32" customWidth="1"/>
    <col min="4360" max="4360" width="14" style="32" customWidth="1"/>
    <col min="4361" max="4361" width="11.42578125" style="32" customWidth="1"/>
    <col min="4362" max="4362" width="21.140625" style="32" customWidth="1"/>
    <col min="4363" max="4608" width="9" style="32"/>
    <col min="4609" max="4609" width="9" style="32" hidden="1" customWidth="1"/>
    <col min="4610" max="4610" width="5.5703125" style="32" customWidth="1"/>
    <col min="4611" max="4611" width="34.140625" style="32" customWidth="1"/>
    <col min="4612" max="4612" width="9" style="32" hidden="1" customWidth="1"/>
    <col min="4613" max="4613" width="10.140625" style="32" customWidth="1"/>
    <col min="4614" max="4614" width="9.85546875" style="32" customWidth="1"/>
    <col min="4615" max="4615" width="11.42578125" style="32" customWidth="1"/>
    <col min="4616" max="4616" width="14" style="32" customWidth="1"/>
    <col min="4617" max="4617" width="11.42578125" style="32" customWidth="1"/>
    <col min="4618" max="4618" width="21.140625" style="32" customWidth="1"/>
    <col min="4619" max="4864" width="9" style="32"/>
    <col min="4865" max="4865" width="9" style="32" hidden="1" customWidth="1"/>
    <col min="4866" max="4866" width="5.5703125" style="32" customWidth="1"/>
    <col min="4867" max="4867" width="34.140625" style="32" customWidth="1"/>
    <col min="4868" max="4868" width="9" style="32" hidden="1" customWidth="1"/>
    <col min="4869" max="4869" width="10.140625" style="32" customWidth="1"/>
    <col min="4870" max="4870" width="9.85546875" style="32" customWidth="1"/>
    <col min="4871" max="4871" width="11.42578125" style="32" customWidth="1"/>
    <col min="4872" max="4872" width="14" style="32" customWidth="1"/>
    <col min="4873" max="4873" width="11.42578125" style="32" customWidth="1"/>
    <col min="4874" max="4874" width="21.140625" style="32" customWidth="1"/>
    <col min="4875" max="5120" width="9" style="32"/>
    <col min="5121" max="5121" width="9" style="32" hidden="1" customWidth="1"/>
    <col min="5122" max="5122" width="5.5703125" style="32" customWidth="1"/>
    <col min="5123" max="5123" width="34.140625" style="32" customWidth="1"/>
    <col min="5124" max="5124" width="9" style="32" hidden="1" customWidth="1"/>
    <col min="5125" max="5125" width="10.140625" style="32" customWidth="1"/>
    <col min="5126" max="5126" width="9.85546875" style="32" customWidth="1"/>
    <col min="5127" max="5127" width="11.42578125" style="32" customWidth="1"/>
    <col min="5128" max="5128" width="14" style="32" customWidth="1"/>
    <col min="5129" max="5129" width="11.42578125" style="32" customWidth="1"/>
    <col min="5130" max="5130" width="21.140625" style="32" customWidth="1"/>
    <col min="5131" max="5376" width="9" style="32"/>
    <col min="5377" max="5377" width="9" style="32" hidden="1" customWidth="1"/>
    <col min="5378" max="5378" width="5.5703125" style="32" customWidth="1"/>
    <col min="5379" max="5379" width="34.140625" style="32" customWidth="1"/>
    <col min="5380" max="5380" width="9" style="32" hidden="1" customWidth="1"/>
    <col min="5381" max="5381" width="10.140625" style="32" customWidth="1"/>
    <col min="5382" max="5382" width="9.85546875" style="32" customWidth="1"/>
    <col min="5383" max="5383" width="11.42578125" style="32" customWidth="1"/>
    <col min="5384" max="5384" width="14" style="32" customWidth="1"/>
    <col min="5385" max="5385" width="11.42578125" style="32" customWidth="1"/>
    <col min="5386" max="5386" width="21.140625" style="32" customWidth="1"/>
    <col min="5387" max="5632" width="9" style="32"/>
    <col min="5633" max="5633" width="9" style="32" hidden="1" customWidth="1"/>
    <col min="5634" max="5634" width="5.5703125" style="32" customWidth="1"/>
    <col min="5635" max="5635" width="34.140625" style="32" customWidth="1"/>
    <col min="5636" max="5636" width="9" style="32" hidden="1" customWidth="1"/>
    <col min="5637" max="5637" width="10.140625" style="32" customWidth="1"/>
    <col min="5638" max="5638" width="9.85546875" style="32" customWidth="1"/>
    <col min="5639" max="5639" width="11.42578125" style="32" customWidth="1"/>
    <col min="5640" max="5640" width="14" style="32" customWidth="1"/>
    <col min="5641" max="5641" width="11.42578125" style="32" customWidth="1"/>
    <col min="5642" max="5642" width="21.140625" style="32" customWidth="1"/>
    <col min="5643" max="5888" width="9" style="32"/>
    <col min="5889" max="5889" width="9" style="32" hidden="1" customWidth="1"/>
    <col min="5890" max="5890" width="5.5703125" style="32" customWidth="1"/>
    <col min="5891" max="5891" width="34.140625" style="32" customWidth="1"/>
    <col min="5892" max="5892" width="9" style="32" hidden="1" customWidth="1"/>
    <col min="5893" max="5893" width="10.140625" style="32" customWidth="1"/>
    <col min="5894" max="5894" width="9.85546875" style="32" customWidth="1"/>
    <col min="5895" max="5895" width="11.42578125" style="32" customWidth="1"/>
    <col min="5896" max="5896" width="14" style="32" customWidth="1"/>
    <col min="5897" max="5897" width="11.42578125" style="32" customWidth="1"/>
    <col min="5898" max="5898" width="21.140625" style="32" customWidth="1"/>
    <col min="5899" max="6144" width="9" style="32"/>
    <col min="6145" max="6145" width="9" style="32" hidden="1" customWidth="1"/>
    <col min="6146" max="6146" width="5.5703125" style="32" customWidth="1"/>
    <col min="6147" max="6147" width="34.140625" style="32" customWidth="1"/>
    <col min="6148" max="6148" width="9" style="32" hidden="1" customWidth="1"/>
    <col min="6149" max="6149" width="10.140625" style="32" customWidth="1"/>
    <col min="6150" max="6150" width="9.85546875" style="32" customWidth="1"/>
    <col min="6151" max="6151" width="11.42578125" style="32" customWidth="1"/>
    <col min="6152" max="6152" width="14" style="32" customWidth="1"/>
    <col min="6153" max="6153" width="11.42578125" style="32" customWidth="1"/>
    <col min="6154" max="6154" width="21.140625" style="32" customWidth="1"/>
    <col min="6155" max="6400" width="9" style="32"/>
    <col min="6401" max="6401" width="9" style="32" hidden="1" customWidth="1"/>
    <col min="6402" max="6402" width="5.5703125" style="32" customWidth="1"/>
    <col min="6403" max="6403" width="34.140625" style="32" customWidth="1"/>
    <col min="6404" max="6404" width="9" style="32" hidden="1" customWidth="1"/>
    <col min="6405" max="6405" width="10.140625" style="32" customWidth="1"/>
    <col min="6406" max="6406" width="9.85546875" style="32" customWidth="1"/>
    <col min="6407" max="6407" width="11.42578125" style="32" customWidth="1"/>
    <col min="6408" max="6408" width="14" style="32" customWidth="1"/>
    <col min="6409" max="6409" width="11.42578125" style="32" customWidth="1"/>
    <col min="6410" max="6410" width="21.140625" style="32" customWidth="1"/>
    <col min="6411" max="6656" width="9" style="32"/>
    <col min="6657" max="6657" width="9" style="32" hidden="1" customWidth="1"/>
    <col min="6658" max="6658" width="5.5703125" style="32" customWidth="1"/>
    <col min="6659" max="6659" width="34.140625" style="32" customWidth="1"/>
    <col min="6660" max="6660" width="9" style="32" hidden="1" customWidth="1"/>
    <col min="6661" max="6661" width="10.140625" style="32" customWidth="1"/>
    <col min="6662" max="6662" width="9.85546875" style="32" customWidth="1"/>
    <col min="6663" max="6663" width="11.42578125" style="32" customWidth="1"/>
    <col min="6664" max="6664" width="14" style="32" customWidth="1"/>
    <col min="6665" max="6665" width="11.42578125" style="32" customWidth="1"/>
    <col min="6666" max="6666" width="21.140625" style="32" customWidth="1"/>
    <col min="6667" max="6912" width="9" style="32"/>
    <col min="6913" max="6913" width="9" style="32" hidden="1" customWidth="1"/>
    <col min="6914" max="6914" width="5.5703125" style="32" customWidth="1"/>
    <col min="6915" max="6915" width="34.140625" style="32" customWidth="1"/>
    <col min="6916" max="6916" width="9" style="32" hidden="1" customWidth="1"/>
    <col min="6917" max="6917" width="10.140625" style="32" customWidth="1"/>
    <col min="6918" max="6918" width="9.85546875" style="32" customWidth="1"/>
    <col min="6919" max="6919" width="11.42578125" style="32" customWidth="1"/>
    <col min="6920" max="6920" width="14" style="32" customWidth="1"/>
    <col min="6921" max="6921" width="11.42578125" style="32" customWidth="1"/>
    <col min="6922" max="6922" width="21.140625" style="32" customWidth="1"/>
    <col min="6923" max="7168" width="9" style="32"/>
    <col min="7169" max="7169" width="9" style="32" hidden="1" customWidth="1"/>
    <col min="7170" max="7170" width="5.5703125" style="32" customWidth="1"/>
    <col min="7171" max="7171" width="34.140625" style="32" customWidth="1"/>
    <col min="7172" max="7172" width="9" style="32" hidden="1" customWidth="1"/>
    <col min="7173" max="7173" width="10.140625" style="32" customWidth="1"/>
    <col min="7174" max="7174" width="9.85546875" style="32" customWidth="1"/>
    <col min="7175" max="7175" width="11.42578125" style="32" customWidth="1"/>
    <col min="7176" max="7176" width="14" style="32" customWidth="1"/>
    <col min="7177" max="7177" width="11.42578125" style="32" customWidth="1"/>
    <col min="7178" max="7178" width="21.140625" style="32" customWidth="1"/>
    <col min="7179" max="7424" width="9" style="32"/>
    <col min="7425" max="7425" width="9" style="32" hidden="1" customWidth="1"/>
    <col min="7426" max="7426" width="5.5703125" style="32" customWidth="1"/>
    <col min="7427" max="7427" width="34.140625" style="32" customWidth="1"/>
    <col min="7428" max="7428" width="9" style="32" hidden="1" customWidth="1"/>
    <col min="7429" max="7429" width="10.140625" style="32" customWidth="1"/>
    <col min="7430" max="7430" width="9.85546875" style="32" customWidth="1"/>
    <col min="7431" max="7431" width="11.42578125" style="32" customWidth="1"/>
    <col min="7432" max="7432" width="14" style="32" customWidth="1"/>
    <col min="7433" max="7433" width="11.42578125" style="32" customWidth="1"/>
    <col min="7434" max="7434" width="21.140625" style="32" customWidth="1"/>
    <col min="7435" max="7680" width="9" style="32"/>
    <col min="7681" max="7681" width="9" style="32" hidden="1" customWidth="1"/>
    <col min="7682" max="7682" width="5.5703125" style="32" customWidth="1"/>
    <col min="7683" max="7683" width="34.140625" style="32" customWidth="1"/>
    <col min="7684" max="7684" width="9" style="32" hidden="1" customWidth="1"/>
    <col min="7685" max="7685" width="10.140625" style="32" customWidth="1"/>
    <col min="7686" max="7686" width="9.85546875" style="32" customWidth="1"/>
    <col min="7687" max="7687" width="11.42578125" style="32" customWidth="1"/>
    <col min="7688" max="7688" width="14" style="32" customWidth="1"/>
    <col min="7689" max="7689" width="11.42578125" style="32" customWidth="1"/>
    <col min="7690" max="7690" width="21.140625" style="32" customWidth="1"/>
    <col min="7691" max="7936" width="9" style="32"/>
    <col min="7937" max="7937" width="9" style="32" hidden="1" customWidth="1"/>
    <col min="7938" max="7938" width="5.5703125" style="32" customWidth="1"/>
    <col min="7939" max="7939" width="34.140625" style="32" customWidth="1"/>
    <col min="7940" max="7940" width="9" style="32" hidden="1" customWidth="1"/>
    <col min="7941" max="7941" width="10.140625" style="32" customWidth="1"/>
    <col min="7942" max="7942" width="9.85546875" style="32" customWidth="1"/>
    <col min="7943" max="7943" width="11.42578125" style="32" customWidth="1"/>
    <col min="7944" max="7944" width="14" style="32" customWidth="1"/>
    <col min="7945" max="7945" width="11.42578125" style="32" customWidth="1"/>
    <col min="7946" max="7946" width="21.140625" style="32" customWidth="1"/>
    <col min="7947" max="8192" width="9" style="32"/>
    <col min="8193" max="8193" width="9" style="32" hidden="1" customWidth="1"/>
    <col min="8194" max="8194" width="5.5703125" style="32" customWidth="1"/>
    <col min="8195" max="8195" width="34.140625" style="32" customWidth="1"/>
    <col min="8196" max="8196" width="9" style="32" hidden="1" customWidth="1"/>
    <col min="8197" max="8197" width="10.140625" style="32" customWidth="1"/>
    <col min="8198" max="8198" width="9.85546875" style="32" customWidth="1"/>
    <col min="8199" max="8199" width="11.42578125" style="32" customWidth="1"/>
    <col min="8200" max="8200" width="14" style="32" customWidth="1"/>
    <col min="8201" max="8201" width="11.42578125" style="32" customWidth="1"/>
    <col min="8202" max="8202" width="21.140625" style="32" customWidth="1"/>
    <col min="8203" max="8448" width="9" style="32"/>
    <col min="8449" max="8449" width="9" style="32" hidden="1" customWidth="1"/>
    <col min="8450" max="8450" width="5.5703125" style="32" customWidth="1"/>
    <col min="8451" max="8451" width="34.140625" style="32" customWidth="1"/>
    <col min="8452" max="8452" width="9" style="32" hidden="1" customWidth="1"/>
    <col min="8453" max="8453" width="10.140625" style="32" customWidth="1"/>
    <col min="8454" max="8454" width="9.85546875" style="32" customWidth="1"/>
    <col min="8455" max="8455" width="11.42578125" style="32" customWidth="1"/>
    <col min="8456" max="8456" width="14" style="32" customWidth="1"/>
    <col min="8457" max="8457" width="11.42578125" style="32" customWidth="1"/>
    <col min="8458" max="8458" width="21.140625" style="32" customWidth="1"/>
    <col min="8459" max="8704" width="9" style="32"/>
    <col min="8705" max="8705" width="9" style="32" hidden="1" customWidth="1"/>
    <col min="8706" max="8706" width="5.5703125" style="32" customWidth="1"/>
    <col min="8707" max="8707" width="34.140625" style="32" customWidth="1"/>
    <col min="8708" max="8708" width="9" style="32" hidden="1" customWidth="1"/>
    <col min="8709" max="8709" width="10.140625" style="32" customWidth="1"/>
    <col min="8710" max="8710" width="9.85546875" style="32" customWidth="1"/>
    <col min="8711" max="8711" width="11.42578125" style="32" customWidth="1"/>
    <col min="8712" max="8712" width="14" style="32" customWidth="1"/>
    <col min="8713" max="8713" width="11.42578125" style="32" customWidth="1"/>
    <col min="8714" max="8714" width="21.140625" style="32" customWidth="1"/>
    <col min="8715" max="8960" width="9" style="32"/>
    <col min="8961" max="8961" width="9" style="32" hidden="1" customWidth="1"/>
    <col min="8962" max="8962" width="5.5703125" style="32" customWidth="1"/>
    <col min="8963" max="8963" width="34.140625" style="32" customWidth="1"/>
    <col min="8964" max="8964" width="9" style="32" hidden="1" customWidth="1"/>
    <col min="8965" max="8965" width="10.140625" style="32" customWidth="1"/>
    <col min="8966" max="8966" width="9.85546875" style="32" customWidth="1"/>
    <col min="8967" max="8967" width="11.42578125" style="32" customWidth="1"/>
    <col min="8968" max="8968" width="14" style="32" customWidth="1"/>
    <col min="8969" max="8969" width="11.42578125" style="32" customWidth="1"/>
    <col min="8970" max="8970" width="21.140625" style="32" customWidth="1"/>
    <col min="8971" max="9216" width="9" style="32"/>
    <col min="9217" max="9217" width="9" style="32" hidden="1" customWidth="1"/>
    <col min="9218" max="9218" width="5.5703125" style="32" customWidth="1"/>
    <col min="9219" max="9219" width="34.140625" style="32" customWidth="1"/>
    <col min="9220" max="9220" width="9" style="32" hidden="1" customWidth="1"/>
    <col min="9221" max="9221" width="10.140625" style="32" customWidth="1"/>
    <col min="9222" max="9222" width="9.85546875" style="32" customWidth="1"/>
    <col min="9223" max="9223" width="11.42578125" style="32" customWidth="1"/>
    <col min="9224" max="9224" width="14" style="32" customWidth="1"/>
    <col min="9225" max="9225" width="11.42578125" style="32" customWidth="1"/>
    <col min="9226" max="9226" width="21.140625" style="32" customWidth="1"/>
    <col min="9227" max="9472" width="9" style="32"/>
    <col min="9473" max="9473" width="9" style="32" hidden="1" customWidth="1"/>
    <col min="9474" max="9474" width="5.5703125" style="32" customWidth="1"/>
    <col min="9475" max="9475" width="34.140625" style="32" customWidth="1"/>
    <col min="9476" max="9476" width="9" style="32" hidden="1" customWidth="1"/>
    <col min="9477" max="9477" width="10.140625" style="32" customWidth="1"/>
    <col min="9478" max="9478" width="9.85546875" style="32" customWidth="1"/>
    <col min="9479" max="9479" width="11.42578125" style="32" customWidth="1"/>
    <col min="9480" max="9480" width="14" style="32" customWidth="1"/>
    <col min="9481" max="9481" width="11.42578125" style="32" customWidth="1"/>
    <col min="9482" max="9482" width="21.140625" style="32" customWidth="1"/>
    <col min="9483" max="9728" width="9" style="32"/>
    <col min="9729" max="9729" width="9" style="32" hidden="1" customWidth="1"/>
    <col min="9730" max="9730" width="5.5703125" style="32" customWidth="1"/>
    <col min="9731" max="9731" width="34.140625" style="32" customWidth="1"/>
    <col min="9732" max="9732" width="9" style="32" hidden="1" customWidth="1"/>
    <col min="9733" max="9733" width="10.140625" style="32" customWidth="1"/>
    <col min="9734" max="9734" width="9.85546875" style="32" customWidth="1"/>
    <col min="9735" max="9735" width="11.42578125" style="32" customWidth="1"/>
    <col min="9736" max="9736" width="14" style="32" customWidth="1"/>
    <col min="9737" max="9737" width="11.42578125" style="32" customWidth="1"/>
    <col min="9738" max="9738" width="21.140625" style="32" customWidth="1"/>
    <col min="9739" max="9984" width="9" style="32"/>
    <col min="9985" max="9985" width="9" style="32" hidden="1" customWidth="1"/>
    <col min="9986" max="9986" width="5.5703125" style="32" customWidth="1"/>
    <col min="9987" max="9987" width="34.140625" style="32" customWidth="1"/>
    <col min="9988" max="9988" width="9" style="32" hidden="1" customWidth="1"/>
    <col min="9989" max="9989" width="10.140625" style="32" customWidth="1"/>
    <col min="9990" max="9990" width="9.85546875" style="32" customWidth="1"/>
    <col min="9991" max="9991" width="11.42578125" style="32" customWidth="1"/>
    <col min="9992" max="9992" width="14" style="32" customWidth="1"/>
    <col min="9993" max="9993" width="11.42578125" style="32" customWidth="1"/>
    <col min="9994" max="9994" width="21.140625" style="32" customWidth="1"/>
    <col min="9995" max="10240" width="9" style="32"/>
    <col min="10241" max="10241" width="9" style="32" hidden="1" customWidth="1"/>
    <col min="10242" max="10242" width="5.5703125" style="32" customWidth="1"/>
    <col min="10243" max="10243" width="34.140625" style="32" customWidth="1"/>
    <col min="10244" max="10244" width="9" style="32" hidden="1" customWidth="1"/>
    <col min="10245" max="10245" width="10.140625" style="32" customWidth="1"/>
    <col min="10246" max="10246" width="9.85546875" style="32" customWidth="1"/>
    <col min="10247" max="10247" width="11.42578125" style="32" customWidth="1"/>
    <col min="10248" max="10248" width="14" style="32" customWidth="1"/>
    <col min="10249" max="10249" width="11.42578125" style="32" customWidth="1"/>
    <col min="10250" max="10250" width="21.140625" style="32" customWidth="1"/>
    <col min="10251" max="10496" width="9" style="32"/>
    <col min="10497" max="10497" width="9" style="32" hidden="1" customWidth="1"/>
    <col min="10498" max="10498" width="5.5703125" style="32" customWidth="1"/>
    <col min="10499" max="10499" width="34.140625" style="32" customWidth="1"/>
    <col min="10500" max="10500" width="9" style="32" hidden="1" customWidth="1"/>
    <col min="10501" max="10501" width="10.140625" style="32" customWidth="1"/>
    <col min="10502" max="10502" width="9.85546875" style="32" customWidth="1"/>
    <col min="10503" max="10503" width="11.42578125" style="32" customWidth="1"/>
    <col min="10504" max="10504" width="14" style="32" customWidth="1"/>
    <col min="10505" max="10505" width="11.42578125" style="32" customWidth="1"/>
    <col min="10506" max="10506" width="21.140625" style="32" customWidth="1"/>
    <col min="10507" max="10752" width="9" style="32"/>
    <col min="10753" max="10753" width="9" style="32" hidden="1" customWidth="1"/>
    <col min="10754" max="10754" width="5.5703125" style="32" customWidth="1"/>
    <col min="10755" max="10755" width="34.140625" style="32" customWidth="1"/>
    <col min="10756" max="10756" width="9" style="32" hidden="1" customWidth="1"/>
    <col min="10757" max="10757" width="10.140625" style="32" customWidth="1"/>
    <col min="10758" max="10758" width="9.85546875" style="32" customWidth="1"/>
    <col min="10759" max="10759" width="11.42578125" style="32" customWidth="1"/>
    <col min="10760" max="10760" width="14" style="32" customWidth="1"/>
    <col min="10761" max="10761" width="11.42578125" style="32" customWidth="1"/>
    <col min="10762" max="10762" width="21.140625" style="32" customWidth="1"/>
    <col min="10763" max="11008" width="9" style="32"/>
    <col min="11009" max="11009" width="9" style="32" hidden="1" customWidth="1"/>
    <col min="11010" max="11010" width="5.5703125" style="32" customWidth="1"/>
    <col min="11011" max="11011" width="34.140625" style="32" customWidth="1"/>
    <col min="11012" max="11012" width="9" style="32" hidden="1" customWidth="1"/>
    <col min="11013" max="11013" width="10.140625" style="32" customWidth="1"/>
    <col min="11014" max="11014" width="9.85546875" style="32" customWidth="1"/>
    <col min="11015" max="11015" width="11.42578125" style="32" customWidth="1"/>
    <col min="11016" max="11016" width="14" style="32" customWidth="1"/>
    <col min="11017" max="11017" width="11.42578125" style="32" customWidth="1"/>
    <col min="11018" max="11018" width="21.140625" style="32" customWidth="1"/>
    <col min="11019" max="11264" width="9" style="32"/>
    <col min="11265" max="11265" width="9" style="32" hidden="1" customWidth="1"/>
    <col min="11266" max="11266" width="5.5703125" style="32" customWidth="1"/>
    <col min="11267" max="11267" width="34.140625" style="32" customWidth="1"/>
    <col min="11268" max="11268" width="9" style="32" hidden="1" customWidth="1"/>
    <col min="11269" max="11269" width="10.140625" style="32" customWidth="1"/>
    <col min="11270" max="11270" width="9.85546875" style="32" customWidth="1"/>
    <col min="11271" max="11271" width="11.42578125" style="32" customWidth="1"/>
    <col min="11272" max="11272" width="14" style="32" customWidth="1"/>
    <col min="11273" max="11273" width="11.42578125" style="32" customWidth="1"/>
    <col min="11274" max="11274" width="21.140625" style="32" customWidth="1"/>
    <col min="11275" max="11520" width="9" style="32"/>
    <col min="11521" max="11521" width="9" style="32" hidden="1" customWidth="1"/>
    <col min="11522" max="11522" width="5.5703125" style="32" customWidth="1"/>
    <col min="11523" max="11523" width="34.140625" style="32" customWidth="1"/>
    <col min="11524" max="11524" width="9" style="32" hidden="1" customWidth="1"/>
    <col min="11525" max="11525" width="10.140625" style="32" customWidth="1"/>
    <col min="11526" max="11526" width="9.85546875" style="32" customWidth="1"/>
    <col min="11527" max="11527" width="11.42578125" style="32" customWidth="1"/>
    <col min="11528" max="11528" width="14" style="32" customWidth="1"/>
    <col min="11529" max="11529" width="11.42578125" style="32" customWidth="1"/>
    <col min="11530" max="11530" width="21.140625" style="32" customWidth="1"/>
    <col min="11531" max="11776" width="9" style="32"/>
    <col min="11777" max="11777" width="9" style="32" hidden="1" customWidth="1"/>
    <col min="11778" max="11778" width="5.5703125" style="32" customWidth="1"/>
    <col min="11779" max="11779" width="34.140625" style="32" customWidth="1"/>
    <col min="11780" max="11780" width="9" style="32" hidden="1" customWidth="1"/>
    <col min="11781" max="11781" width="10.140625" style="32" customWidth="1"/>
    <col min="11782" max="11782" width="9.85546875" style="32" customWidth="1"/>
    <col min="11783" max="11783" width="11.42578125" style="32" customWidth="1"/>
    <col min="11784" max="11784" width="14" style="32" customWidth="1"/>
    <col min="11785" max="11785" width="11.42578125" style="32" customWidth="1"/>
    <col min="11786" max="11786" width="21.140625" style="32" customWidth="1"/>
    <col min="11787" max="12032" width="9" style="32"/>
    <col min="12033" max="12033" width="9" style="32" hidden="1" customWidth="1"/>
    <col min="12034" max="12034" width="5.5703125" style="32" customWidth="1"/>
    <col min="12035" max="12035" width="34.140625" style="32" customWidth="1"/>
    <col min="12036" max="12036" width="9" style="32" hidden="1" customWidth="1"/>
    <col min="12037" max="12037" width="10.140625" style="32" customWidth="1"/>
    <col min="12038" max="12038" width="9.85546875" style="32" customWidth="1"/>
    <col min="12039" max="12039" width="11.42578125" style="32" customWidth="1"/>
    <col min="12040" max="12040" width="14" style="32" customWidth="1"/>
    <col min="12041" max="12041" width="11.42578125" style="32" customWidth="1"/>
    <col min="12042" max="12042" width="21.140625" style="32" customWidth="1"/>
    <col min="12043" max="12288" width="9" style="32"/>
    <col min="12289" max="12289" width="9" style="32" hidden="1" customWidth="1"/>
    <col min="12290" max="12290" width="5.5703125" style="32" customWidth="1"/>
    <col min="12291" max="12291" width="34.140625" style="32" customWidth="1"/>
    <col min="12292" max="12292" width="9" style="32" hidden="1" customWidth="1"/>
    <col min="12293" max="12293" width="10.140625" style="32" customWidth="1"/>
    <col min="12294" max="12294" width="9.85546875" style="32" customWidth="1"/>
    <col min="12295" max="12295" width="11.42578125" style="32" customWidth="1"/>
    <col min="12296" max="12296" width="14" style="32" customWidth="1"/>
    <col min="12297" max="12297" width="11.42578125" style="32" customWidth="1"/>
    <col min="12298" max="12298" width="21.140625" style="32" customWidth="1"/>
    <col min="12299" max="12544" width="9" style="32"/>
    <col min="12545" max="12545" width="9" style="32" hidden="1" customWidth="1"/>
    <col min="12546" max="12546" width="5.5703125" style="32" customWidth="1"/>
    <col min="12547" max="12547" width="34.140625" style="32" customWidth="1"/>
    <col min="12548" max="12548" width="9" style="32" hidden="1" customWidth="1"/>
    <col min="12549" max="12549" width="10.140625" style="32" customWidth="1"/>
    <col min="12550" max="12550" width="9.85546875" style="32" customWidth="1"/>
    <col min="12551" max="12551" width="11.42578125" style="32" customWidth="1"/>
    <col min="12552" max="12552" width="14" style="32" customWidth="1"/>
    <col min="12553" max="12553" width="11.42578125" style="32" customWidth="1"/>
    <col min="12554" max="12554" width="21.140625" style="32" customWidth="1"/>
    <col min="12555" max="12800" width="9" style="32"/>
    <col min="12801" max="12801" width="9" style="32" hidden="1" customWidth="1"/>
    <col min="12802" max="12802" width="5.5703125" style="32" customWidth="1"/>
    <col min="12803" max="12803" width="34.140625" style="32" customWidth="1"/>
    <col min="12804" max="12804" width="9" style="32" hidden="1" customWidth="1"/>
    <col min="12805" max="12805" width="10.140625" style="32" customWidth="1"/>
    <col min="12806" max="12806" width="9.85546875" style="32" customWidth="1"/>
    <col min="12807" max="12807" width="11.42578125" style="32" customWidth="1"/>
    <col min="12808" max="12808" width="14" style="32" customWidth="1"/>
    <col min="12809" max="12809" width="11.42578125" style="32" customWidth="1"/>
    <col min="12810" max="12810" width="21.140625" style="32" customWidth="1"/>
    <col min="12811" max="13056" width="9" style="32"/>
    <col min="13057" max="13057" width="9" style="32" hidden="1" customWidth="1"/>
    <col min="13058" max="13058" width="5.5703125" style="32" customWidth="1"/>
    <col min="13059" max="13059" width="34.140625" style="32" customWidth="1"/>
    <col min="13060" max="13060" width="9" style="32" hidden="1" customWidth="1"/>
    <col min="13061" max="13061" width="10.140625" style="32" customWidth="1"/>
    <col min="13062" max="13062" width="9.85546875" style="32" customWidth="1"/>
    <col min="13063" max="13063" width="11.42578125" style="32" customWidth="1"/>
    <col min="13064" max="13064" width="14" style="32" customWidth="1"/>
    <col min="13065" max="13065" width="11.42578125" style="32" customWidth="1"/>
    <col min="13066" max="13066" width="21.140625" style="32" customWidth="1"/>
    <col min="13067" max="13312" width="9" style="32"/>
    <col min="13313" max="13313" width="9" style="32" hidden="1" customWidth="1"/>
    <col min="13314" max="13314" width="5.5703125" style="32" customWidth="1"/>
    <col min="13315" max="13315" width="34.140625" style="32" customWidth="1"/>
    <col min="13316" max="13316" width="9" style="32" hidden="1" customWidth="1"/>
    <col min="13317" max="13317" width="10.140625" style="32" customWidth="1"/>
    <col min="13318" max="13318" width="9.85546875" style="32" customWidth="1"/>
    <col min="13319" max="13319" width="11.42578125" style="32" customWidth="1"/>
    <col min="13320" max="13320" width="14" style="32" customWidth="1"/>
    <col min="13321" max="13321" width="11.42578125" style="32" customWidth="1"/>
    <col min="13322" max="13322" width="21.140625" style="32" customWidth="1"/>
    <col min="13323" max="13568" width="9" style="32"/>
    <col min="13569" max="13569" width="9" style="32" hidden="1" customWidth="1"/>
    <col min="13570" max="13570" width="5.5703125" style="32" customWidth="1"/>
    <col min="13571" max="13571" width="34.140625" style="32" customWidth="1"/>
    <col min="13572" max="13572" width="9" style="32" hidden="1" customWidth="1"/>
    <col min="13573" max="13573" width="10.140625" style="32" customWidth="1"/>
    <col min="13574" max="13574" width="9.85546875" style="32" customWidth="1"/>
    <col min="13575" max="13575" width="11.42578125" style="32" customWidth="1"/>
    <col min="13576" max="13576" width="14" style="32" customWidth="1"/>
    <col min="13577" max="13577" width="11.42578125" style="32" customWidth="1"/>
    <col min="13578" max="13578" width="21.140625" style="32" customWidth="1"/>
    <col min="13579" max="13824" width="9" style="32"/>
    <col min="13825" max="13825" width="9" style="32" hidden="1" customWidth="1"/>
    <col min="13826" max="13826" width="5.5703125" style="32" customWidth="1"/>
    <col min="13827" max="13827" width="34.140625" style="32" customWidth="1"/>
    <col min="13828" max="13828" width="9" style="32" hidden="1" customWidth="1"/>
    <col min="13829" max="13829" width="10.140625" style="32" customWidth="1"/>
    <col min="13830" max="13830" width="9.85546875" style="32" customWidth="1"/>
    <col min="13831" max="13831" width="11.42578125" style="32" customWidth="1"/>
    <col min="13832" max="13832" width="14" style="32" customWidth="1"/>
    <col min="13833" max="13833" width="11.42578125" style="32" customWidth="1"/>
    <col min="13834" max="13834" width="21.140625" style="32" customWidth="1"/>
    <col min="13835" max="14080" width="9" style="32"/>
    <col min="14081" max="14081" width="9" style="32" hidden="1" customWidth="1"/>
    <col min="14082" max="14082" width="5.5703125" style="32" customWidth="1"/>
    <col min="14083" max="14083" width="34.140625" style="32" customWidth="1"/>
    <col min="14084" max="14084" width="9" style="32" hidden="1" customWidth="1"/>
    <col min="14085" max="14085" width="10.140625" style="32" customWidth="1"/>
    <col min="14086" max="14086" width="9.85546875" style="32" customWidth="1"/>
    <col min="14087" max="14087" width="11.42578125" style="32" customWidth="1"/>
    <col min="14088" max="14088" width="14" style="32" customWidth="1"/>
    <col min="14089" max="14089" width="11.42578125" style="32" customWidth="1"/>
    <col min="14090" max="14090" width="21.140625" style="32" customWidth="1"/>
    <col min="14091" max="14336" width="9" style="32"/>
    <col min="14337" max="14337" width="9" style="32" hidden="1" customWidth="1"/>
    <col min="14338" max="14338" width="5.5703125" style="32" customWidth="1"/>
    <col min="14339" max="14339" width="34.140625" style="32" customWidth="1"/>
    <col min="14340" max="14340" width="9" style="32" hidden="1" customWidth="1"/>
    <col min="14341" max="14341" width="10.140625" style="32" customWidth="1"/>
    <col min="14342" max="14342" width="9.85546875" style="32" customWidth="1"/>
    <col min="14343" max="14343" width="11.42578125" style="32" customWidth="1"/>
    <col min="14344" max="14344" width="14" style="32" customWidth="1"/>
    <col min="14345" max="14345" width="11.42578125" style="32" customWidth="1"/>
    <col min="14346" max="14346" width="21.140625" style="32" customWidth="1"/>
    <col min="14347" max="14592" width="9" style="32"/>
    <col min="14593" max="14593" width="9" style="32" hidden="1" customWidth="1"/>
    <col min="14594" max="14594" width="5.5703125" style="32" customWidth="1"/>
    <col min="14595" max="14595" width="34.140625" style="32" customWidth="1"/>
    <col min="14596" max="14596" width="9" style="32" hidden="1" customWidth="1"/>
    <col min="14597" max="14597" width="10.140625" style="32" customWidth="1"/>
    <col min="14598" max="14598" width="9.85546875" style="32" customWidth="1"/>
    <col min="14599" max="14599" width="11.42578125" style="32" customWidth="1"/>
    <col min="14600" max="14600" width="14" style="32" customWidth="1"/>
    <col min="14601" max="14601" width="11.42578125" style="32" customWidth="1"/>
    <col min="14602" max="14602" width="21.140625" style="32" customWidth="1"/>
    <col min="14603" max="14848" width="9" style="32"/>
    <col min="14849" max="14849" width="9" style="32" hidden="1" customWidth="1"/>
    <col min="14850" max="14850" width="5.5703125" style="32" customWidth="1"/>
    <col min="14851" max="14851" width="34.140625" style="32" customWidth="1"/>
    <col min="14852" max="14852" width="9" style="32" hidden="1" customWidth="1"/>
    <col min="14853" max="14853" width="10.140625" style="32" customWidth="1"/>
    <col min="14854" max="14854" width="9.85546875" style="32" customWidth="1"/>
    <col min="14855" max="14855" width="11.42578125" style="32" customWidth="1"/>
    <col min="14856" max="14856" width="14" style="32" customWidth="1"/>
    <col min="14857" max="14857" width="11.42578125" style="32" customWidth="1"/>
    <col min="14858" max="14858" width="21.140625" style="32" customWidth="1"/>
    <col min="14859" max="15104" width="9" style="32"/>
    <col min="15105" max="15105" width="9" style="32" hidden="1" customWidth="1"/>
    <col min="15106" max="15106" width="5.5703125" style="32" customWidth="1"/>
    <col min="15107" max="15107" width="34.140625" style="32" customWidth="1"/>
    <col min="15108" max="15108" width="9" style="32" hidden="1" customWidth="1"/>
    <col min="15109" max="15109" width="10.140625" style="32" customWidth="1"/>
    <col min="15110" max="15110" width="9.85546875" style="32" customWidth="1"/>
    <col min="15111" max="15111" width="11.42578125" style="32" customWidth="1"/>
    <col min="15112" max="15112" width="14" style="32" customWidth="1"/>
    <col min="15113" max="15113" width="11.42578125" style="32" customWidth="1"/>
    <col min="15114" max="15114" width="21.140625" style="32" customWidth="1"/>
    <col min="15115" max="15360" width="9" style="32"/>
    <col min="15361" max="15361" width="9" style="32" hidden="1" customWidth="1"/>
    <col min="15362" max="15362" width="5.5703125" style="32" customWidth="1"/>
    <col min="15363" max="15363" width="34.140625" style="32" customWidth="1"/>
    <col min="15364" max="15364" width="9" style="32" hidden="1" customWidth="1"/>
    <col min="15365" max="15365" width="10.140625" style="32" customWidth="1"/>
    <col min="15366" max="15366" width="9.85546875" style="32" customWidth="1"/>
    <col min="15367" max="15367" width="11.42578125" style="32" customWidth="1"/>
    <col min="15368" max="15368" width="14" style="32" customWidth="1"/>
    <col min="15369" max="15369" width="11.42578125" style="32" customWidth="1"/>
    <col min="15370" max="15370" width="21.140625" style="32" customWidth="1"/>
    <col min="15371" max="15616" width="9" style="32"/>
    <col min="15617" max="15617" width="9" style="32" hidden="1" customWidth="1"/>
    <col min="15618" max="15618" width="5.5703125" style="32" customWidth="1"/>
    <col min="15619" max="15619" width="34.140625" style="32" customWidth="1"/>
    <col min="15620" max="15620" width="9" style="32" hidden="1" customWidth="1"/>
    <col min="15621" max="15621" width="10.140625" style="32" customWidth="1"/>
    <col min="15622" max="15622" width="9.85546875" style="32" customWidth="1"/>
    <col min="15623" max="15623" width="11.42578125" style="32" customWidth="1"/>
    <col min="15624" max="15624" width="14" style="32" customWidth="1"/>
    <col min="15625" max="15625" width="11.42578125" style="32" customWidth="1"/>
    <col min="15626" max="15626" width="21.140625" style="32" customWidth="1"/>
    <col min="15627" max="15872" width="9" style="32"/>
    <col min="15873" max="15873" width="9" style="32" hidden="1" customWidth="1"/>
    <col min="15874" max="15874" width="5.5703125" style="32" customWidth="1"/>
    <col min="15875" max="15875" width="34.140625" style="32" customWidth="1"/>
    <col min="15876" max="15876" width="9" style="32" hidden="1" customWidth="1"/>
    <col min="15877" max="15877" width="10.140625" style="32" customWidth="1"/>
    <col min="15878" max="15878" width="9.85546875" style="32" customWidth="1"/>
    <col min="15879" max="15879" width="11.42578125" style="32" customWidth="1"/>
    <col min="15880" max="15880" width="14" style="32" customWidth="1"/>
    <col min="15881" max="15881" width="11.42578125" style="32" customWidth="1"/>
    <col min="15882" max="15882" width="21.140625" style="32" customWidth="1"/>
    <col min="15883" max="16128" width="9" style="32"/>
    <col min="16129" max="16129" width="9" style="32" hidden="1" customWidth="1"/>
    <col min="16130" max="16130" width="5.5703125" style="32" customWidth="1"/>
    <col min="16131" max="16131" width="34.140625" style="32" customWidth="1"/>
    <col min="16132" max="16132" width="9" style="32" hidden="1" customWidth="1"/>
    <col min="16133" max="16133" width="10.140625" style="32" customWidth="1"/>
    <col min="16134" max="16134" width="9.85546875" style="32" customWidth="1"/>
    <col min="16135" max="16135" width="11.42578125" style="32" customWidth="1"/>
    <col min="16136" max="16136" width="14" style="32" customWidth="1"/>
    <col min="16137" max="16137" width="11.42578125" style="32" customWidth="1"/>
    <col min="16138" max="16138" width="21.140625" style="32" customWidth="1"/>
    <col min="16139" max="16384" width="9" style="32"/>
  </cols>
  <sheetData>
    <row r="1" spans="1:14" ht="15.75" customHeight="1" thickTop="1" x14ac:dyDescent="0.25">
      <c r="B1" s="248" t="s">
        <v>108</v>
      </c>
      <c r="C1" s="249"/>
      <c r="D1" s="249"/>
      <c r="E1" s="249"/>
      <c r="F1" s="249"/>
      <c r="G1" s="249"/>
      <c r="H1" s="250"/>
      <c r="K1" s="32"/>
    </row>
    <row r="2" spans="1:14" ht="15" x14ac:dyDescent="0.25">
      <c r="B2" s="151"/>
      <c r="C2" s="153"/>
      <c r="D2" s="153"/>
      <c r="E2" s="153"/>
      <c r="F2" s="149"/>
      <c r="G2" s="153"/>
      <c r="H2" s="218"/>
      <c r="K2" s="32"/>
    </row>
    <row r="3" spans="1:14" ht="15" x14ac:dyDescent="0.25">
      <c r="B3" s="151"/>
      <c r="C3" s="153"/>
      <c r="D3" s="153"/>
      <c r="E3" s="153"/>
      <c r="F3" s="153"/>
      <c r="G3" s="153"/>
      <c r="H3" s="219"/>
      <c r="K3" s="32"/>
    </row>
    <row r="4" spans="1:14" ht="15" x14ac:dyDescent="0.25">
      <c r="B4" s="151"/>
      <c r="C4" s="152" t="s">
        <v>128</v>
      </c>
      <c r="D4" s="153"/>
      <c r="E4" s="153"/>
      <c r="F4" s="153"/>
      <c r="G4" s="153"/>
      <c r="H4" s="219"/>
      <c r="K4" s="32"/>
    </row>
    <row r="5" spans="1:14" ht="21.95" customHeight="1" x14ac:dyDescent="0.25">
      <c r="B5" s="65"/>
      <c r="C5" s="215"/>
      <c r="E5" s="67"/>
      <c r="F5" s="68"/>
      <c r="H5" s="178"/>
    </row>
    <row r="6" spans="1:14" s="1" customFormat="1" ht="15" x14ac:dyDescent="0.25">
      <c r="A6" s="32"/>
      <c r="B6" s="65"/>
      <c r="C6" s="66" t="s">
        <v>62</v>
      </c>
      <c r="D6" s="213"/>
      <c r="E6" s="67"/>
      <c r="F6" s="68"/>
      <c r="G6" s="69"/>
      <c r="H6" s="178"/>
      <c r="L6" s="32"/>
      <c r="M6" s="32"/>
      <c r="N6" s="32"/>
    </row>
    <row r="7" spans="1:14" s="1" customFormat="1" ht="15" x14ac:dyDescent="0.25">
      <c r="A7" s="32"/>
      <c r="B7" s="65"/>
      <c r="C7" s="66"/>
      <c r="D7" s="213"/>
      <c r="E7" s="67"/>
      <c r="F7" s="68"/>
      <c r="G7" s="69"/>
      <c r="H7" s="178"/>
      <c r="L7" s="32"/>
      <c r="M7" s="32"/>
      <c r="N7" s="32"/>
    </row>
    <row r="8" spans="1:14" s="1" customFormat="1" ht="15" x14ac:dyDescent="0.25">
      <c r="A8" s="32"/>
      <c r="B8" s="65"/>
      <c r="C8" s="66"/>
      <c r="D8" s="213"/>
      <c r="E8" s="67"/>
      <c r="F8" s="68"/>
      <c r="G8" s="69"/>
      <c r="H8" s="178"/>
      <c r="L8" s="32"/>
      <c r="M8" s="32"/>
      <c r="N8" s="32"/>
    </row>
    <row r="9" spans="1:14" s="1" customFormat="1" ht="15" x14ac:dyDescent="0.25">
      <c r="A9" s="32"/>
      <c r="B9" s="214" t="s">
        <v>6</v>
      </c>
      <c r="C9" s="215" t="s">
        <v>63</v>
      </c>
      <c r="D9" s="213"/>
      <c r="E9" s="67"/>
      <c r="F9" s="68"/>
      <c r="G9" s="69"/>
      <c r="H9" s="178">
        <f>H54</f>
        <v>73179000</v>
      </c>
      <c r="L9" s="32"/>
      <c r="M9" s="32"/>
      <c r="N9" s="32"/>
    </row>
    <row r="10" spans="1:14" s="1" customFormat="1" ht="15" x14ac:dyDescent="0.25">
      <c r="A10" s="32"/>
      <c r="B10" s="214"/>
      <c r="C10" s="215"/>
      <c r="D10" s="213"/>
      <c r="E10" s="67"/>
      <c r="F10" s="68"/>
      <c r="G10" s="69"/>
      <c r="H10" s="178"/>
      <c r="L10" s="32"/>
      <c r="M10" s="32"/>
      <c r="N10" s="32"/>
    </row>
    <row r="11" spans="1:14" s="1" customFormat="1" ht="15" x14ac:dyDescent="0.25">
      <c r="A11" s="32"/>
      <c r="B11" s="214"/>
      <c r="C11" s="215"/>
      <c r="D11" s="213"/>
      <c r="E11" s="67"/>
      <c r="F11" s="68"/>
      <c r="G11" s="69"/>
      <c r="H11" s="178"/>
      <c r="L11" s="32"/>
      <c r="M11" s="32"/>
      <c r="N11" s="32"/>
    </row>
    <row r="12" spans="1:14" s="1" customFormat="1" ht="15" x14ac:dyDescent="0.25">
      <c r="A12" s="32"/>
      <c r="B12" s="214"/>
      <c r="C12" s="215"/>
      <c r="D12" s="213"/>
      <c r="E12" s="67"/>
      <c r="F12" s="68"/>
      <c r="G12" s="69"/>
      <c r="H12" s="178"/>
      <c r="L12" s="32"/>
      <c r="M12" s="32"/>
      <c r="N12" s="32"/>
    </row>
    <row r="13" spans="1:14" s="1" customFormat="1" ht="15" x14ac:dyDescent="0.25">
      <c r="A13" s="32"/>
      <c r="B13" s="214" t="s">
        <v>24</v>
      </c>
      <c r="C13" s="215" t="s">
        <v>81</v>
      </c>
      <c r="D13" s="213"/>
      <c r="E13" s="67"/>
      <c r="F13" s="68"/>
      <c r="G13" s="69"/>
      <c r="H13" s="178">
        <f>H75</f>
        <v>91760000</v>
      </c>
      <c r="L13" s="32"/>
      <c r="M13" s="32"/>
      <c r="N13" s="32"/>
    </row>
    <row r="14" spans="1:14" s="1" customFormat="1" ht="15" x14ac:dyDescent="0.25">
      <c r="A14" s="32"/>
      <c r="B14" s="214"/>
      <c r="C14" s="215"/>
      <c r="D14" s="213"/>
      <c r="E14" s="67"/>
      <c r="F14" s="68"/>
      <c r="G14" s="69"/>
      <c r="H14" s="178"/>
      <c r="L14" s="32"/>
      <c r="M14" s="32"/>
      <c r="N14" s="32"/>
    </row>
    <row r="15" spans="1:14" s="1" customFormat="1" ht="15" x14ac:dyDescent="0.25">
      <c r="A15" s="32"/>
      <c r="B15" s="214"/>
      <c r="C15" s="215"/>
      <c r="D15" s="213"/>
      <c r="E15" s="67"/>
      <c r="F15" s="68"/>
      <c r="G15" s="69"/>
      <c r="H15" s="178"/>
      <c r="L15" s="32"/>
      <c r="M15" s="32"/>
      <c r="N15" s="32"/>
    </row>
    <row r="16" spans="1:14" s="1" customFormat="1" ht="15" x14ac:dyDescent="0.25">
      <c r="A16" s="32"/>
      <c r="B16" s="214"/>
      <c r="C16" s="215"/>
      <c r="D16" s="213"/>
      <c r="E16" s="67"/>
      <c r="F16" s="68"/>
      <c r="G16" s="69"/>
      <c r="H16" s="178"/>
      <c r="L16" s="32"/>
      <c r="M16" s="32"/>
      <c r="N16" s="32"/>
    </row>
    <row r="17" spans="1:14" s="1" customFormat="1" ht="15" x14ac:dyDescent="0.25">
      <c r="A17" s="32"/>
      <c r="B17" s="214" t="s">
        <v>47</v>
      </c>
      <c r="C17" s="215" t="s">
        <v>82</v>
      </c>
      <c r="D17" s="213"/>
      <c r="E17" s="67"/>
      <c r="F17" s="68"/>
      <c r="G17" s="69"/>
      <c r="H17" s="178">
        <f>H95</f>
        <v>71900000</v>
      </c>
      <c r="L17" s="32"/>
      <c r="M17" s="32"/>
      <c r="N17" s="32"/>
    </row>
    <row r="18" spans="1:14" s="1" customFormat="1" ht="15" x14ac:dyDescent="0.25">
      <c r="A18" s="32"/>
      <c r="B18" s="214"/>
      <c r="C18" s="215"/>
      <c r="D18" s="213"/>
      <c r="E18" s="67"/>
      <c r="F18" s="68"/>
      <c r="G18" s="69"/>
      <c r="H18" s="178"/>
      <c r="L18" s="32"/>
      <c r="M18" s="32"/>
      <c r="N18" s="32"/>
    </row>
    <row r="19" spans="1:14" s="1" customFormat="1" ht="15" x14ac:dyDescent="0.25">
      <c r="A19" s="32"/>
      <c r="B19" s="214"/>
      <c r="C19" s="215"/>
      <c r="D19" s="213"/>
      <c r="E19" s="67"/>
      <c r="F19" s="68"/>
      <c r="G19" s="69"/>
      <c r="H19" s="178"/>
      <c r="L19" s="32"/>
      <c r="M19" s="32"/>
      <c r="N19" s="32"/>
    </row>
    <row r="20" spans="1:14" s="1" customFormat="1" ht="15" x14ac:dyDescent="0.25">
      <c r="A20" s="32"/>
      <c r="B20" s="214"/>
      <c r="C20" s="215"/>
      <c r="D20" s="213"/>
      <c r="E20" s="67"/>
      <c r="F20" s="68"/>
      <c r="G20" s="69"/>
      <c r="H20" s="178"/>
      <c r="L20" s="32"/>
      <c r="M20" s="32"/>
      <c r="N20" s="32"/>
    </row>
    <row r="21" spans="1:14" s="1" customFormat="1" ht="15" x14ac:dyDescent="0.25">
      <c r="A21" s="32"/>
      <c r="B21" s="214" t="s">
        <v>118</v>
      </c>
      <c r="C21" s="215" t="s">
        <v>127</v>
      </c>
      <c r="D21" s="213"/>
      <c r="E21" s="67"/>
      <c r="F21" s="68"/>
      <c r="G21" s="69"/>
      <c r="H21" s="178">
        <f>H111</f>
        <v>39352000</v>
      </c>
      <c r="L21" s="32"/>
      <c r="M21" s="32"/>
      <c r="N21" s="32"/>
    </row>
    <row r="22" spans="1:14" s="1" customFormat="1" ht="15" x14ac:dyDescent="0.25">
      <c r="A22" s="32"/>
      <c r="B22" s="214"/>
      <c r="C22" s="215"/>
      <c r="D22" s="213"/>
      <c r="E22" s="67"/>
      <c r="F22" s="68"/>
      <c r="G22" s="69"/>
      <c r="H22" s="178"/>
      <c r="L22" s="32"/>
      <c r="M22" s="32"/>
      <c r="N22" s="32"/>
    </row>
    <row r="23" spans="1:14" s="1" customFormat="1" ht="15" x14ac:dyDescent="0.25">
      <c r="A23" s="32"/>
      <c r="B23" s="214"/>
      <c r="C23" s="215"/>
      <c r="D23" s="213"/>
      <c r="E23" s="67"/>
      <c r="F23" s="68"/>
      <c r="G23" s="69"/>
      <c r="H23" s="178"/>
      <c r="L23" s="32"/>
      <c r="M23" s="32"/>
      <c r="N23" s="32"/>
    </row>
    <row r="24" spans="1:14" s="1" customFormat="1" ht="15" x14ac:dyDescent="0.25">
      <c r="A24" s="32"/>
      <c r="B24" s="214"/>
      <c r="C24" s="215"/>
      <c r="D24" s="213"/>
      <c r="E24" s="67"/>
      <c r="F24" s="68"/>
      <c r="G24" s="69"/>
      <c r="H24" s="178"/>
      <c r="L24" s="32"/>
      <c r="M24" s="32"/>
      <c r="N24" s="32"/>
    </row>
    <row r="25" spans="1:14" s="1" customFormat="1" ht="15" x14ac:dyDescent="0.25">
      <c r="A25" s="32"/>
      <c r="B25" s="214" t="s">
        <v>125</v>
      </c>
      <c r="C25" s="215" t="s">
        <v>57</v>
      </c>
      <c r="D25" s="213"/>
      <c r="E25" s="67"/>
      <c r="F25" s="68"/>
      <c r="G25" s="69"/>
      <c r="H25" s="178">
        <f>H127</f>
        <v>12272000</v>
      </c>
      <c r="L25" s="32"/>
      <c r="M25" s="32"/>
      <c r="N25" s="32"/>
    </row>
    <row r="26" spans="1:14" s="1" customFormat="1" ht="15" x14ac:dyDescent="0.25">
      <c r="A26" s="32"/>
      <c r="B26" s="214"/>
      <c r="C26" s="215"/>
      <c r="D26" s="213"/>
      <c r="E26" s="67"/>
      <c r="F26" s="68"/>
      <c r="G26" s="69"/>
      <c r="H26" s="178"/>
      <c r="L26" s="32"/>
      <c r="M26" s="32"/>
      <c r="N26" s="32"/>
    </row>
    <row r="27" spans="1:14" s="1" customFormat="1" ht="15" x14ac:dyDescent="0.25">
      <c r="A27" s="32"/>
      <c r="B27" s="65"/>
      <c r="C27" s="216"/>
      <c r="D27" s="213"/>
      <c r="E27" s="67"/>
      <c r="F27" s="68"/>
      <c r="G27" s="69"/>
      <c r="H27" s="178"/>
      <c r="L27" s="32"/>
      <c r="M27" s="32"/>
      <c r="N27" s="32"/>
    </row>
    <row r="28" spans="1:14" s="1" customFormat="1" ht="16.5" thickBot="1" x14ac:dyDescent="0.3">
      <c r="A28" s="32"/>
      <c r="B28" s="220"/>
      <c r="C28" s="221" t="s">
        <v>126</v>
      </c>
      <c r="D28" s="222"/>
      <c r="E28" s="223"/>
      <c r="F28" s="224"/>
      <c r="G28" s="225"/>
      <c r="H28" s="226">
        <f>SUM(H9:H26)</f>
        <v>288463000</v>
      </c>
      <c r="L28" s="32"/>
      <c r="M28" s="32"/>
      <c r="N28" s="32"/>
    </row>
    <row r="29" spans="1:14" s="9" customFormat="1" ht="15.75" thickTop="1" x14ac:dyDescent="0.25">
      <c r="B29" s="2" t="s">
        <v>0</v>
      </c>
      <c r="C29" s="3" t="s">
        <v>1</v>
      </c>
      <c r="D29" s="205"/>
      <c r="E29" s="4" t="s">
        <v>2</v>
      </c>
      <c r="F29" s="5" t="s">
        <v>3</v>
      </c>
      <c r="G29" s="6" t="s">
        <v>4</v>
      </c>
      <c r="H29" s="7" t="s">
        <v>5</v>
      </c>
      <c r="I29" s="8"/>
      <c r="J29" s="8"/>
      <c r="K29" s="8"/>
    </row>
    <row r="30" spans="1:14" ht="15" x14ac:dyDescent="0.25">
      <c r="B30" s="10"/>
      <c r="C30" s="29"/>
      <c r="D30" s="29"/>
      <c r="E30" s="19"/>
      <c r="F30" s="20"/>
      <c r="G30" s="30"/>
      <c r="H30" s="31"/>
    </row>
    <row r="31" spans="1:14" ht="15" x14ac:dyDescent="0.25">
      <c r="B31" s="10" t="s">
        <v>6</v>
      </c>
      <c r="C31" s="33" t="s">
        <v>112</v>
      </c>
      <c r="D31" s="206"/>
      <c r="G31" s="14"/>
      <c r="H31" s="15"/>
    </row>
    <row r="32" spans="1:14" ht="15" x14ac:dyDescent="0.25">
      <c r="B32" s="16"/>
      <c r="C32" s="36" t="s">
        <v>25</v>
      </c>
      <c r="D32" s="207"/>
      <c r="E32" s="12" t="s">
        <v>26</v>
      </c>
      <c r="F32" s="34">
        <v>50</v>
      </c>
      <c r="G32" s="14">
        <v>4500</v>
      </c>
      <c r="H32" s="15">
        <f>G32*F32</f>
        <v>225000</v>
      </c>
    </row>
    <row r="33" spans="2:10" ht="15" x14ac:dyDescent="0.25">
      <c r="B33" s="16"/>
      <c r="C33" s="36" t="s">
        <v>27</v>
      </c>
      <c r="D33" s="208"/>
      <c r="E33" s="37" t="s">
        <v>28</v>
      </c>
      <c r="F33" s="38">
        <v>25</v>
      </c>
      <c r="G33" s="39">
        <v>6000</v>
      </c>
      <c r="H33" s="40">
        <f>G33*F33</f>
        <v>150000</v>
      </c>
    </row>
    <row r="34" spans="2:10" ht="15" x14ac:dyDescent="0.25">
      <c r="B34" s="16"/>
      <c r="C34" s="36" t="s">
        <v>29</v>
      </c>
      <c r="D34" s="208"/>
      <c r="E34" s="37" t="s">
        <v>26</v>
      </c>
      <c r="F34" s="38">
        <v>32</v>
      </c>
      <c r="G34" s="39">
        <v>88000</v>
      </c>
      <c r="H34" s="40">
        <f>G34*F34</f>
        <v>2816000</v>
      </c>
    </row>
    <row r="35" spans="2:10" ht="15" x14ac:dyDescent="0.25">
      <c r="B35" s="16"/>
      <c r="C35" s="36" t="s">
        <v>113</v>
      </c>
      <c r="D35" s="208"/>
      <c r="E35" s="37" t="s">
        <v>26</v>
      </c>
      <c r="F35" s="38">
        <v>105</v>
      </c>
      <c r="G35" s="39">
        <v>65000</v>
      </c>
      <c r="H35" s="40">
        <f t="shared" ref="H35:H48" si="0">G35*F35</f>
        <v>6825000</v>
      </c>
    </row>
    <row r="36" spans="2:10" ht="15" x14ac:dyDescent="0.25">
      <c r="B36" s="16"/>
      <c r="C36" s="36" t="s">
        <v>49</v>
      </c>
      <c r="D36" s="208"/>
      <c r="E36" s="37" t="s">
        <v>26</v>
      </c>
      <c r="F36" s="38">
        <v>75</v>
      </c>
      <c r="G36" s="39">
        <v>18000</v>
      </c>
      <c r="H36" s="40">
        <f t="shared" si="0"/>
        <v>1350000</v>
      </c>
    </row>
    <row r="37" spans="2:10" ht="15" x14ac:dyDescent="0.25">
      <c r="B37" s="16"/>
      <c r="C37" s="36" t="s">
        <v>30</v>
      </c>
      <c r="D37" s="208"/>
      <c r="E37" s="37" t="s">
        <v>20</v>
      </c>
      <c r="F37" s="38">
        <v>3</v>
      </c>
      <c r="G37" s="39">
        <v>120000</v>
      </c>
      <c r="H37" s="40">
        <f t="shared" si="0"/>
        <v>360000</v>
      </c>
    </row>
    <row r="38" spans="2:10" ht="15" x14ac:dyDescent="0.25">
      <c r="B38" s="16"/>
      <c r="C38" s="41" t="s">
        <v>64</v>
      </c>
      <c r="D38" s="209"/>
      <c r="E38" s="37" t="s">
        <v>31</v>
      </c>
      <c r="F38" s="38">
        <v>2</v>
      </c>
      <c r="G38" s="39">
        <v>100000</v>
      </c>
      <c r="H38" s="42">
        <f t="shared" si="0"/>
        <v>200000</v>
      </c>
      <c r="I38" s="43"/>
    </row>
    <row r="39" spans="2:10" ht="15" x14ac:dyDescent="0.25">
      <c r="B39" s="16"/>
      <c r="C39" s="41" t="s">
        <v>32</v>
      </c>
      <c r="D39" s="209"/>
      <c r="E39" s="41" t="s">
        <v>33</v>
      </c>
      <c r="F39" s="38">
        <v>2</v>
      </c>
      <c r="G39" s="39">
        <v>2200000</v>
      </c>
      <c r="H39" s="44">
        <f t="shared" si="0"/>
        <v>4400000</v>
      </c>
    </row>
    <row r="40" spans="2:10" ht="15" x14ac:dyDescent="0.25">
      <c r="B40" s="16"/>
      <c r="C40" s="41" t="s">
        <v>34</v>
      </c>
      <c r="D40" s="209"/>
      <c r="E40" s="37" t="s">
        <v>35</v>
      </c>
      <c r="F40" s="38">
        <v>450</v>
      </c>
      <c r="G40" s="39">
        <v>35000</v>
      </c>
      <c r="H40" s="44">
        <f t="shared" si="0"/>
        <v>15750000</v>
      </c>
    </row>
    <row r="41" spans="2:10" ht="15" x14ac:dyDescent="0.25">
      <c r="B41" s="16"/>
      <c r="C41" s="41" t="s">
        <v>36</v>
      </c>
      <c r="D41" s="209"/>
      <c r="E41" s="41" t="s">
        <v>33</v>
      </c>
      <c r="F41" s="38">
        <v>2</v>
      </c>
      <c r="G41" s="39">
        <v>3800000</v>
      </c>
      <c r="H41" s="40">
        <f t="shared" si="0"/>
        <v>7600000</v>
      </c>
      <c r="I41" s="43"/>
    </row>
    <row r="42" spans="2:10" ht="15" x14ac:dyDescent="0.25">
      <c r="B42" s="16"/>
      <c r="C42" s="41" t="s">
        <v>65</v>
      </c>
      <c r="D42" s="210"/>
      <c r="E42" s="37" t="s">
        <v>26</v>
      </c>
      <c r="F42" s="38">
        <v>11340</v>
      </c>
      <c r="G42" s="39">
        <v>450</v>
      </c>
      <c r="H42" s="40">
        <f t="shared" si="0"/>
        <v>5103000</v>
      </c>
      <c r="I42" s="43"/>
    </row>
    <row r="43" spans="2:10" ht="15" x14ac:dyDescent="0.25">
      <c r="B43" s="16"/>
      <c r="C43" s="41" t="s">
        <v>37</v>
      </c>
      <c r="D43" s="210"/>
      <c r="E43" s="37" t="s">
        <v>38</v>
      </c>
      <c r="F43" s="38">
        <v>25</v>
      </c>
      <c r="G43" s="39">
        <v>250000</v>
      </c>
      <c r="H43" s="40">
        <f t="shared" si="0"/>
        <v>6250000</v>
      </c>
      <c r="I43" s="43"/>
    </row>
    <row r="44" spans="2:10" ht="15" x14ac:dyDescent="0.25">
      <c r="B44" s="16"/>
      <c r="C44" s="41" t="s">
        <v>39</v>
      </c>
      <c r="D44" s="210"/>
      <c r="E44" s="37" t="s">
        <v>20</v>
      </c>
      <c r="F44" s="227">
        <v>2.5</v>
      </c>
      <c r="G44" s="39">
        <v>900000</v>
      </c>
      <c r="H44" s="40">
        <f t="shared" si="0"/>
        <v>2250000</v>
      </c>
      <c r="I44" s="43"/>
    </row>
    <row r="45" spans="2:10" ht="15" x14ac:dyDescent="0.25">
      <c r="B45" s="16"/>
      <c r="C45" s="41" t="s">
        <v>40</v>
      </c>
      <c r="D45" s="210"/>
      <c r="E45" s="37" t="s">
        <v>41</v>
      </c>
      <c r="F45" s="38">
        <v>400</v>
      </c>
      <c r="G45" s="39">
        <v>8000</v>
      </c>
      <c r="H45" s="40">
        <f t="shared" si="0"/>
        <v>3200000</v>
      </c>
      <c r="I45" s="43"/>
    </row>
    <row r="46" spans="2:10" ht="15" x14ac:dyDescent="0.25">
      <c r="B46" s="16"/>
      <c r="C46" s="41" t="s">
        <v>42</v>
      </c>
      <c r="D46" s="210"/>
      <c r="E46" s="37" t="s">
        <v>41</v>
      </c>
      <c r="F46" s="38">
        <v>200</v>
      </c>
      <c r="G46" s="39">
        <v>5000</v>
      </c>
      <c r="H46" s="40">
        <f t="shared" si="0"/>
        <v>1000000</v>
      </c>
      <c r="I46" s="43"/>
    </row>
    <row r="47" spans="2:10" ht="15" x14ac:dyDescent="0.25">
      <c r="B47" s="16"/>
      <c r="C47" s="41" t="s">
        <v>43</v>
      </c>
      <c r="D47" s="210"/>
      <c r="E47" s="37" t="s">
        <v>20</v>
      </c>
      <c r="F47" s="38">
        <v>1</v>
      </c>
      <c r="G47" s="39">
        <v>300000</v>
      </c>
      <c r="H47" s="40">
        <f t="shared" si="0"/>
        <v>300000</v>
      </c>
      <c r="I47" s="43"/>
      <c r="J47" s="73">
        <f>SUM(H32:H48)</f>
        <v>58179000</v>
      </c>
    </row>
    <row r="48" spans="2:10" ht="15" x14ac:dyDescent="0.25">
      <c r="B48" s="16"/>
      <c r="C48" s="41" t="s">
        <v>44</v>
      </c>
      <c r="D48" s="210"/>
      <c r="E48" s="37" t="s">
        <v>20</v>
      </c>
      <c r="F48" s="38">
        <v>10</v>
      </c>
      <c r="G48" s="39">
        <v>40000</v>
      </c>
      <c r="H48" s="40">
        <f t="shared" si="0"/>
        <v>400000</v>
      </c>
      <c r="I48" s="43"/>
    </row>
    <row r="49" spans="1:14" ht="15" x14ac:dyDescent="0.25">
      <c r="B49" s="16"/>
      <c r="C49" s="41"/>
      <c r="D49" s="210"/>
      <c r="E49" s="37"/>
      <c r="F49" s="38"/>
      <c r="G49" s="39"/>
      <c r="H49" s="40"/>
      <c r="I49" s="43"/>
    </row>
    <row r="50" spans="1:14" ht="15" x14ac:dyDescent="0.25">
      <c r="B50" s="16"/>
      <c r="C50" s="41"/>
      <c r="D50" s="210"/>
      <c r="E50" s="37"/>
      <c r="F50" s="38"/>
      <c r="G50" s="39"/>
      <c r="H50" s="40"/>
      <c r="I50" s="43"/>
    </row>
    <row r="51" spans="1:14" ht="15" x14ac:dyDescent="0.25">
      <c r="B51" s="16"/>
      <c r="C51" s="41"/>
      <c r="D51" s="210"/>
      <c r="E51" s="37"/>
      <c r="F51" s="38"/>
      <c r="G51" s="39"/>
      <c r="H51" s="40"/>
      <c r="I51" s="43"/>
    </row>
    <row r="52" spans="1:14" ht="15" x14ac:dyDescent="0.25">
      <c r="B52" s="16"/>
      <c r="C52" s="45" t="s">
        <v>45</v>
      </c>
      <c r="D52" s="210"/>
      <c r="E52" s="37"/>
      <c r="F52" s="38"/>
      <c r="G52" s="39"/>
      <c r="H52" s="46">
        <v>15000000</v>
      </c>
      <c r="I52" s="43"/>
    </row>
    <row r="53" spans="1:14" ht="15" x14ac:dyDescent="0.25">
      <c r="B53" s="16"/>
      <c r="C53" s="41"/>
      <c r="D53" s="210"/>
      <c r="E53" s="37"/>
      <c r="F53" s="38"/>
      <c r="G53" s="39"/>
      <c r="H53" s="40"/>
      <c r="I53" s="43"/>
    </row>
    <row r="54" spans="1:14" ht="15.75" thickBot="1" x14ac:dyDescent="0.3">
      <c r="B54" s="23"/>
      <c r="C54" s="24" t="s">
        <v>46</v>
      </c>
      <c r="D54" s="24"/>
      <c r="E54" s="25"/>
      <c r="F54" s="47"/>
      <c r="G54" s="27"/>
      <c r="H54" s="28">
        <f>SUM(H32:H52)</f>
        <v>73179000</v>
      </c>
      <c r="I54" s="43"/>
    </row>
    <row r="55" spans="1:14" s="1" customFormat="1" ht="15.75" thickTop="1" x14ac:dyDescent="0.25">
      <c r="A55" s="32"/>
      <c r="B55" s="74" t="s">
        <v>24</v>
      </c>
      <c r="C55" s="254" t="s">
        <v>81</v>
      </c>
      <c r="D55" s="255"/>
      <c r="E55" s="256"/>
      <c r="F55" s="257"/>
      <c r="G55" s="258"/>
      <c r="H55" s="259"/>
      <c r="L55" s="32"/>
      <c r="M55" s="32"/>
      <c r="N55" s="32"/>
    </row>
    <row r="56" spans="1:14" s="1" customFormat="1" ht="15" x14ac:dyDescent="0.25">
      <c r="A56" s="32"/>
      <c r="B56" s="16"/>
      <c r="C56" s="17" t="s">
        <v>34</v>
      </c>
      <c r="D56" s="211"/>
      <c r="E56" s="48" t="s">
        <v>35</v>
      </c>
      <c r="F56" s="38">
        <v>350</v>
      </c>
      <c r="G56" s="14">
        <v>35000</v>
      </c>
      <c r="H56" s="15">
        <f>G56*F56</f>
        <v>12250000</v>
      </c>
      <c r="L56" s="32"/>
      <c r="M56" s="32"/>
      <c r="N56" s="32"/>
    </row>
    <row r="57" spans="1:14" s="1" customFormat="1" ht="15" x14ac:dyDescent="0.25">
      <c r="A57" s="32"/>
      <c r="B57" s="16"/>
      <c r="C57" s="17" t="s">
        <v>48</v>
      </c>
      <c r="D57" s="211"/>
      <c r="E57" s="48" t="s">
        <v>26</v>
      </c>
      <c r="F57" s="38">
        <v>115</v>
      </c>
      <c r="G57" s="14">
        <v>88000</v>
      </c>
      <c r="H57" s="15">
        <f t="shared" ref="H57:H71" si="1">G57*F57</f>
        <v>10120000</v>
      </c>
      <c r="L57" s="32"/>
      <c r="M57" s="32"/>
      <c r="N57" s="32"/>
    </row>
    <row r="58" spans="1:14" s="1" customFormat="1" ht="15" x14ac:dyDescent="0.25">
      <c r="A58" s="32"/>
      <c r="B58" s="16"/>
      <c r="C58" s="17" t="s">
        <v>114</v>
      </c>
      <c r="D58" s="211"/>
      <c r="E58" s="48" t="s">
        <v>26</v>
      </c>
      <c r="F58" s="38">
        <v>178</v>
      </c>
      <c r="G58" s="14">
        <v>65000</v>
      </c>
      <c r="H58" s="15">
        <f t="shared" si="1"/>
        <v>11570000</v>
      </c>
      <c r="L58" s="32"/>
      <c r="M58" s="32"/>
      <c r="N58" s="32"/>
    </row>
    <row r="59" spans="1:14" s="1" customFormat="1" ht="15" x14ac:dyDescent="0.25">
      <c r="A59" s="32"/>
      <c r="B59" s="16"/>
      <c r="C59" s="17" t="s">
        <v>49</v>
      </c>
      <c r="D59" s="211"/>
      <c r="E59" s="48" t="s">
        <v>26</v>
      </c>
      <c r="F59" s="38">
        <v>125</v>
      </c>
      <c r="G59" s="14">
        <v>20000</v>
      </c>
      <c r="H59" s="15">
        <f t="shared" si="1"/>
        <v>2500000</v>
      </c>
      <c r="L59" s="32"/>
      <c r="M59" s="32"/>
      <c r="N59" s="32"/>
    </row>
    <row r="60" spans="1:14" s="1" customFormat="1" ht="15" x14ac:dyDescent="0.25">
      <c r="A60" s="32"/>
      <c r="B60" s="16"/>
      <c r="C60" s="36" t="s">
        <v>30</v>
      </c>
      <c r="D60" s="211"/>
      <c r="E60" s="48" t="s">
        <v>20</v>
      </c>
      <c r="F60" s="49">
        <v>5</v>
      </c>
      <c r="G60" s="50">
        <v>120000</v>
      </c>
      <c r="H60" s="15">
        <f t="shared" si="1"/>
        <v>600000</v>
      </c>
      <c r="L60" s="32"/>
      <c r="M60" s="32"/>
      <c r="N60" s="32"/>
    </row>
    <row r="61" spans="1:14" s="1" customFormat="1" ht="15" x14ac:dyDescent="0.25">
      <c r="A61" s="32"/>
      <c r="B61" s="16"/>
      <c r="C61" s="36" t="s">
        <v>36</v>
      </c>
      <c r="D61" s="211"/>
      <c r="E61" s="51" t="s">
        <v>33</v>
      </c>
      <c r="F61" s="49">
        <v>2</v>
      </c>
      <c r="G61" s="50">
        <v>3800000</v>
      </c>
      <c r="H61" s="15">
        <f t="shared" si="1"/>
        <v>7600000</v>
      </c>
      <c r="L61" s="32"/>
      <c r="M61" s="32"/>
      <c r="N61" s="32"/>
    </row>
    <row r="62" spans="1:14" s="1" customFormat="1" ht="15" x14ac:dyDescent="0.25">
      <c r="A62" s="32"/>
      <c r="B62" s="16"/>
      <c r="C62" s="36" t="s">
        <v>32</v>
      </c>
      <c r="D62" s="211"/>
      <c r="E62" s="51" t="s">
        <v>33</v>
      </c>
      <c r="F62" s="49">
        <v>2</v>
      </c>
      <c r="G62" s="50">
        <v>2200000</v>
      </c>
      <c r="H62" s="15">
        <f t="shared" si="1"/>
        <v>4400000</v>
      </c>
      <c r="L62" s="32"/>
      <c r="M62" s="32"/>
      <c r="N62" s="32"/>
    </row>
    <row r="63" spans="1:14" s="1" customFormat="1" ht="15" x14ac:dyDescent="0.25">
      <c r="A63" s="32"/>
      <c r="B63" s="16"/>
      <c r="C63" s="36" t="s">
        <v>50</v>
      </c>
      <c r="D63" s="211"/>
      <c r="E63" s="48" t="s">
        <v>26</v>
      </c>
      <c r="F63" s="49">
        <v>800</v>
      </c>
      <c r="G63" s="50">
        <v>8000</v>
      </c>
      <c r="H63" s="15">
        <f t="shared" si="1"/>
        <v>6400000</v>
      </c>
      <c r="L63" s="32"/>
      <c r="M63" s="32"/>
      <c r="N63" s="32"/>
    </row>
    <row r="64" spans="1:14" s="1" customFormat="1" ht="15" x14ac:dyDescent="0.25">
      <c r="A64" s="32"/>
      <c r="B64" s="16"/>
      <c r="C64" s="36" t="s">
        <v>51</v>
      </c>
      <c r="D64" s="211"/>
      <c r="E64" s="48" t="s">
        <v>26</v>
      </c>
      <c r="F64" s="49">
        <v>500</v>
      </c>
      <c r="G64" s="50">
        <v>5000</v>
      </c>
      <c r="H64" s="15">
        <f t="shared" si="1"/>
        <v>2500000</v>
      </c>
      <c r="L64" s="32"/>
      <c r="M64" s="32"/>
      <c r="N64" s="32"/>
    </row>
    <row r="65" spans="1:14" s="1" customFormat="1" ht="15" x14ac:dyDescent="0.25">
      <c r="A65" s="32"/>
      <c r="B65" s="16"/>
      <c r="C65" s="36" t="s">
        <v>25</v>
      </c>
      <c r="D65" s="211"/>
      <c r="E65" s="48" t="s">
        <v>26</v>
      </c>
      <c r="F65" s="49">
        <v>500</v>
      </c>
      <c r="G65" s="50">
        <v>4500</v>
      </c>
      <c r="H65" s="15">
        <f t="shared" si="1"/>
        <v>2250000</v>
      </c>
      <c r="L65" s="32"/>
      <c r="M65" s="32"/>
      <c r="N65" s="32"/>
    </row>
    <row r="66" spans="1:14" s="1" customFormat="1" ht="15" x14ac:dyDescent="0.25">
      <c r="A66" s="32"/>
      <c r="B66" s="16"/>
      <c r="C66" s="36" t="s">
        <v>52</v>
      </c>
      <c r="D66" s="211"/>
      <c r="E66" s="48" t="s">
        <v>26</v>
      </c>
      <c r="F66" s="49">
        <v>2200</v>
      </c>
      <c r="G66" s="50">
        <v>3000</v>
      </c>
      <c r="H66" s="15">
        <f t="shared" si="1"/>
        <v>6600000</v>
      </c>
      <c r="L66" s="32"/>
      <c r="M66" s="32"/>
      <c r="N66" s="32"/>
    </row>
    <row r="67" spans="1:14" s="1" customFormat="1" ht="15" x14ac:dyDescent="0.25">
      <c r="A67" s="32"/>
      <c r="B67" s="16"/>
      <c r="C67" s="36" t="s">
        <v>53</v>
      </c>
      <c r="D67" s="211"/>
      <c r="E67" s="48" t="s">
        <v>20</v>
      </c>
      <c r="F67" s="49">
        <v>10</v>
      </c>
      <c r="G67" s="50">
        <v>35000</v>
      </c>
      <c r="H67" s="15">
        <f t="shared" si="1"/>
        <v>350000</v>
      </c>
      <c r="L67" s="32"/>
      <c r="M67" s="32"/>
      <c r="N67" s="32"/>
    </row>
    <row r="68" spans="1:14" s="1" customFormat="1" ht="15" x14ac:dyDescent="0.25">
      <c r="A68" s="32"/>
      <c r="B68" s="16"/>
      <c r="C68" s="36" t="s">
        <v>27</v>
      </c>
      <c r="D68" s="211"/>
      <c r="E68" s="48" t="s">
        <v>28</v>
      </c>
      <c r="F68" s="49">
        <v>150</v>
      </c>
      <c r="G68" s="50">
        <v>6000</v>
      </c>
      <c r="H68" s="15">
        <f t="shared" si="1"/>
        <v>900000</v>
      </c>
      <c r="L68" s="32"/>
      <c r="M68" s="32"/>
      <c r="N68" s="32"/>
    </row>
    <row r="69" spans="1:14" s="1" customFormat="1" ht="15" x14ac:dyDescent="0.25">
      <c r="A69" s="32"/>
      <c r="B69" s="16"/>
      <c r="C69" s="36" t="s">
        <v>54</v>
      </c>
      <c r="D69" s="211"/>
      <c r="E69" s="48" t="s">
        <v>41</v>
      </c>
      <c r="F69" s="49">
        <v>900</v>
      </c>
      <c r="G69" s="50">
        <v>4800</v>
      </c>
      <c r="H69" s="15">
        <f t="shared" si="1"/>
        <v>4320000</v>
      </c>
      <c r="L69" s="32"/>
      <c r="M69" s="32"/>
      <c r="N69" s="32"/>
    </row>
    <row r="70" spans="1:14" s="1" customFormat="1" ht="15" x14ac:dyDescent="0.25">
      <c r="A70" s="32"/>
      <c r="B70" s="16"/>
      <c r="C70" s="36" t="s">
        <v>39</v>
      </c>
      <c r="D70" s="211"/>
      <c r="E70" s="48" t="s">
        <v>55</v>
      </c>
      <c r="F70" s="251">
        <v>2.5</v>
      </c>
      <c r="G70" s="50">
        <v>900000</v>
      </c>
      <c r="H70" s="15">
        <f t="shared" si="1"/>
        <v>2250000</v>
      </c>
      <c r="J70" s="73">
        <f>SUM(H56:H71)</f>
        <v>74760000</v>
      </c>
      <c r="L70" s="32"/>
      <c r="M70" s="32"/>
      <c r="N70" s="32"/>
    </row>
    <row r="71" spans="1:14" s="1" customFormat="1" ht="15" x14ac:dyDescent="0.25">
      <c r="A71" s="32"/>
      <c r="B71" s="16"/>
      <c r="C71" s="36" t="s">
        <v>115</v>
      </c>
      <c r="D71" s="211"/>
      <c r="E71" s="48" t="s">
        <v>55</v>
      </c>
      <c r="F71" s="49">
        <v>0.5</v>
      </c>
      <c r="G71" s="50">
        <v>300000</v>
      </c>
      <c r="H71" s="15">
        <f t="shared" si="1"/>
        <v>150000</v>
      </c>
      <c r="I71" s="43"/>
      <c r="L71" s="32"/>
      <c r="M71" s="32"/>
      <c r="N71" s="32"/>
    </row>
    <row r="72" spans="1:14" s="1" customFormat="1" ht="9.75" customHeight="1" x14ac:dyDescent="0.25">
      <c r="A72" s="32"/>
      <c r="B72" s="16"/>
      <c r="C72" s="36"/>
      <c r="D72" s="36"/>
      <c r="E72" s="48"/>
      <c r="F72" s="49"/>
      <c r="G72" s="50"/>
      <c r="H72" s="15"/>
      <c r="I72" s="43"/>
      <c r="L72" s="32"/>
      <c r="M72" s="32"/>
      <c r="N72" s="32"/>
    </row>
    <row r="73" spans="1:14" s="1" customFormat="1" ht="15" x14ac:dyDescent="0.25">
      <c r="A73" s="32"/>
      <c r="B73" s="16"/>
      <c r="C73" s="35" t="s">
        <v>56</v>
      </c>
      <c r="D73" s="36"/>
      <c r="E73" s="48"/>
      <c r="F73" s="49"/>
      <c r="G73" s="50"/>
      <c r="H73" s="31">
        <v>17000000</v>
      </c>
      <c r="I73" s="43"/>
      <c r="L73" s="32"/>
      <c r="M73" s="32"/>
      <c r="N73" s="32"/>
    </row>
    <row r="74" spans="1:14" s="1" customFormat="1" ht="10.5" customHeight="1" x14ac:dyDescent="0.25">
      <c r="A74" s="32"/>
      <c r="B74" s="16"/>
      <c r="C74" s="36"/>
      <c r="D74" s="36"/>
      <c r="E74" s="48"/>
      <c r="F74" s="49"/>
      <c r="G74" s="50"/>
      <c r="H74" s="15"/>
      <c r="I74" s="43"/>
      <c r="L74" s="32"/>
      <c r="M74" s="32"/>
      <c r="N74" s="32"/>
    </row>
    <row r="75" spans="1:14" s="1" customFormat="1" ht="15.75" thickBot="1" x14ac:dyDescent="0.3">
      <c r="A75" s="32"/>
      <c r="B75" s="23"/>
      <c r="C75" s="24" t="s">
        <v>46</v>
      </c>
      <c r="D75" s="24"/>
      <c r="E75" s="25"/>
      <c r="F75" s="47"/>
      <c r="G75" s="27"/>
      <c r="H75" s="28">
        <f>SUM(H56:H73)</f>
        <v>91760000</v>
      </c>
      <c r="I75" s="43"/>
      <c r="L75" s="32"/>
      <c r="M75" s="32"/>
      <c r="N75" s="32"/>
    </row>
    <row r="76" spans="1:14" s="1" customFormat="1" ht="15.75" thickTop="1" x14ac:dyDescent="0.25">
      <c r="A76" s="32"/>
      <c r="B76" s="10"/>
      <c r="C76" s="29"/>
      <c r="D76" s="29"/>
      <c r="E76" s="19"/>
      <c r="F76" s="20"/>
      <c r="G76" s="30"/>
      <c r="H76" s="31"/>
      <c r="I76" s="43"/>
      <c r="L76" s="32"/>
      <c r="M76" s="32"/>
      <c r="N76" s="32"/>
    </row>
    <row r="77" spans="1:14" s="1" customFormat="1" ht="15" x14ac:dyDescent="0.25">
      <c r="A77" s="32"/>
      <c r="B77" s="10" t="s">
        <v>47</v>
      </c>
      <c r="C77" s="33" t="s">
        <v>82</v>
      </c>
      <c r="D77" s="17"/>
      <c r="E77" s="12"/>
      <c r="F77" s="34"/>
      <c r="G77" s="14"/>
      <c r="H77" s="15"/>
      <c r="I77" s="43"/>
      <c r="L77" s="32"/>
      <c r="M77" s="32"/>
      <c r="N77" s="32"/>
    </row>
    <row r="78" spans="1:14" s="1" customFormat="1" ht="15" x14ac:dyDescent="0.25">
      <c r="A78" s="32"/>
      <c r="B78" s="16"/>
      <c r="C78" s="17" t="s">
        <v>34</v>
      </c>
      <c r="D78" s="211"/>
      <c r="E78" s="48" t="s">
        <v>35</v>
      </c>
      <c r="F78" s="38">
        <v>200</v>
      </c>
      <c r="G78" s="14">
        <v>35000</v>
      </c>
      <c r="H78" s="15">
        <f>G78*F78</f>
        <v>7000000</v>
      </c>
      <c r="I78" s="43"/>
      <c r="L78" s="32"/>
      <c r="M78" s="32"/>
      <c r="N78" s="32"/>
    </row>
    <row r="79" spans="1:14" s="1" customFormat="1" ht="15" x14ac:dyDescent="0.25">
      <c r="A79" s="32"/>
      <c r="B79" s="16"/>
      <c r="C79" s="17" t="s">
        <v>48</v>
      </c>
      <c r="D79" s="211"/>
      <c r="E79" s="48" t="s">
        <v>26</v>
      </c>
      <c r="F79" s="38">
        <v>65</v>
      </c>
      <c r="G79" s="14">
        <v>88000</v>
      </c>
      <c r="H79" s="15">
        <f t="shared" ref="H79:H91" si="2">G79*F79</f>
        <v>5720000</v>
      </c>
      <c r="I79" s="43"/>
      <c r="L79" s="32"/>
      <c r="M79" s="32"/>
      <c r="N79" s="32"/>
    </row>
    <row r="80" spans="1:14" s="1" customFormat="1" ht="15" x14ac:dyDescent="0.25">
      <c r="A80" s="32"/>
      <c r="B80" s="16"/>
      <c r="C80" s="17" t="s">
        <v>114</v>
      </c>
      <c r="D80" s="211"/>
      <c r="E80" s="48" t="s">
        <v>26</v>
      </c>
      <c r="F80" s="38">
        <v>178</v>
      </c>
      <c r="G80" s="14">
        <v>65000</v>
      </c>
      <c r="H80" s="15">
        <f t="shared" si="2"/>
        <v>11570000</v>
      </c>
      <c r="I80" s="43"/>
      <c r="L80" s="32"/>
      <c r="M80" s="32"/>
      <c r="N80" s="32"/>
    </row>
    <row r="81" spans="1:14" s="1" customFormat="1" ht="15" x14ac:dyDescent="0.25">
      <c r="A81" s="32"/>
      <c r="B81" s="16"/>
      <c r="C81" s="17" t="s">
        <v>49</v>
      </c>
      <c r="D81" s="211"/>
      <c r="E81" s="48" t="s">
        <v>26</v>
      </c>
      <c r="F81" s="38">
        <v>115</v>
      </c>
      <c r="G81" s="14">
        <v>20000</v>
      </c>
      <c r="H81" s="15">
        <f t="shared" si="2"/>
        <v>2300000</v>
      </c>
      <c r="I81" s="43"/>
      <c r="L81" s="32"/>
      <c r="M81" s="32"/>
      <c r="N81" s="32"/>
    </row>
    <row r="82" spans="1:14" s="1" customFormat="1" ht="15" x14ac:dyDescent="0.25">
      <c r="A82" s="32"/>
      <c r="B82" s="16"/>
      <c r="C82" s="36" t="s">
        <v>30</v>
      </c>
      <c r="D82" s="211"/>
      <c r="E82" s="48" t="s">
        <v>20</v>
      </c>
      <c r="F82" s="49">
        <v>3</v>
      </c>
      <c r="G82" s="50">
        <v>120000</v>
      </c>
      <c r="H82" s="15">
        <f t="shared" si="2"/>
        <v>360000</v>
      </c>
      <c r="I82" s="43"/>
      <c r="L82" s="32"/>
      <c r="M82" s="32"/>
      <c r="N82" s="32"/>
    </row>
    <row r="83" spans="1:14" s="1" customFormat="1" ht="15" x14ac:dyDescent="0.25">
      <c r="A83" s="32"/>
      <c r="B83" s="16"/>
      <c r="C83" s="36" t="s">
        <v>36</v>
      </c>
      <c r="D83" s="211"/>
      <c r="E83" s="51" t="s">
        <v>33</v>
      </c>
      <c r="F83" s="49">
        <v>1</v>
      </c>
      <c r="G83" s="50">
        <v>3800000</v>
      </c>
      <c r="H83" s="15">
        <f t="shared" si="2"/>
        <v>3800000</v>
      </c>
      <c r="I83" s="43"/>
      <c r="L83" s="32"/>
      <c r="M83" s="32"/>
      <c r="N83" s="32"/>
    </row>
    <row r="84" spans="1:14" s="1" customFormat="1" ht="15" x14ac:dyDescent="0.25">
      <c r="A84" s="32"/>
      <c r="B84" s="16"/>
      <c r="C84" s="36" t="s">
        <v>32</v>
      </c>
      <c r="D84" s="211"/>
      <c r="E84" s="51" t="s">
        <v>33</v>
      </c>
      <c r="F84" s="49">
        <v>2</v>
      </c>
      <c r="G84" s="50">
        <v>2200000</v>
      </c>
      <c r="H84" s="15">
        <f t="shared" si="2"/>
        <v>4400000</v>
      </c>
      <c r="I84" s="43"/>
      <c r="L84" s="32"/>
      <c r="M84" s="32"/>
      <c r="N84" s="32"/>
    </row>
    <row r="85" spans="1:14" s="1" customFormat="1" ht="15" x14ac:dyDescent="0.25">
      <c r="A85" s="32"/>
      <c r="B85" s="16"/>
      <c r="C85" s="36" t="s">
        <v>50</v>
      </c>
      <c r="D85" s="211"/>
      <c r="E85" s="48" t="s">
        <v>26</v>
      </c>
      <c r="F85" s="49">
        <v>400</v>
      </c>
      <c r="G85" s="50">
        <v>8000</v>
      </c>
      <c r="H85" s="15">
        <f t="shared" si="2"/>
        <v>3200000</v>
      </c>
      <c r="I85" s="43"/>
      <c r="L85" s="32"/>
      <c r="M85" s="32"/>
      <c r="N85" s="32"/>
    </row>
    <row r="86" spans="1:14" s="1" customFormat="1" ht="15" x14ac:dyDescent="0.25">
      <c r="A86" s="32"/>
      <c r="B86" s="16"/>
      <c r="C86" s="36" t="s">
        <v>51</v>
      </c>
      <c r="D86" s="211"/>
      <c r="E86" s="48" t="s">
        <v>26</v>
      </c>
      <c r="F86" s="49">
        <v>250</v>
      </c>
      <c r="G86" s="50">
        <v>5000</v>
      </c>
      <c r="H86" s="15">
        <f t="shared" si="2"/>
        <v>1250000</v>
      </c>
      <c r="I86" s="43"/>
      <c r="L86" s="32"/>
      <c r="M86" s="32"/>
      <c r="N86" s="32"/>
    </row>
    <row r="87" spans="1:14" s="1" customFormat="1" ht="15" x14ac:dyDescent="0.25">
      <c r="A87" s="32"/>
      <c r="B87" s="16"/>
      <c r="C87" s="36" t="s">
        <v>25</v>
      </c>
      <c r="D87" s="211"/>
      <c r="E87" s="48" t="s">
        <v>26</v>
      </c>
      <c r="F87" s="49">
        <v>300</v>
      </c>
      <c r="G87" s="50">
        <v>4000</v>
      </c>
      <c r="H87" s="15">
        <f t="shared" si="2"/>
        <v>1200000</v>
      </c>
      <c r="I87" s="43"/>
      <c r="L87" s="32"/>
      <c r="M87" s="32"/>
      <c r="N87" s="32"/>
    </row>
    <row r="88" spans="1:14" s="1" customFormat="1" ht="15" x14ac:dyDescent="0.25">
      <c r="A88" s="32"/>
      <c r="B88" s="16"/>
      <c r="C88" s="36" t="s">
        <v>52</v>
      </c>
      <c r="D88" s="211"/>
      <c r="E88" s="48" t="s">
        <v>26</v>
      </c>
      <c r="F88" s="49">
        <v>4000</v>
      </c>
      <c r="G88" s="50">
        <v>3000</v>
      </c>
      <c r="H88" s="15">
        <f t="shared" si="2"/>
        <v>12000000</v>
      </c>
      <c r="I88" s="43"/>
      <c r="L88" s="32"/>
      <c r="M88" s="32"/>
      <c r="N88" s="32"/>
    </row>
    <row r="89" spans="1:14" s="1" customFormat="1" ht="15" x14ac:dyDescent="0.25">
      <c r="A89" s="32"/>
      <c r="B89" s="16"/>
      <c r="C89" s="36" t="s">
        <v>53</v>
      </c>
      <c r="D89" s="211"/>
      <c r="E89" s="48" t="s">
        <v>20</v>
      </c>
      <c r="F89" s="49">
        <v>10</v>
      </c>
      <c r="G89" s="50">
        <v>35000</v>
      </c>
      <c r="H89" s="15">
        <f t="shared" si="2"/>
        <v>350000</v>
      </c>
      <c r="I89" s="43"/>
      <c r="L89" s="32"/>
      <c r="M89" s="32"/>
      <c r="N89" s="32"/>
    </row>
    <row r="90" spans="1:14" s="1" customFormat="1" ht="15" x14ac:dyDescent="0.25">
      <c r="A90" s="32"/>
      <c r="B90" s="16"/>
      <c r="C90" s="36" t="s">
        <v>27</v>
      </c>
      <c r="D90" s="211"/>
      <c r="E90" s="48" t="s">
        <v>28</v>
      </c>
      <c r="F90" s="49">
        <v>100</v>
      </c>
      <c r="G90" s="50">
        <v>6000</v>
      </c>
      <c r="H90" s="15">
        <f t="shared" si="2"/>
        <v>600000</v>
      </c>
      <c r="I90" s="43"/>
      <c r="J90" s="73">
        <f>SUM(H78:H91)</f>
        <v>53900000</v>
      </c>
      <c r="L90" s="32"/>
      <c r="M90" s="32"/>
      <c r="N90" s="32"/>
    </row>
    <row r="91" spans="1:14" s="1" customFormat="1" ht="15" x14ac:dyDescent="0.25">
      <c r="A91" s="32"/>
      <c r="B91" s="16"/>
      <c r="C91" s="36" t="s">
        <v>115</v>
      </c>
      <c r="D91" s="211"/>
      <c r="E91" s="48" t="s">
        <v>55</v>
      </c>
      <c r="F91" s="49">
        <v>0.5</v>
      </c>
      <c r="G91" s="50">
        <v>300000</v>
      </c>
      <c r="H91" s="15">
        <f t="shared" si="2"/>
        <v>150000</v>
      </c>
      <c r="I91" s="43"/>
      <c r="L91" s="32"/>
      <c r="M91" s="32"/>
      <c r="N91" s="32"/>
    </row>
    <row r="92" spans="1:14" s="1" customFormat="1" ht="9" customHeight="1" x14ac:dyDescent="0.25">
      <c r="A92" s="32"/>
      <c r="B92" s="16"/>
      <c r="C92" s="36"/>
      <c r="D92" s="36"/>
      <c r="E92" s="48"/>
      <c r="F92" s="49"/>
      <c r="G92" s="50"/>
      <c r="H92" s="15"/>
      <c r="I92" s="43"/>
      <c r="L92" s="32"/>
      <c r="M92" s="32"/>
      <c r="N92" s="32"/>
    </row>
    <row r="93" spans="1:14" s="1" customFormat="1" ht="15" x14ac:dyDescent="0.25">
      <c r="A93" s="32"/>
      <c r="B93" s="16"/>
      <c r="C93" s="35" t="s">
        <v>56</v>
      </c>
      <c r="D93" s="36"/>
      <c r="E93" s="48"/>
      <c r="F93" s="49"/>
      <c r="G93" s="50"/>
      <c r="H93" s="31">
        <v>18000000</v>
      </c>
      <c r="I93" s="43"/>
      <c r="L93" s="32"/>
      <c r="M93" s="32"/>
      <c r="N93" s="32"/>
    </row>
    <row r="94" spans="1:14" s="1" customFormat="1" ht="9.75" customHeight="1" x14ac:dyDescent="0.25">
      <c r="A94" s="32"/>
      <c r="B94" s="16"/>
      <c r="C94" s="36"/>
      <c r="D94" s="36"/>
      <c r="E94" s="48"/>
      <c r="F94" s="49"/>
      <c r="G94" s="50"/>
      <c r="H94" s="15"/>
      <c r="I94" s="43"/>
      <c r="L94" s="32"/>
      <c r="M94" s="32"/>
      <c r="N94" s="32"/>
    </row>
    <row r="95" spans="1:14" s="1" customFormat="1" ht="15.75" thickBot="1" x14ac:dyDescent="0.3">
      <c r="A95" s="32"/>
      <c r="B95" s="23"/>
      <c r="C95" s="24" t="s">
        <v>46</v>
      </c>
      <c r="D95" s="24"/>
      <c r="E95" s="25"/>
      <c r="F95" s="47"/>
      <c r="G95" s="27"/>
      <c r="H95" s="28">
        <f>SUM(H78:H93)</f>
        <v>71900000</v>
      </c>
      <c r="I95" s="43"/>
      <c r="L95" s="32"/>
      <c r="M95" s="32"/>
      <c r="N95" s="32"/>
    </row>
    <row r="96" spans="1:14" s="1" customFormat="1" ht="15.75" thickTop="1" x14ac:dyDescent="0.25">
      <c r="A96" s="32"/>
      <c r="B96" s="10" t="s">
        <v>118</v>
      </c>
      <c r="C96" s="33" t="s">
        <v>127</v>
      </c>
      <c r="D96" s="17"/>
      <c r="E96" s="12"/>
      <c r="F96" s="34"/>
      <c r="G96" s="14"/>
      <c r="H96" s="15"/>
      <c r="I96" s="43"/>
      <c r="L96" s="32"/>
      <c r="M96" s="32"/>
      <c r="N96" s="32"/>
    </row>
    <row r="97" spans="1:14" s="1" customFormat="1" ht="15" x14ac:dyDescent="0.25">
      <c r="A97" s="32"/>
      <c r="B97" s="16"/>
      <c r="C97" s="17" t="s">
        <v>34</v>
      </c>
      <c r="D97" s="211"/>
      <c r="E97" s="48" t="s">
        <v>35</v>
      </c>
      <c r="F97" s="38">
        <v>100</v>
      </c>
      <c r="G97" s="14">
        <v>35000</v>
      </c>
      <c r="H97" s="15">
        <f>G97*F97</f>
        <v>3500000</v>
      </c>
      <c r="I97" s="43"/>
      <c r="L97" s="32"/>
      <c r="M97" s="32"/>
      <c r="N97" s="32"/>
    </row>
    <row r="98" spans="1:14" s="1" customFormat="1" ht="15" x14ac:dyDescent="0.25">
      <c r="A98" s="32"/>
      <c r="B98" s="16"/>
      <c r="C98" s="17" t="s">
        <v>116</v>
      </c>
      <c r="D98" s="211"/>
      <c r="E98" s="48" t="s">
        <v>26</v>
      </c>
      <c r="F98" s="38">
        <v>24</v>
      </c>
      <c r="G98" s="14">
        <v>88000</v>
      </c>
      <c r="H98" s="15">
        <f t="shared" ref="H98:H107" si="3">G98*F98</f>
        <v>2112000</v>
      </c>
      <c r="I98" s="43"/>
      <c r="L98" s="32"/>
      <c r="M98" s="32"/>
      <c r="N98" s="32"/>
    </row>
    <row r="99" spans="1:14" s="1" customFormat="1" ht="15" x14ac:dyDescent="0.25">
      <c r="A99" s="32"/>
      <c r="B99" s="16"/>
      <c r="C99" s="17" t="s">
        <v>114</v>
      </c>
      <c r="D99" s="211"/>
      <c r="E99" s="48" t="s">
        <v>26</v>
      </c>
      <c r="F99" s="38">
        <v>52</v>
      </c>
      <c r="G99" s="14">
        <v>65000</v>
      </c>
      <c r="H99" s="15">
        <f t="shared" si="3"/>
        <v>3380000</v>
      </c>
      <c r="I99" s="43"/>
      <c r="L99" s="32"/>
      <c r="M99" s="32"/>
      <c r="N99" s="32"/>
    </row>
    <row r="100" spans="1:14" s="1" customFormat="1" ht="15" x14ac:dyDescent="0.25">
      <c r="A100" s="32"/>
      <c r="B100" s="16"/>
      <c r="C100" s="17" t="s">
        <v>117</v>
      </c>
      <c r="D100" s="211"/>
      <c r="E100" s="48" t="s">
        <v>26</v>
      </c>
      <c r="F100" s="38">
        <v>250</v>
      </c>
      <c r="G100" s="14">
        <v>40000</v>
      </c>
      <c r="H100" s="15">
        <f t="shared" si="3"/>
        <v>10000000</v>
      </c>
      <c r="I100" s="43"/>
      <c r="L100" s="32"/>
      <c r="M100" s="32"/>
      <c r="N100" s="32"/>
    </row>
    <row r="101" spans="1:14" s="1" customFormat="1" ht="15" x14ac:dyDescent="0.25">
      <c r="A101" s="32"/>
      <c r="B101" s="16"/>
      <c r="C101" s="17" t="s">
        <v>49</v>
      </c>
      <c r="D101" s="211"/>
      <c r="E101" s="48" t="s">
        <v>26</v>
      </c>
      <c r="F101" s="38">
        <v>55</v>
      </c>
      <c r="G101" s="14">
        <v>20000</v>
      </c>
      <c r="H101" s="15">
        <f t="shared" si="3"/>
        <v>1100000</v>
      </c>
      <c r="I101" s="43"/>
      <c r="L101" s="32"/>
      <c r="M101" s="32"/>
      <c r="N101" s="32"/>
    </row>
    <row r="102" spans="1:14" s="1" customFormat="1" ht="15" x14ac:dyDescent="0.25">
      <c r="A102" s="32"/>
      <c r="B102" s="16"/>
      <c r="C102" s="36" t="s">
        <v>30</v>
      </c>
      <c r="D102" s="211"/>
      <c r="E102" s="48" t="s">
        <v>20</v>
      </c>
      <c r="F102" s="49">
        <v>3</v>
      </c>
      <c r="G102" s="50">
        <v>120000</v>
      </c>
      <c r="H102" s="15">
        <f t="shared" si="3"/>
        <v>360000</v>
      </c>
      <c r="I102" s="43"/>
      <c r="J102" s="73">
        <f>SUM(H97:H107)</f>
        <v>29352000</v>
      </c>
      <c r="L102" s="32"/>
      <c r="M102" s="32"/>
      <c r="N102" s="32"/>
    </row>
    <row r="103" spans="1:14" s="1" customFormat="1" ht="15" x14ac:dyDescent="0.25">
      <c r="A103" s="32"/>
      <c r="B103" s="16"/>
      <c r="C103" s="36" t="s">
        <v>36</v>
      </c>
      <c r="D103" s="211"/>
      <c r="E103" s="51" t="s">
        <v>102</v>
      </c>
      <c r="F103" s="49">
        <v>4</v>
      </c>
      <c r="G103" s="50">
        <v>350000</v>
      </c>
      <c r="H103" s="15">
        <f t="shared" si="3"/>
        <v>1400000</v>
      </c>
      <c r="I103" s="43"/>
      <c r="L103" s="32"/>
      <c r="M103" s="32"/>
      <c r="N103" s="32"/>
    </row>
    <row r="104" spans="1:14" s="1" customFormat="1" ht="15" x14ac:dyDescent="0.25">
      <c r="A104" s="32"/>
      <c r="B104" s="16"/>
      <c r="C104" s="36" t="s">
        <v>32</v>
      </c>
      <c r="D104" s="211"/>
      <c r="E104" s="51" t="s">
        <v>102</v>
      </c>
      <c r="F104" s="49">
        <v>4</v>
      </c>
      <c r="G104" s="50">
        <v>250000</v>
      </c>
      <c r="H104" s="15">
        <f t="shared" si="3"/>
        <v>1000000</v>
      </c>
      <c r="I104" s="43"/>
      <c r="L104" s="32"/>
      <c r="M104" s="32"/>
      <c r="N104" s="32"/>
    </row>
    <row r="105" spans="1:14" s="1" customFormat="1" ht="15" x14ac:dyDescent="0.25">
      <c r="A105" s="32"/>
      <c r="B105" s="16"/>
      <c r="C105" s="36" t="s">
        <v>52</v>
      </c>
      <c r="D105" s="211"/>
      <c r="E105" s="48" t="s">
        <v>26</v>
      </c>
      <c r="F105" s="49">
        <v>2000</v>
      </c>
      <c r="G105" s="50">
        <v>3000</v>
      </c>
      <c r="H105" s="15">
        <f t="shared" si="3"/>
        <v>6000000</v>
      </c>
      <c r="I105" s="43"/>
      <c r="L105" s="32"/>
      <c r="M105" s="32"/>
      <c r="N105" s="32"/>
    </row>
    <row r="106" spans="1:14" s="1" customFormat="1" ht="15" x14ac:dyDescent="0.25">
      <c r="A106" s="32"/>
      <c r="B106" s="16"/>
      <c r="C106" s="36" t="s">
        <v>53</v>
      </c>
      <c r="D106" s="211"/>
      <c r="E106" s="48" t="s">
        <v>20</v>
      </c>
      <c r="F106" s="49">
        <v>5</v>
      </c>
      <c r="G106" s="50">
        <v>40000</v>
      </c>
      <c r="H106" s="15">
        <f t="shared" si="3"/>
        <v>200000</v>
      </c>
      <c r="I106" s="43"/>
      <c r="L106" s="32"/>
      <c r="M106" s="32"/>
      <c r="N106" s="32"/>
    </row>
    <row r="107" spans="1:14" s="1" customFormat="1" ht="15" x14ac:dyDescent="0.25">
      <c r="A107" s="32"/>
      <c r="B107" s="16"/>
      <c r="C107" s="36" t="s">
        <v>27</v>
      </c>
      <c r="D107" s="211"/>
      <c r="E107" s="48" t="s">
        <v>28</v>
      </c>
      <c r="F107" s="49">
        <v>50</v>
      </c>
      <c r="G107" s="50">
        <v>6000</v>
      </c>
      <c r="H107" s="15">
        <f t="shared" si="3"/>
        <v>300000</v>
      </c>
      <c r="I107" s="43"/>
      <c r="L107" s="32"/>
      <c r="M107" s="32"/>
      <c r="N107" s="32"/>
    </row>
    <row r="108" spans="1:14" s="1" customFormat="1" ht="7.5" customHeight="1" x14ac:dyDescent="0.25">
      <c r="A108" s="32"/>
      <c r="B108" s="16"/>
      <c r="C108" s="36"/>
      <c r="D108" s="36"/>
      <c r="E108" s="48"/>
      <c r="F108" s="49"/>
      <c r="G108" s="50"/>
      <c r="H108" s="15"/>
      <c r="I108" s="43"/>
      <c r="L108" s="32"/>
      <c r="M108" s="32"/>
      <c r="N108" s="32"/>
    </row>
    <row r="109" spans="1:14" s="1" customFormat="1" ht="15" x14ac:dyDescent="0.25">
      <c r="A109" s="32"/>
      <c r="B109" s="16"/>
      <c r="C109" s="35" t="s">
        <v>56</v>
      </c>
      <c r="D109" s="36"/>
      <c r="E109" s="48"/>
      <c r="F109" s="49"/>
      <c r="G109" s="50"/>
      <c r="H109" s="31">
        <v>10000000</v>
      </c>
      <c r="I109" s="43"/>
      <c r="L109" s="32"/>
      <c r="M109" s="32"/>
      <c r="N109" s="32"/>
    </row>
    <row r="110" spans="1:14" s="1" customFormat="1" ht="9" customHeight="1" x14ac:dyDescent="0.25">
      <c r="A110" s="32"/>
      <c r="B110" s="16"/>
      <c r="C110" s="35"/>
      <c r="D110" s="36"/>
      <c r="E110" s="48"/>
      <c r="F110" s="49"/>
      <c r="G110" s="50"/>
      <c r="H110" s="31"/>
      <c r="I110" s="43"/>
      <c r="L110" s="32"/>
      <c r="M110" s="32"/>
      <c r="N110" s="32"/>
    </row>
    <row r="111" spans="1:14" s="1" customFormat="1" ht="15.75" thickBot="1" x14ac:dyDescent="0.3">
      <c r="A111" s="32"/>
      <c r="B111" s="23"/>
      <c r="C111" s="24" t="s">
        <v>46</v>
      </c>
      <c r="D111" s="24"/>
      <c r="E111" s="25"/>
      <c r="F111" s="47"/>
      <c r="G111" s="27"/>
      <c r="H111" s="28">
        <f>SUM(H97:H109)</f>
        <v>39352000</v>
      </c>
      <c r="I111" s="43"/>
      <c r="L111" s="32"/>
      <c r="M111" s="32"/>
      <c r="N111" s="32"/>
    </row>
    <row r="112" spans="1:14" s="1" customFormat="1" ht="15.75" thickTop="1" x14ac:dyDescent="0.25">
      <c r="A112" s="32"/>
      <c r="B112" s="74"/>
      <c r="C112" s="75"/>
      <c r="D112" s="75"/>
      <c r="E112" s="76"/>
      <c r="F112" s="77"/>
      <c r="G112" s="78"/>
      <c r="H112" s="64"/>
      <c r="I112" s="43"/>
      <c r="L112" s="32"/>
      <c r="M112" s="32"/>
      <c r="N112" s="32"/>
    </row>
    <row r="113" spans="1:14" s="1" customFormat="1" ht="15.75" x14ac:dyDescent="0.25">
      <c r="A113" s="32"/>
      <c r="B113" s="10" t="s">
        <v>125</v>
      </c>
      <c r="C113" s="33" t="s">
        <v>57</v>
      </c>
      <c r="D113" s="29"/>
      <c r="E113" s="52"/>
      <c r="F113" s="20"/>
      <c r="G113" s="30"/>
      <c r="H113" s="31"/>
      <c r="I113" s="43"/>
      <c r="L113" s="32"/>
      <c r="M113" s="32"/>
      <c r="N113" s="32"/>
    </row>
    <row r="114" spans="1:14" s="1" customFormat="1" ht="15" x14ac:dyDescent="0.25">
      <c r="A114" s="32"/>
      <c r="B114" s="16"/>
      <c r="C114" s="53" t="s">
        <v>119</v>
      </c>
      <c r="D114" s="17"/>
      <c r="E114" s="12" t="s">
        <v>26</v>
      </c>
      <c r="F114" s="54">
        <v>24</v>
      </c>
      <c r="G114" s="14">
        <v>8000</v>
      </c>
      <c r="H114" s="15">
        <f>G114*F114</f>
        <v>192000</v>
      </c>
      <c r="I114" s="43"/>
      <c r="L114" s="32"/>
      <c r="M114" s="32"/>
      <c r="N114" s="32"/>
    </row>
    <row r="115" spans="1:14" s="1" customFormat="1" ht="15" x14ac:dyDescent="0.25">
      <c r="A115" s="32"/>
      <c r="B115" s="16"/>
      <c r="C115" s="53" t="s">
        <v>120</v>
      </c>
      <c r="D115" s="17"/>
      <c r="E115" s="12" t="s">
        <v>26</v>
      </c>
      <c r="F115" s="54">
        <v>80</v>
      </c>
      <c r="G115" s="14">
        <v>8000</v>
      </c>
      <c r="H115" s="15">
        <f>G115*F115</f>
        <v>640000</v>
      </c>
      <c r="I115" s="43"/>
      <c r="L115" s="32"/>
      <c r="M115" s="32"/>
      <c r="N115" s="32"/>
    </row>
    <row r="116" spans="1:14" s="1" customFormat="1" ht="15" x14ac:dyDescent="0.25">
      <c r="A116" s="32"/>
      <c r="B116" s="16"/>
      <c r="C116" s="53" t="s">
        <v>121</v>
      </c>
      <c r="D116" s="17"/>
      <c r="E116" s="12" t="s">
        <v>26</v>
      </c>
      <c r="F116" s="54">
        <v>326</v>
      </c>
      <c r="G116" s="14">
        <v>5000</v>
      </c>
      <c r="H116" s="15">
        <f>G116*F116</f>
        <v>1630000</v>
      </c>
      <c r="I116" s="43"/>
      <c r="L116" s="32"/>
      <c r="M116" s="32"/>
      <c r="N116" s="32"/>
    </row>
    <row r="117" spans="1:14" s="1" customFormat="1" ht="15" x14ac:dyDescent="0.25">
      <c r="A117" s="32"/>
      <c r="B117" s="16"/>
      <c r="C117" s="53" t="s">
        <v>130</v>
      </c>
      <c r="D117" s="17"/>
      <c r="E117" s="12" t="s">
        <v>26</v>
      </c>
      <c r="F117" s="54">
        <v>210</v>
      </c>
      <c r="G117" s="14">
        <v>4000</v>
      </c>
      <c r="H117" s="15">
        <f>G117*F117</f>
        <v>840000</v>
      </c>
      <c r="I117" s="43"/>
      <c r="L117" s="32"/>
      <c r="M117" s="32"/>
      <c r="N117" s="32"/>
    </row>
    <row r="118" spans="1:14" s="1" customFormat="1" ht="15" x14ac:dyDescent="0.25">
      <c r="A118" s="32"/>
      <c r="B118" s="16"/>
      <c r="C118" s="53" t="s">
        <v>58</v>
      </c>
      <c r="D118" s="17"/>
      <c r="E118" s="12" t="s">
        <v>122</v>
      </c>
      <c r="F118" s="54">
        <v>10</v>
      </c>
      <c r="G118" s="14">
        <v>45000</v>
      </c>
      <c r="H118" s="15">
        <f t="shared" ref="H118:H122" si="4">G118*F118</f>
        <v>450000</v>
      </c>
      <c r="I118" s="43"/>
      <c r="L118" s="32"/>
      <c r="M118" s="32"/>
      <c r="N118" s="32"/>
    </row>
    <row r="119" spans="1:14" s="1" customFormat="1" ht="15" x14ac:dyDescent="0.25">
      <c r="A119" s="32"/>
      <c r="B119" s="16"/>
      <c r="C119" s="53" t="s">
        <v>27</v>
      </c>
      <c r="D119" s="17"/>
      <c r="E119" s="12" t="s">
        <v>59</v>
      </c>
      <c r="F119" s="54">
        <v>120</v>
      </c>
      <c r="G119" s="14">
        <v>5000</v>
      </c>
      <c r="H119" s="15">
        <f t="shared" si="4"/>
        <v>600000</v>
      </c>
      <c r="I119" s="43"/>
      <c r="L119" s="32"/>
      <c r="M119" s="32"/>
      <c r="N119" s="32"/>
    </row>
    <row r="120" spans="1:14" s="1" customFormat="1" ht="15" x14ac:dyDescent="0.25">
      <c r="A120" s="32"/>
      <c r="B120" s="16"/>
      <c r="C120" s="53" t="s">
        <v>60</v>
      </c>
      <c r="D120" s="17"/>
      <c r="E120" s="12" t="s">
        <v>59</v>
      </c>
      <c r="F120" s="54">
        <v>35</v>
      </c>
      <c r="G120" s="14">
        <v>7000</v>
      </c>
      <c r="H120" s="15">
        <f t="shared" si="4"/>
        <v>245000</v>
      </c>
      <c r="I120" s="43"/>
      <c r="L120" s="32"/>
      <c r="M120" s="32"/>
      <c r="N120" s="32"/>
    </row>
    <row r="121" spans="1:14" s="1" customFormat="1" ht="15" x14ac:dyDescent="0.25">
      <c r="A121" s="32"/>
      <c r="B121" s="16"/>
      <c r="C121" s="53" t="s">
        <v>123</v>
      </c>
      <c r="D121" s="17"/>
      <c r="E121" s="12" t="s">
        <v>101</v>
      </c>
      <c r="F121" s="54">
        <v>10</v>
      </c>
      <c r="G121" s="14">
        <v>10000</v>
      </c>
      <c r="H121" s="15">
        <f t="shared" si="4"/>
        <v>100000</v>
      </c>
      <c r="I121" s="43"/>
      <c r="L121" s="32"/>
      <c r="M121" s="32"/>
      <c r="N121" s="32"/>
    </row>
    <row r="122" spans="1:14" s="1" customFormat="1" ht="15" x14ac:dyDescent="0.25">
      <c r="A122" s="32"/>
      <c r="B122" s="16"/>
      <c r="C122" s="53" t="s">
        <v>124</v>
      </c>
      <c r="D122" s="17"/>
      <c r="E122" s="12" t="s">
        <v>26</v>
      </c>
      <c r="F122" s="54">
        <v>55</v>
      </c>
      <c r="G122" s="14">
        <v>65000</v>
      </c>
      <c r="H122" s="15">
        <f t="shared" si="4"/>
        <v>3575000</v>
      </c>
      <c r="I122" s="43"/>
      <c r="L122" s="32"/>
      <c r="M122" s="32"/>
      <c r="N122" s="32"/>
    </row>
    <row r="123" spans="1:14" s="1" customFormat="1" ht="15" x14ac:dyDescent="0.25">
      <c r="A123" s="32"/>
      <c r="B123" s="16"/>
      <c r="C123" s="55"/>
      <c r="D123" s="55"/>
      <c r="E123" s="55"/>
      <c r="F123" s="55"/>
      <c r="H123" s="212"/>
      <c r="I123" s="43"/>
      <c r="L123" s="32"/>
      <c r="M123" s="32"/>
      <c r="N123" s="32"/>
    </row>
    <row r="124" spans="1:14" s="1" customFormat="1" ht="15" x14ac:dyDescent="0.25">
      <c r="A124" s="32"/>
      <c r="B124" s="16"/>
      <c r="C124" s="55"/>
      <c r="D124" s="55"/>
      <c r="E124" s="55"/>
      <c r="F124" s="55"/>
      <c r="H124" s="212"/>
      <c r="I124" s="43"/>
      <c r="J124" s="73">
        <f>SUM(H114:H122)</f>
        <v>8272000</v>
      </c>
      <c r="L124" s="32"/>
      <c r="M124" s="32"/>
      <c r="N124" s="32"/>
    </row>
    <row r="125" spans="1:14" s="1" customFormat="1" ht="15" x14ac:dyDescent="0.25">
      <c r="A125" s="32"/>
      <c r="B125" s="16"/>
      <c r="C125" s="56" t="s">
        <v>56</v>
      </c>
      <c r="D125" s="55"/>
      <c r="E125" s="55"/>
      <c r="F125" s="55"/>
      <c r="H125" s="57">
        <v>4000000</v>
      </c>
      <c r="I125" s="43"/>
      <c r="L125" s="32"/>
      <c r="M125" s="32"/>
      <c r="N125" s="32"/>
    </row>
    <row r="126" spans="1:14" s="1" customFormat="1" ht="15" x14ac:dyDescent="0.25">
      <c r="A126" s="32"/>
      <c r="B126" s="58"/>
      <c r="C126" s="59"/>
      <c r="D126" s="59"/>
      <c r="E126" s="60"/>
      <c r="F126" s="61"/>
      <c r="G126" s="62"/>
      <c r="H126" s="63"/>
      <c r="I126" s="43"/>
      <c r="L126" s="32"/>
      <c r="M126" s="32"/>
      <c r="N126" s="32"/>
    </row>
    <row r="127" spans="1:14" s="1" customFormat="1" ht="15.75" thickBot="1" x14ac:dyDescent="0.3">
      <c r="A127" s="32"/>
      <c r="B127" s="23"/>
      <c r="C127" s="24" t="s">
        <v>61</v>
      </c>
      <c r="D127" s="24"/>
      <c r="E127" s="25"/>
      <c r="F127" s="47"/>
      <c r="G127" s="27"/>
      <c r="H127" s="28">
        <f>SUM(H114:H126)</f>
        <v>12272000</v>
      </c>
      <c r="I127" s="43"/>
      <c r="L127" s="32"/>
      <c r="M127" s="32"/>
      <c r="N127" s="32"/>
    </row>
    <row r="128" spans="1:14" ht="21.95" customHeight="1" thickTop="1" x14ac:dyDescent="0.25"/>
  </sheetData>
  <mergeCells count="1">
    <mergeCell ref="B1:H1"/>
  </mergeCells>
  <pageMargins left="0.7" right="0.7" top="0.75" bottom="0.75" header="0.3" footer="0.3"/>
  <pageSetup scale="8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view="pageBreakPreview" zoomScale="60" zoomScaleNormal="100" workbookViewId="0">
      <selection activeCell="C7" sqref="C7"/>
    </sheetView>
  </sheetViews>
  <sheetFormatPr defaultRowHeight="12.75" x14ac:dyDescent="0.2"/>
  <cols>
    <col min="1" max="1" width="9.140625" style="165"/>
    <col min="2" max="2" width="4.85546875" style="165" customWidth="1"/>
    <col min="3" max="3" width="56" style="165" customWidth="1"/>
    <col min="4" max="257" width="9.140625" style="165"/>
    <col min="258" max="258" width="4.85546875" style="165" customWidth="1"/>
    <col min="259" max="259" width="56" style="165" customWidth="1"/>
    <col min="260" max="513" width="9.140625" style="165"/>
    <col min="514" max="514" width="4.85546875" style="165" customWidth="1"/>
    <col min="515" max="515" width="56" style="165" customWidth="1"/>
    <col min="516" max="769" width="9.140625" style="165"/>
    <col min="770" max="770" width="4.85546875" style="165" customWidth="1"/>
    <col min="771" max="771" width="56" style="165" customWidth="1"/>
    <col min="772" max="1025" width="9.140625" style="165"/>
    <col min="1026" max="1026" width="4.85546875" style="165" customWidth="1"/>
    <col min="1027" max="1027" width="56" style="165" customWidth="1"/>
    <col min="1028" max="1281" width="9.140625" style="165"/>
    <col min="1282" max="1282" width="4.85546875" style="165" customWidth="1"/>
    <col min="1283" max="1283" width="56" style="165" customWidth="1"/>
    <col min="1284" max="1537" width="9.140625" style="165"/>
    <col min="1538" max="1538" width="4.85546875" style="165" customWidth="1"/>
    <col min="1539" max="1539" width="56" style="165" customWidth="1"/>
    <col min="1540" max="1793" width="9.140625" style="165"/>
    <col min="1794" max="1794" width="4.85546875" style="165" customWidth="1"/>
    <col min="1795" max="1795" width="56" style="165" customWidth="1"/>
    <col min="1796" max="2049" width="9.140625" style="165"/>
    <col min="2050" max="2050" width="4.85546875" style="165" customWidth="1"/>
    <col min="2051" max="2051" width="56" style="165" customWidth="1"/>
    <col min="2052" max="2305" width="9.140625" style="165"/>
    <col min="2306" max="2306" width="4.85546875" style="165" customWidth="1"/>
    <col min="2307" max="2307" width="56" style="165" customWidth="1"/>
    <col min="2308" max="2561" width="9.140625" style="165"/>
    <col min="2562" max="2562" width="4.85546875" style="165" customWidth="1"/>
    <col min="2563" max="2563" width="56" style="165" customWidth="1"/>
    <col min="2564" max="2817" width="9.140625" style="165"/>
    <col min="2818" max="2818" width="4.85546875" style="165" customWidth="1"/>
    <col min="2819" max="2819" width="56" style="165" customWidth="1"/>
    <col min="2820" max="3073" width="9.140625" style="165"/>
    <col min="3074" max="3074" width="4.85546875" style="165" customWidth="1"/>
    <col min="3075" max="3075" width="56" style="165" customWidth="1"/>
    <col min="3076" max="3329" width="9.140625" style="165"/>
    <col min="3330" max="3330" width="4.85546875" style="165" customWidth="1"/>
    <col min="3331" max="3331" width="56" style="165" customWidth="1"/>
    <col min="3332" max="3585" width="9.140625" style="165"/>
    <col min="3586" max="3586" width="4.85546875" style="165" customWidth="1"/>
    <col min="3587" max="3587" width="56" style="165" customWidth="1"/>
    <col min="3588" max="3841" width="9.140625" style="165"/>
    <col min="3842" max="3842" width="4.85546875" style="165" customWidth="1"/>
    <col min="3843" max="3843" width="56" style="165" customWidth="1"/>
    <col min="3844" max="4097" width="9.140625" style="165"/>
    <col min="4098" max="4098" width="4.85546875" style="165" customWidth="1"/>
    <col min="4099" max="4099" width="56" style="165" customWidth="1"/>
    <col min="4100" max="4353" width="9.140625" style="165"/>
    <col min="4354" max="4354" width="4.85546875" style="165" customWidth="1"/>
    <col min="4355" max="4355" width="56" style="165" customWidth="1"/>
    <col min="4356" max="4609" width="9.140625" style="165"/>
    <col min="4610" max="4610" width="4.85546875" style="165" customWidth="1"/>
    <col min="4611" max="4611" width="56" style="165" customWidth="1"/>
    <col min="4612" max="4865" width="9.140625" style="165"/>
    <col min="4866" max="4866" width="4.85546875" style="165" customWidth="1"/>
    <col min="4867" max="4867" width="56" style="165" customWidth="1"/>
    <col min="4868" max="5121" width="9.140625" style="165"/>
    <col min="5122" max="5122" width="4.85546875" style="165" customWidth="1"/>
    <col min="5123" max="5123" width="56" style="165" customWidth="1"/>
    <col min="5124" max="5377" width="9.140625" style="165"/>
    <col min="5378" max="5378" width="4.85546875" style="165" customWidth="1"/>
    <col min="5379" max="5379" width="56" style="165" customWidth="1"/>
    <col min="5380" max="5633" width="9.140625" style="165"/>
    <col min="5634" max="5634" width="4.85546875" style="165" customWidth="1"/>
    <col min="5635" max="5635" width="56" style="165" customWidth="1"/>
    <col min="5636" max="5889" width="9.140625" style="165"/>
    <col min="5890" max="5890" width="4.85546875" style="165" customWidth="1"/>
    <col min="5891" max="5891" width="56" style="165" customWidth="1"/>
    <col min="5892" max="6145" width="9.140625" style="165"/>
    <col min="6146" max="6146" width="4.85546875" style="165" customWidth="1"/>
    <col min="6147" max="6147" width="56" style="165" customWidth="1"/>
    <col min="6148" max="6401" width="9.140625" style="165"/>
    <col min="6402" max="6402" width="4.85546875" style="165" customWidth="1"/>
    <col min="6403" max="6403" width="56" style="165" customWidth="1"/>
    <col min="6404" max="6657" width="9.140625" style="165"/>
    <col min="6658" max="6658" width="4.85546875" style="165" customWidth="1"/>
    <col min="6659" max="6659" width="56" style="165" customWidth="1"/>
    <col min="6660" max="6913" width="9.140625" style="165"/>
    <col min="6914" max="6914" width="4.85546875" style="165" customWidth="1"/>
    <col min="6915" max="6915" width="56" style="165" customWidth="1"/>
    <col min="6916" max="7169" width="9.140625" style="165"/>
    <col min="7170" max="7170" width="4.85546875" style="165" customWidth="1"/>
    <col min="7171" max="7171" width="56" style="165" customWidth="1"/>
    <col min="7172" max="7425" width="9.140625" style="165"/>
    <col min="7426" max="7426" width="4.85546875" style="165" customWidth="1"/>
    <col min="7427" max="7427" width="56" style="165" customWidth="1"/>
    <col min="7428" max="7681" width="9.140625" style="165"/>
    <col min="7682" max="7682" width="4.85546875" style="165" customWidth="1"/>
    <col min="7683" max="7683" width="56" style="165" customWidth="1"/>
    <col min="7684" max="7937" width="9.140625" style="165"/>
    <col min="7938" max="7938" width="4.85546875" style="165" customWidth="1"/>
    <col min="7939" max="7939" width="56" style="165" customWidth="1"/>
    <col min="7940" max="8193" width="9.140625" style="165"/>
    <col min="8194" max="8194" width="4.85546875" style="165" customWidth="1"/>
    <col min="8195" max="8195" width="56" style="165" customWidth="1"/>
    <col min="8196" max="8449" width="9.140625" style="165"/>
    <col min="8450" max="8450" width="4.85546875" style="165" customWidth="1"/>
    <col min="8451" max="8451" width="56" style="165" customWidth="1"/>
    <col min="8452" max="8705" width="9.140625" style="165"/>
    <col min="8706" max="8706" width="4.85546875" style="165" customWidth="1"/>
    <col min="8707" max="8707" width="56" style="165" customWidth="1"/>
    <col min="8708" max="8961" width="9.140625" style="165"/>
    <col min="8962" max="8962" width="4.85546875" style="165" customWidth="1"/>
    <col min="8963" max="8963" width="56" style="165" customWidth="1"/>
    <col min="8964" max="9217" width="9.140625" style="165"/>
    <col min="9218" max="9218" width="4.85546875" style="165" customWidth="1"/>
    <col min="9219" max="9219" width="56" style="165" customWidth="1"/>
    <col min="9220" max="9473" width="9.140625" style="165"/>
    <col min="9474" max="9474" width="4.85546875" style="165" customWidth="1"/>
    <col min="9475" max="9475" width="56" style="165" customWidth="1"/>
    <col min="9476" max="9729" width="9.140625" style="165"/>
    <col min="9730" max="9730" width="4.85546875" style="165" customWidth="1"/>
    <col min="9731" max="9731" width="56" style="165" customWidth="1"/>
    <col min="9732" max="9985" width="9.140625" style="165"/>
    <col min="9986" max="9986" width="4.85546875" style="165" customWidth="1"/>
    <col min="9987" max="9987" width="56" style="165" customWidth="1"/>
    <col min="9988" max="10241" width="9.140625" style="165"/>
    <col min="10242" max="10242" width="4.85546875" style="165" customWidth="1"/>
    <col min="10243" max="10243" width="56" style="165" customWidth="1"/>
    <col min="10244" max="10497" width="9.140625" style="165"/>
    <col min="10498" max="10498" width="4.85546875" style="165" customWidth="1"/>
    <col min="10499" max="10499" width="56" style="165" customWidth="1"/>
    <col min="10500" max="10753" width="9.140625" style="165"/>
    <col min="10754" max="10754" width="4.85546875" style="165" customWidth="1"/>
    <col min="10755" max="10755" width="56" style="165" customWidth="1"/>
    <col min="10756" max="11009" width="9.140625" style="165"/>
    <col min="11010" max="11010" width="4.85546875" style="165" customWidth="1"/>
    <col min="11011" max="11011" width="56" style="165" customWidth="1"/>
    <col min="11012" max="11265" width="9.140625" style="165"/>
    <col min="11266" max="11266" width="4.85546875" style="165" customWidth="1"/>
    <col min="11267" max="11267" width="56" style="165" customWidth="1"/>
    <col min="11268" max="11521" width="9.140625" style="165"/>
    <col min="11522" max="11522" width="4.85546875" style="165" customWidth="1"/>
    <col min="11523" max="11523" width="56" style="165" customWidth="1"/>
    <col min="11524" max="11777" width="9.140625" style="165"/>
    <col min="11778" max="11778" width="4.85546875" style="165" customWidth="1"/>
    <col min="11779" max="11779" width="56" style="165" customWidth="1"/>
    <col min="11780" max="12033" width="9.140625" style="165"/>
    <col min="12034" max="12034" width="4.85546875" style="165" customWidth="1"/>
    <col min="12035" max="12035" width="56" style="165" customWidth="1"/>
    <col min="12036" max="12289" width="9.140625" style="165"/>
    <col min="12290" max="12290" width="4.85546875" style="165" customWidth="1"/>
    <col min="12291" max="12291" width="56" style="165" customWidth="1"/>
    <col min="12292" max="12545" width="9.140625" style="165"/>
    <col min="12546" max="12546" width="4.85546875" style="165" customWidth="1"/>
    <col min="12547" max="12547" width="56" style="165" customWidth="1"/>
    <col min="12548" max="12801" width="9.140625" style="165"/>
    <col min="12802" max="12802" width="4.85546875" style="165" customWidth="1"/>
    <col min="12803" max="12803" width="56" style="165" customWidth="1"/>
    <col min="12804" max="13057" width="9.140625" style="165"/>
    <col min="13058" max="13058" width="4.85546875" style="165" customWidth="1"/>
    <col min="13059" max="13059" width="56" style="165" customWidth="1"/>
    <col min="13060" max="13313" width="9.140625" style="165"/>
    <col min="13314" max="13314" width="4.85546875" style="165" customWidth="1"/>
    <col min="13315" max="13315" width="56" style="165" customWidth="1"/>
    <col min="13316" max="13569" width="9.140625" style="165"/>
    <col min="13570" max="13570" width="4.85546875" style="165" customWidth="1"/>
    <col min="13571" max="13571" width="56" style="165" customWidth="1"/>
    <col min="13572" max="13825" width="9.140625" style="165"/>
    <col min="13826" max="13826" width="4.85546875" style="165" customWidth="1"/>
    <col min="13827" max="13827" width="56" style="165" customWidth="1"/>
    <col min="13828" max="14081" width="9.140625" style="165"/>
    <col min="14082" max="14082" width="4.85546875" style="165" customWidth="1"/>
    <col min="14083" max="14083" width="56" style="165" customWidth="1"/>
    <col min="14084" max="14337" width="9.140625" style="165"/>
    <col min="14338" max="14338" width="4.85546875" style="165" customWidth="1"/>
    <col min="14339" max="14339" width="56" style="165" customWidth="1"/>
    <col min="14340" max="14593" width="9.140625" style="165"/>
    <col min="14594" max="14594" width="4.85546875" style="165" customWidth="1"/>
    <col min="14595" max="14595" width="56" style="165" customWidth="1"/>
    <col min="14596" max="14849" width="9.140625" style="165"/>
    <col min="14850" max="14850" width="4.85546875" style="165" customWidth="1"/>
    <col min="14851" max="14851" width="56" style="165" customWidth="1"/>
    <col min="14852" max="15105" width="9.140625" style="165"/>
    <col min="15106" max="15106" width="4.85546875" style="165" customWidth="1"/>
    <col min="15107" max="15107" width="56" style="165" customWidth="1"/>
    <col min="15108" max="15361" width="9.140625" style="165"/>
    <col min="15362" max="15362" width="4.85546875" style="165" customWidth="1"/>
    <col min="15363" max="15363" width="56" style="165" customWidth="1"/>
    <col min="15364" max="15617" width="9.140625" style="165"/>
    <col min="15618" max="15618" width="4.85546875" style="165" customWidth="1"/>
    <col min="15619" max="15619" width="56" style="165" customWidth="1"/>
    <col min="15620" max="15873" width="9.140625" style="165"/>
    <col min="15874" max="15874" width="4.85546875" style="165" customWidth="1"/>
    <col min="15875" max="15875" width="56" style="165" customWidth="1"/>
    <col min="15876" max="16129" width="9.140625" style="165"/>
    <col min="16130" max="16130" width="4.85546875" style="165" customWidth="1"/>
    <col min="16131" max="16131" width="56" style="165" customWidth="1"/>
    <col min="16132" max="16384" width="9.140625" style="165"/>
  </cols>
  <sheetData>
    <row r="1" spans="1:5" ht="34.5" customHeight="1" thickTop="1" x14ac:dyDescent="0.25">
      <c r="A1" s="245" t="s">
        <v>108</v>
      </c>
      <c r="B1" s="246"/>
      <c r="C1" s="246"/>
      <c r="D1" s="246"/>
      <c r="E1" s="247"/>
    </row>
    <row r="2" spans="1:5" x14ac:dyDescent="0.2">
      <c r="A2" s="166"/>
      <c r="B2" s="167"/>
      <c r="C2" s="167"/>
      <c r="D2" s="167"/>
      <c r="E2" s="168"/>
    </row>
    <row r="3" spans="1:5" x14ac:dyDescent="0.2">
      <c r="A3" s="166"/>
      <c r="B3" s="167"/>
      <c r="C3" s="167"/>
      <c r="D3" s="167"/>
      <c r="E3" s="168"/>
    </row>
    <row r="4" spans="1:5" x14ac:dyDescent="0.2">
      <c r="A4" s="166"/>
      <c r="B4" s="167"/>
      <c r="C4" s="167"/>
      <c r="D4" s="167"/>
      <c r="E4" s="168"/>
    </row>
    <row r="5" spans="1:5" x14ac:dyDescent="0.2">
      <c r="A5" s="166"/>
      <c r="B5" s="167"/>
      <c r="C5" s="167"/>
      <c r="D5" s="167"/>
      <c r="E5" s="168"/>
    </row>
    <row r="6" spans="1:5" x14ac:dyDescent="0.2">
      <c r="A6" s="166"/>
      <c r="B6" s="167"/>
      <c r="C6" s="167"/>
      <c r="D6" s="167"/>
      <c r="E6" s="168"/>
    </row>
    <row r="7" spans="1:5" ht="33" x14ac:dyDescent="0.45">
      <c r="A7" s="166"/>
      <c r="B7" s="167"/>
      <c r="C7" s="169" t="s">
        <v>99</v>
      </c>
      <c r="D7" s="167"/>
      <c r="E7" s="168"/>
    </row>
    <row r="8" spans="1:5" x14ac:dyDescent="0.2">
      <c r="A8" s="166"/>
      <c r="B8" s="167"/>
      <c r="C8" s="167"/>
      <c r="D8" s="167"/>
      <c r="E8" s="168"/>
    </row>
    <row r="9" spans="1:5" x14ac:dyDescent="0.2">
      <c r="A9" s="166"/>
      <c r="B9" s="167"/>
      <c r="C9" s="167"/>
      <c r="D9" s="167"/>
      <c r="E9" s="168"/>
    </row>
    <row r="10" spans="1:5" x14ac:dyDescent="0.2">
      <c r="A10" s="166"/>
      <c r="B10" s="167"/>
      <c r="C10" s="167"/>
      <c r="D10" s="167"/>
      <c r="E10" s="168"/>
    </row>
    <row r="11" spans="1:5" x14ac:dyDescent="0.2">
      <c r="A11" s="166"/>
      <c r="B11" s="167"/>
      <c r="C11" s="167"/>
      <c r="D11" s="167"/>
      <c r="E11" s="168"/>
    </row>
    <row r="12" spans="1:5" x14ac:dyDescent="0.2">
      <c r="A12" s="166"/>
      <c r="B12" s="167"/>
      <c r="C12" s="167"/>
      <c r="D12" s="167"/>
      <c r="E12" s="168"/>
    </row>
    <row r="13" spans="1:5" x14ac:dyDescent="0.2">
      <c r="A13" s="166"/>
      <c r="B13" s="167"/>
      <c r="C13" s="167"/>
      <c r="D13" s="167"/>
      <c r="E13" s="168"/>
    </row>
    <row r="14" spans="1:5" x14ac:dyDescent="0.2">
      <c r="A14" s="166"/>
      <c r="B14" s="167"/>
      <c r="C14" s="167"/>
      <c r="D14" s="167"/>
      <c r="E14" s="168"/>
    </row>
    <row r="15" spans="1:5" x14ac:dyDescent="0.2">
      <c r="A15" s="166"/>
      <c r="B15" s="167"/>
      <c r="C15" s="167"/>
      <c r="D15" s="167"/>
      <c r="E15" s="168"/>
    </row>
    <row r="16" spans="1:5" x14ac:dyDescent="0.2">
      <c r="A16" s="166"/>
      <c r="B16" s="167"/>
      <c r="C16" s="167"/>
      <c r="D16" s="167"/>
      <c r="E16" s="168"/>
    </row>
    <row r="17" spans="1:5" x14ac:dyDescent="0.2">
      <c r="A17" s="166"/>
      <c r="B17" s="167"/>
      <c r="C17" s="167"/>
      <c r="D17" s="167"/>
      <c r="E17" s="168"/>
    </row>
    <row r="18" spans="1:5" ht="90" x14ac:dyDescent="0.6">
      <c r="A18" s="166"/>
      <c r="B18" s="167"/>
      <c r="C18" s="170" t="s">
        <v>109</v>
      </c>
      <c r="D18" s="171"/>
      <c r="E18" s="168"/>
    </row>
    <row r="19" spans="1:5" x14ac:dyDescent="0.2">
      <c r="A19" s="166"/>
      <c r="B19" s="167"/>
      <c r="C19" s="167"/>
      <c r="D19" s="167"/>
      <c r="E19" s="168"/>
    </row>
    <row r="20" spans="1:5" x14ac:dyDescent="0.2">
      <c r="A20" s="166"/>
      <c r="B20" s="167"/>
      <c r="C20" s="167"/>
      <c r="D20" s="167"/>
      <c r="E20" s="168"/>
    </row>
    <row r="21" spans="1:5" x14ac:dyDescent="0.2">
      <c r="A21" s="166"/>
      <c r="B21" s="167"/>
      <c r="C21" s="167"/>
      <c r="D21" s="167"/>
      <c r="E21" s="168"/>
    </row>
    <row r="22" spans="1:5" x14ac:dyDescent="0.2">
      <c r="A22" s="166"/>
      <c r="B22" s="167"/>
      <c r="C22" s="167"/>
      <c r="D22" s="167"/>
      <c r="E22" s="168"/>
    </row>
    <row r="23" spans="1:5" x14ac:dyDescent="0.2">
      <c r="A23" s="166"/>
      <c r="B23" s="167"/>
      <c r="C23" s="167"/>
      <c r="D23" s="167"/>
      <c r="E23" s="168"/>
    </row>
    <row r="24" spans="1:5" x14ac:dyDescent="0.2">
      <c r="A24" s="166"/>
      <c r="B24" s="167"/>
      <c r="C24" s="167"/>
      <c r="D24" s="167"/>
      <c r="E24" s="168"/>
    </row>
    <row r="25" spans="1:5" x14ac:dyDescent="0.2">
      <c r="A25" s="166"/>
      <c r="B25" s="167"/>
      <c r="C25" s="167"/>
      <c r="D25" s="167"/>
      <c r="E25" s="168"/>
    </row>
    <row r="26" spans="1:5" x14ac:dyDescent="0.2">
      <c r="A26" s="166"/>
      <c r="B26" s="167"/>
      <c r="C26" s="167"/>
      <c r="D26" s="167"/>
      <c r="E26" s="168"/>
    </row>
    <row r="27" spans="1:5" x14ac:dyDescent="0.2">
      <c r="A27" s="166"/>
      <c r="B27" s="167"/>
      <c r="C27" s="167"/>
      <c r="D27" s="167"/>
      <c r="E27" s="168"/>
    </row>
    <row r="28" spans="1:5" x14ac:dyDescent="0.2">
      <c r="A28" s="166"/>
      <c r="B28" s="167"/>
      <c r="C28" s="167"/>
      <c r="D28" s="167"/>
      <c r="E28" s="168"/>
    </row>
    <row r="29" spans="1:5" x14ac:dyDescent="0.2">
      <c r="A29" s="166"/>
      <c r="B29" s="167"/>
      <c r="C29" s="167"/>
      <c r="D29" s="167"/>
      <c r="E29" s="168"/>
    </row>
    <row r="30" spans="1:5" x14ac:dyDescent="0.2">
      <c r="A30" s="166"/>
      <c r="B30" s="167"/>
      <c r="C30" s="167"/>
      <c r="D30" s="167"/>
      <c r="E30" s="168"/>
    </row>
    <row r="31" spans="1:5" x14ac:dyDescent="0.2">
      <c r="A31" s="166"/>
      <c r="B31" s="167"/>
      <c r="C31" s="167"/>
      <c r="D31" s="167"/>
      <c r="E31" s="168"/>
    </row>
    <row r="32" spans="1:5" x14ac:dyDescent="0.2">
      <c r="A32" s="166"/>
      <c r="B32" s="167"/>
      <c r="C32" s="167"/>
      <c r="D32" s="167"/>
      <c r="E32" s="168"/>
    </row>
    <row r="33" spans="1:5" x14ac:dyDescent="0.2">
      <c r="A33" s="166"/>
      <c r="B33" s="167"/>
      <c r="C33" s="167"/>
      <c r="D33" s="167"/>
      <c r="E33" s="168"/>
    </row>
    <row r="34" spans="1:5" x14ac:dyDescent="0.2">
      <c r="A34" s="166"/>
      <c r="B34" s="167"/>
      <c r="C34" s="167"/>
      <c r="D34" s="167"/>
      <c r="E34" s="168"/>
    </row>
    <row r="35" spans="1:5" x14ac:dyDescent="0.2">
      <c r="A35" s="166"/>
      <c r="B35" s="167"/>
      <c r="C35" s="167"/>
      <c r="D35" s="167"/>
      <c r="E35" s="168"/>
    </row>
    <row r="36" spans="1:5" x14ac:dyDescent="0.2">
      <c r="A36" s="166"/>
      <c r="B36" s="167"/>
      <c r="C36" s="167"/>
      <c r="D36" s="167"/>
      <c r="E36" s="168"/>
    </row>
    <row r="37" spans="1:5" x14ac:dyDescent="0.2">
      <c r="A37" s="166"/>
      <c r="B37" s="167"/>
      <c r="C37" s="167"/>
      <c r="D37" s="167"/>
      <c r="E37" s="168"/>
    </row>
    <row r="38" spans="1:5" x14ac:dyDescent="0.2">
      <c r="A38" s="166"/>
      <c r="B38" s="167"/>
      <c r="C38" s="167"/>
      <c r="D38" s="167"/>
      <c r="E38" s="168"/>
    </row>
    <row r="39" spans="1:5" x14ac:dyDescent="0.2">
      <c r="A39" s="166"/>
      <c r="B39" s="167"/>
      <c r="C39" s="167"/>
      <c r="D39" s="167"/>
      <c r="E39" s="168"/>
    </row>
    <row r="40" spans="1:5" x14ac:dyDescent="0.2">
      <c r="A40" s="166"/>
      <c r="B40" s="167"/>
      <c r="C40" s="167"/>
      <c r="D40" s="167"/>
      <c r="E40" s="168"/>
    </row>
    <row r="41" spans="1:5" x14ac:dyDescent="0.2">
      <c r="A41" s="166"/>
      <c r="B41" s="167"/>
      <c r="C41" s="167"/>
      <c r="D41" s="167"/>
      <c r="E41" s="168"/>
    </row>
    <row r="42" spans="1:5" x14ac:dyDescent="0.2">
      <c r="A42" s="166"/>
      <c r="B42" s="167"/>
      <c r="C42" s="167"/>
      <c r="D42" s="167"/>
      <c r="E42" s="168"/>
    </row>
    <row r="43" spans="1:5" x14ac:dyDescent="0.2">
      <c r="A43" s="166"/>
      <c r="B43" s="167"/>
      <c r="C43" s="167"/>
      <c r="D43" s="167"/>
      <c r="E43" s="168"/>
    </row>
    <row r="44" spans="1:5" x14ac:dyDescent="0.2">
      <c r="A44" s="166"/>
      <c r="B44" s="167"/>
      <c r="C44" s="167"/>
      <c r="D44" s="167"/>
      <c r="E44" s="168"/>
    </row>
    <row r="45" spans="1:5" x14ac:dyDescent="0.2">
      <c r="A45" s="166"/>
      <c r="B45" s="167"/>
      <c r="C45" s="167"/>
      <c r="D45" s="167"/>
      <c r="E45" s="168"/>
    </row>
    <row r="46" spans="1:5" ht="13.5" thickBot="1" x14ac:dyDescent="0.25">
      <c r="A46" s="172"/>
      <c r="B46" s="173"/>
      <c r="C46" s="173"/>
      <c r="D46" s="173"/>
      <c r="E46" s="174" t="s">
        <v>90</v>
      </c>
    </row>
    <row r="47" spans="1:5" ht="13.5" thickTop="1" x14ac:dyDescent="0.2"/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L127"/>
  <sheetViews>
    <sheetView view="pageBreakPreview" topLeftCell="C106" zoomScale="90" zoomScaleNormal="100" zoomScaleSheetLayoutView="90" workbookViewId="0">
      <selection activeCell="J119" sqref="J119"/>
    </sheetView>
  </sheetViews>
  <sheetFormatPr defaultColWidth="9" defaultRowHeight="21.95" customHeight="1" x14ac:dyDescent="0.25"/>
  <cols>
    <col min="1" max="1" width="0.85546875" style="32" hidden="1" customWidth="1"/>
    <col min="2" max="2" width="5.5703125" style="70" customWidth="1"/>
    <col min="3" max="3" width="38.7109375" style="71" customWidth="1"/>
    <col min="4" max="4" width="0.140625" style="217" hidden="1" customWidth="1"/>
    <col min="5" max="5" width="20.28515625" style="12" customWidth="1"/>
    <col min="6" max="6" width="10.28515625" style="34" customWidth="1"/>
    <col min="7" max="7" width="12.5703125" style="69" customWidth="1"/>
    <col min="8" max="8" width="18.7109375" style="72" customWidth="1"/>
    <col min="9" max="9" width="12.42578125" style="1" customWidth="1"/>
    <col min="10" max="10" width="21.140625" style="1" customWidth="1"/>
    <col min="11" max="11" width="10" style="1" customWidth="1"/>
    <col min="12" max="256" width="9" style="32"/>
    <col min="257" max="257" width="9" style="32" hidden="1" customWidth="1"/>
    <col min="258" max="258" width="5.5703125" style="32" customWidth="1"/>
    <col min="259" max="259" width="34.140625" style="32" customWidth="1"/>
    <col min="260" max="260" width="9" style="32" hidden="1" customWidth="1"/>
    <col min="261" max="261" width="10.140625" style="32" customWidth="1"/>
    <col min="262" max="262" width="9.85546875" style="32" customWidth="1"/>
    <col min="263" max="263" width="11.42578125" style="32" customWidth="1"/>
    <col min="264" max="264" width="14" style="32" customWidth="1"/>
    <col min="265" max="265" width="11.42578125" style="32" customWidth="1"/>
    <col min="266" max="266" width="21.140625" style="32" customWidth="1"/>
    <col min="267" max="512" width="9" style="32"/>
    <col min="513" max="513" width="9" style="32" hidden="1" customWidth="1"/>
    <col min="514" max="514" width="5.5703125" style="32" customWidth="1"/>
    <col min="515" max="515" width="34.140625" style="32" customWidth="1"/>
    <col min="516" max="516" width="9" style="32" hidden="1" customWidth="1"/>
    <col min="517" max="517" width="10.140625" style="32" customWidth="1"/>
    <col min="518" max="518" width="9.85546875" style="32" customWidth="1"/>
    <col min="519" max="519" width="11.42578125" style="32" customWidth="1"/>
    <col min="520" max="520" width="14" style="32" customWidth="1"/>
    <col min="521" max="521" width="11.42578125" style="32" customWidth="1"/>
    <col min="522" max="522" width="21.140625" style="32" customWidth="1"/>
    <col min="523" max="768" width="9" style="32"/>
    <col min="769" max="769" width="9" style="32" hidden="1" customWidth="1"/>
    <col min="770" max="770" width="5.5703125" style="32" customWidth="1"/>
    <col min="771" max="771" width="34.140625" style="32" customWidth="1"/>
    <col min="772" max="772" width="9" style="32" hidden="1" customWidth="1"/>
    <col min="773" max="773" width="10.140625" style="32" customWidth="1"/>
    <col min="774" max="774" width="9.85546875" style="32" customWidth="1"/>
    <col min="775" max="775" width="11.42578125" style="32" customWidth="1"/>
    <col min="776" max="776" width="14" style="32" customWidth="1"/>
    <col min="777" max="777" width="11.42578125" style="32" customWidth="1"/>
    <col min="778" max="778" width="21.140625" style="32" customWidth="1"/>
    <col min="779" max="1024" width="9" style="32"/>
    <col min="1025" max="1025" width="9" style="32" hidden="1" customWidth="1"/>
    <col min="1026" max="1026" width="5.5703125" style="32" customWidth="1"/>
    <col min="1027" max="1027" width="34.140625" style="32" customWidth="1"/>
    <col min="1028" max="1028" width="9" style="32" hidden="1" customWidth="1"/>
    <col min="1029" max="1029" width="10.140625" style="32" customWidth="1"/>
    <col min="1030" max="1030" width="9.85546875" style="32" customWidth="1"/>
    <col min="1031" max="1031" width="11.42578125" style="32" customWidth="1"/>
    <col min="1032" max="1032" width="14" style="32" customWidth="1"/>
    <col min="1033" max="1033" width="11.42578125" style="32" customWidth="1"/>
    <col min="1034" max="1034" width="21.140625" style="32" customWidth="1"/>
    <col min="1035" max="1280" width="9" style="32"/>
    <col min="1281" max="1281" width="9" style="32" hidden="1" customWidth="1"/>
    <col min="1282" max="1282" width="5.5703125" style="32" customWidth="1"/>
    <col min="1283" max="1283" width="34.140625" style="32" customWidth="1"/>
    <col min="1284" max="1284" width="9" style="32" hidden="1" customWidth="1"/>
    <col min="1285" max="1285" width="10.140625" style="32" customWidth="1"/>
    <col min="1286" max="1286" width="9.85546875" style="32" customWidth="1"/>
    <col min="1287" max="1287" width="11.42578125" style="32" customWidth="1"/>
    <col min="1288" max="1288" width="14" style="32" customWidth="1"/>
    <col min="1289" max="1289" width="11.42578125" style="32" customWidth="1"/>
    <col min="1290" max="1290" width="21.140625" style="32" customWidth="1"/>
    <col min="1291" max="1536" width="9" style="32"/>
    <col min="1537" max="1537" width="9" style="32" hidden="1" customWidth="1"/>
    <col min="1538" max="1538" width="5.5703125" style="32" customWidth="1"/>
    <col min="1539" max="1539" width="34.140625" style="32" customWidth="1"/>
    <col min="1540" max="1540" width="9" style="32" hidden="1" customWidth="1"/>
    <col min="1541" max="1541" width="10.140625" style="32" customWidth="1"/>
    <col min="1542" max="1542" width="9.85546875" style="32" customWidth="1"/>
    <col min="1543" max="1543" width="11.42578125" style="32" customWidth="1"/>
    <col min="1544" max="1544" width="14" style="32" customWidth="1"/>
    <col min="1545" max="1545" width="11.42578125" style="32" customWidth="1"/>
    <col min="1546" max="1546" width="21.140625" style="32" customWidth="1"/>
    <col min="1547" max="1792" width="9" style="32"/>
    <col min="1793" max="1793" width="9" style="32" hidden="1" customWidth="1"/>
    <col min="1794" max="1794" width="5.5703125" style="32" customWidth="1"/>
    <col min="1795" max="1795" width="34.140625" style="32" customWidth="1"/>
    <col min="1796" max="1796" width="9" style="32" hidden="1" customWidth="1"/>
    <col min="1797" max="1797" width="10.140625" style="32" customWidth="1"/>
    <col min="1798" max="1798" width="9.85546875" style="32" customWidth="1"/>
    <col min="1799" max="1799" width="11.42578125" style="32" customWidth="1"/>
    <col min="1800" max="1800" width="14" style="32" customWidth="1"/>
    <col min="1801" max="1801" width="11.42578125" style="32" customWidth="1"/>
    <col min="1802" max="1802" width="21.140625" style="32" customWidth="1"/>
    <col min="1803" max="2048" width="9" style="32"/>
    <col min="2049" max="2049" width="9" style="32" hidden="1" customWidth="1"/>
    <col min="2050" max="2050" width="5.5703125" style="32" customWidth="1"/>
    <col min="2051" max="2051" width="34.140625" style="32" customWidth="1"/>
    <col min="2052" max="2052" width="9" style="32" hidden="1" customWidth="1"/>
    <col min="2053" max="2053" width="10.140625" style="32" customWidth="1"/>
    <col min="2054" max="2054" width="9.85546875" style="32" customWidth="1"/>
    <col min="2055" max="2055" width="11.42578125" style="32" customWidth="1"/>
    <col min="2056" max="2056" width="14" style="32" customWidth="1"/>
    <col min="2057" max="2057" width="11.42578125" style="32" customWidth="1"/>
    <col min="2058" max="2058" width="21.140625" style="32" customWidth="1"/>
    <col min="2059" max="2304" width="9" style="32"/>
    <col min="2305" max="2305" width="9" style="32" hidden="1" customWidth="1"/>
    <col min="2306" max="2306" width="5.5703125" style="32" customWidth="1"/>
    <col min="2307" max="2307" width="34.140625" style="32" customWidth="1"/>
    <col min="2308" max="2308" width="9" style="32" hidden="1" customWidth="1"/>
    <col min="2309" max="2309" width="10.140625" style="32" customWidth="1"/>
    <col min="2310" max="2310" width="9.85546875" style="32" customWidth="1"/>
    <col min="2311" max="2311" width="11.42578125" style="32" customWidth="1"/>
    <col min="2312" max="2312" width="14" style="32" customWidth="1"/>
    <col min="2313" max="2313" width="11.42578125" style="32" customWidth="1"/>
    <col min="2314" max="2314" width="21.140625" style="32" customWidth="1"/>
    <col min="2315" max="2560" width="9" style="32"/>
    <col min="2561" max="2561" width="9" style="32" hidden="1" customWidth="1"/>
    <col min="2562" max="2562" width="5.5703125" style="32" customWidth="1"/>
    <col min="2563" max="2563" width="34.140625" style="32" customWidth="1"/>
    <col min="2564" max="2564" width="9" style="32" hidden="1" customWidth="1"/>
    <col min="2565" max="2565" width="10.140625" style="32" customWidth="1"/>
    <col min="2566" max="2566" width="9.85546875" style="32" customWidth="1"/>
    <col min="2567" max="2567" width="11.42578125" style="32" customWidth="1"/>
    <col min="2568" max="2568" width="14" style="32" customWidth="1"/>
    <col min="2569" max="2569" width="11.42578125" style="32" customWidth="1"/>
    <col min="2570" max="2570" width="21.140625" style="32" customWidth="1"/>
    <col min="2571" max="2816" width="9" style="32"/>
    <col min="2817" max="2817" width="9" style="32" hidden="1" customWidth="1"/>
    <col min="2818" max="2818" width="5.5703125" style="32" customWidth="1"/>
    <col min="2819" max="2819" width="34.140625" style="32" customWidth="1"/>
    <col min="2820" max="2820" width="9" style="32" hidden="1" customWidth="1"/>
    <col min="2821" max="2821" width="10.140625" style="32" customWidth="1"/>
    <col min="2822" max="2822" width="9.85546875" style="32" customWidth="1"/>
    <col min="2823" max="2823" width="11.42578125" style="32" customWidth="1"/>
    <col min="2824" max="2824" width="14" style="32" customWidth="1"/>
    <col min="2825" max="2825" width="11.42578125" style="32" customWidth="1"/>
    <col min="2826" max="2826" width="21.140625" style="32" customWidth="1"/>
    <col min="2827" max="3072" width="9" style="32"/>
    <col min="3073" max="3073" width="9" style="32" hidden="1" customWidth="1"/>
    <col min="3074" max="3074" width="5.5703125" style="32" customWidth="1"/>
    <col min="3075" max="3075" width="34.140625" style="32" customWidth="1"/>
    <col min="3076" max="3076" width="9" style="32" hidden="1" customWidth="1"/>
    <col min="3077" max="3077" width="10.140625" style="32" customWidth="1"/>
    <col min="3078" max="3078" width="9.85546875" style="32" customWidth="1"/>
    <col min="3079" max="3079" width="11.42578125" style="32" customWidth="1"/>
    <col min="3080" max="3080" width="14" style="32" customWidth="1"/>
    <col min="3081" max="3081" width="11.42578125" style="32" customWidth="1"/>
    <col min="3082" max="3082" width="21.140625" style="32" customWidth="1"/>
    <col min="3083" max="3328" width="9" style="32"/>
    <col min="3329" max="3329" width="9" style="32" hidden="1" customWidth="1"/>
    <col min="3330" max="3330" width="5.5703125" style="32" customWidth="1"/>
    <col min="3331" max="3331" width="34.140625" style="32" customWidth="1"/>
    <col min="3332" max="3332" width="9" style="32" hidden="1" customWidth="1"/>
    <col min="3333" max="3333" width="10.140625" style="32" customWidth="1"/>
    <col min="3334" max="3334" width="9.85546875" style="32" customWidth="1"/>
    <col min="3335" max="3335" width="11.42578125" style="32" customWidth="1"/>
    <col min="3336" max="3336" width="14" style="32" customWidth="1"/>
    <col min="3337" max="3337" width="11.42578125" style="32" customWidth="1"/>
    <col min="3338" max="3338" width="21.140625" style="32" customWidth="1"/>
    <col min="3339" max="3584" width="9" style="32"/>
    <col min="3585" max="3585" width="9" style="32" hidden="1" customWidth="1"/>
    <col min="3586" max="3586" width="5.5703125" style="32" customWidth="1"/>
    <col min="3587" max="3587" width="34.140625" style="32" customWidth="1"/>
    <col min="3588" max="3588" width="9" style="32" hidden="1" customWidth="1"/>
    <col min="3589" max="3589" width="10.140625" style="32" customWidth="1"/>
    <col min="3590" max="3590" width="9.85546875" style="32" customWidth="1"/>
    <col min="3591" max="3591" width="11.42578125" style="32" customWidth="1"/>
    <col min="3592" max="3592" width="14" style="32" customWidth="1"/>
    <col min="3593" max="3593" width="11.42578125" style="32" customWidth="1"/>
    <col min="3594" max="3594" width="21.140625" style="32" customWidth="1"/>
    <col min="3595" max="3840" width="9" style="32"/>
    <col min="3841" max="3841" width="9" style="32" hidden="1" customWidth="1"/>
    <col min="3842" max="3842" width="5.5703125" style="32" customWidth="1"/>
    <col min="3843" max="3843" width="34.140625" style="32" customWidth="1"/>
    <col min="3844" max="3844" width="9" style="32" hidden="1" customWidth="1"/>
    <col min="3845" max="3845" width="10.140625" style="32" customWidth="1"/>
    <col min="3846" max="3846" width="9.85546875" style="32" customWidth="1"/>
    <col min="3847" max="3847" width="11.42578125" style="32" customWidth="1"/>
    <col min="3848" max="3848" width="14" style="32" customWidth="1"/>
    <col min="3849" max="3849" width="11.42578125" style="32" customWidth="1"/>
    <col min="3850" max="3850" width="21.140625" style="32" customWidth="1"/>
    <col min="3851" max="4096" width="9" style="32"/>
    <col min="4097" max="4097" width="9" style="32" hidden="1" customWidth="1"/>
    <col min="4098" max="4098" width="5.5703125" style="32" customWidth="1"/>
    <col min="4099" max="4099" width="34.140625" style="32" customWidth="1"/>
    <col min="4100" max="4100" width="9" style="32" hidden="1" customWidth="1"/>
    <col min="4101" max="4101" width="10.140625" style="32" customWidth="1"/>
    <col min="4102" max="4102" width="9.85546875" style="32" customWidth="1"/>
    <col min="4103" max="4103" width="11.42578125" style="32" customWidth="1"/>
    <col min="4104" max="4104" width="14" style="32" customWidth="1"/>
    <col min="4105" max="4105" width="11.42578125" style="32" customWidth="1"/>
    <col min="4106" max="4106" width="21.140625" style="32" customWidth="1"/>
    <col min="4107" max="4352" width="9" style="32"/>
    <col min="4353" max="4353" width="9" style="32" hidden="1" customWidth="1"/>
    <col min="4354" max="4354" width="5.5703125" style="32" customWidth="1"/>
    <col min="4355" max="4355" width="34.140625" style="32" customWidth="1"/>
    <col min="4356" max="4356" width="9" style="32" hidden="1" customWidth="1"/>
    <col min="4357" max="4357" width="10.140625" style="32" customWidth="1"/>
    <col min="4358" max="4358" width="9.85546875" style="32" customWidth="1"/>
    <col min="4359" max="4359" width="11.42578125" style="32" customWidth="1"/>
    <col min="4360" max="4360" width="14" style="32" customWidth="1"/>
    <col min="4361" max="4361" width="11.42578125" style="32" customWidth="1"/>
    <col min="4362" max="4362" width="21.140625" style="32" customWidth="1"/>
    <col min="4363" max="4608" width="9" style="32"/>
    <col min="4609" max="4609" width="9" style="32" hidden="1" customWidth="1"/>
    <col min="4610" max="4610" width="5.5703125" style="32" customWidth="1"/>
    <col min="4611" max="4611" width="34.140625" style="32" customWidth="1"/>
    <col min="4612" max="4612" width="9" style="32" hidden="1" customWidth="1"/>
    <col min="4613" max="4613" width="10.140625" style="32" customWidth="1"/>
    <col min="4614" max="4614" width="9.85546875" style="32" customWidth="1"/>
    <col min="4615" max="4615" width="11.42578125" style="32" customWidth="1"/>
    <col min="4616" max="4616" width="14" style="32" customWidth="1"/>
    <col min="4617" max="4617" width="11.42578125" style="32" customWidth="1"/>
    <col min="4618" max="4618" width="21.140625" style="32" customWidth="1"/>
    <col min="4619" max="4864" width="9" style="32"/>
    <col min="4865" max="4865" width="9" style="32" hidden="1" customWidth="1"/>
    <col min="4866" max="4866" width="5.5703125" style="32" customWidth="1"/>
    <col min="4867" max="4867" width="34.140625" style="32" customWidth="1"/>
    <col min="4868" max="4868" width="9" style="32" hidden="1" customWidth="1"/>
    <col min="4869" max="4869" width="10.140625" style="32" customWidth="1"/>
    <col min="4870" max="4870" width="9.85546875" style="32" customWidth="1"/>
    <col min="4871" max="4871" width="11.42578125" style="32" customWidth="1"/>
    <col min="4872" max="4872" width="14" style="32" customWidth="1"/>
    <col min="4873" max="4873" width="11.42578125" style="32" customWidth="1"/>
    <col min="4874" max="4874" width="21.140625" style="32" customWidth="1"/>
    <col min="4875" max="5120" width="9" style="32"/>
    <col min="5121" max="5121" width="9" style="32" hidden="1" customWidth="1"/>
    <col min="5122" max="5122" width="5.5703125" style="32" customWidth="1"/>
    <col min="5123" max="5123" width="34.140625" style="32" customWidth="1"/>
    <col min="5124" max="5124" width="9" style="32" hidden="1" customWidth="1"/>
    <col min="5125" max="5125" width="10.140625" style="32" customWidth="1"/>
    <col min="5126" max="5126" width="9.85546875" style="32" customWidth="1"/>
    <col min="5127" max="5127" width="11.42578125" style="32" customWidth="1"/>
    <col min="5128" max="5128" width="14" style="32" customWidth="1"/>
    <col min="5129" max="5129" width="11.42578125" style="32" customWidth="1"/>
    <col min="5130" max="5130" width="21.140625" style="32" customWidth="1"/>
    <col min="5131" max="5376" width="9" style="32"/>
    <col min="5377" max="5377" width="9" style="32" hidden="1" customWidth="1"/>
    <col min="5378" max="5378" width="5.5703125" style="32" customWidth="1"/>
    <col min="5379" max="5379" width="34.140625" style="32" customWidth="1"/>
    <col min="5380" max="5380" width="9" style="32" hidden="1" customWidth="1"/>
    <col min="5381" max="5381" width="10.140625" style="32" customWidth="1"/>
    <col min="5382" max="5382" width="9.85546875" style="32" customWidth="1"/>
    <col min="5383" max="5383" width="11.42578125" style="32" customWidth="1"/>
    <col min="5384" max="5384" width="14" style="32" customWidth="1"/>
    <col min="5385" max="5385" width="11.42578125" style="32" customWidth="1"/>
    <col min="5386" max="5386" width="21.140625" style="32" customWidth="1"/>
    <col min="5387" max="5632" width="9" style="32"/>
    <col min="5633" max="5633" width="9" style="32" hidden="1" customWidth="1"/>
    <col min="5634" max="5634" width="5.5703125" style="32" customWidth="1"/>
    <col min="5635" max="5635" width="34.140625" style="32" customWidth="1"/>
    <col min="5636" max="5636" width="9" style="32" hidden="1" customWidth="1"/>
    <col min="5637" max="5637" width="10.140625" style="32" customWidth="1"/>
    <col min="5638" max="5638" width="9.85546875" style="32" customWidth="1"/>
    <col min="5639" max="5639" width="11.42578125" style="32" customWidth="1"/>
    <col min="5640" max="5640" width="14" style="32" customWidth="1"/>
    <col min="5641" max="5641" width="11.42578125" style="32" customWidth="1"/>
    <col min="5642" max="5642" width="21.140625" style="32" customWidth="1"/>
    <col min="5643" max="5888" width="9" style="32"/>
    <col min="5889" max="5889" width="9" style="32" hidden="1" customWidth="1"/>
    <col min="5890" max="5890" width="5.5703125" style="32" customWidth="1"/>
    <col min="5891" max="5891" width="34.140625" style="32" customWidth="1"/>
    <col min="5892" max="5892" width="9" style="32" hidden="1" customWidth="1"/>
    <col min="5893" max="5893" width="10.140625" style="32" customWidth="1"/>
    <col min="5894" max="5894" width="9.85546875" style="32" customWidth="1"/>
    <col min="5895" max="5895" width="11.42578125" style="32" customWidth="1"/>
    <col min="5896" max="5896" width="14" style="32" customWidth="1"/>
    <col min="5897" max="5897" width="11.42578125" style="32" customWidth="1"/>
    <col min="5898" max="5898" width="21.140625" style="32" customWidth="1"/>
    <col min="5899" max="6144" width="9" style="32"/>
    <col min="6145" max="6145" width="9" style="32" hidden="1" customWidth="1"/>
    <col min="6146" max="6146" width="5.5703125" style="32" customWidth="1"/>
    <col min="6147" max="6147" width="34.140625" style="32" customWidth="1"/>
    <col min="6148" max="6148" width="9" style="32" hidden="1" customWidth="1"/>
    <col min="6149" max="6149" width="10.140625" style="32" customWidth="1"/>
    <col min="6150" max="6150" width="9.85546875" style="32" customWidth="1"/>
    <col min="6151" max="6151" width="11.42578125" style="32" customWidth="1"/>
    <col min="6152" max="6152" width="14" style="32" customWidth="1"/>
    <col min="6153" max="6153" width="11.42578125" style="32" customWidth="1"/>
    <col min="6154" max="6154" width="21.140625" style="32" customWidth="1"/>
    <col min="6155" max="6400" width="9" style="32"/>
    <col min="6401" max="6401" width="9" style="32" hidden="1" customWidth="1"/>
    <col min="6402" max="6402" width="5.5703125" style="32" customWidth="1"/>
    <col min="6403" max="6403" width="34.140625" style="32" customWidth="1"/>
    <col min="6404" max="6404" width="9" style="32" hidden="1" customWidth="1"/>
    <col min="6405" max="6405" width="10.140625" style="32" customWidth="1"/>
    <col min="6406" max="6406" width="9.85546875" style="32" customWidth="1"/>
    <col min="6407" max="6407" width="11.42578125" style="32" customWidth="1"/>
    <col min="6408" max="6408" width="14" style="32" customWidth="1"/>
    <col min="6409" max="6409" width="11.42578125" style="32" customWidth="1"/>
    <col min="6410" max="6410" width="21.140625" style="32" customWidth="1"/>
    <col min="6411" max="6656" width="9" style="32"/>
    <col min="6657" max="6657" width="9" style="32" hidden="1" customWidth="1"/>
    <col min="6658" max="6658" width="5.5703125" style="32" customWidth="1"/>
    <col min="6659" max="6659" width="34.140625" style="32" customWidth="1"/>
    <col min="6660" max="6660" width="9" style="32" hidden="1" customWidth="1"/>
    <col min="6661" max="6661" width="10.140625" style="32" customWidth="1"/>
    <col min="6662" max="6662" width="9.85546875" style="32" customWidth="1"/>
    <col min="6663" max="6663" width="11.42578125" style="32" customWidth="1"/>
    <col min="6664" max="6664" width="14" style="32" customWidth="1"/>
    <col min="6665" max="6665" width="11.42578125" style="32" customWidth="1"/>
    <col min="6666" max="6666" width="21.140625" style="32" customWidth="1"/>
    <col min="6667" max="6912" width="9" style="32"/>
    <col min="6913" max="6913" width="9" style="32" hidden="1" customWidth="1"/>
    <col min="6914" max="6914" width="5.5703125" style="32" customWidth="1"/>
    <col min="6915" max="6915" width="34.140625" style="32" customWidth="1"/>
    <col min="6916" max="6916" width="9" style="32" hidden="1" customWidth="1"/>
    <col min="6917" max="6917" width="10.140625" style="32" customWidth="1"/>
    <col min="6918" max="6918" width="9.85546875" style="32" customWidth="1"/>
    <col min="6919" max="6919" width="11.42578125" style="32" customWidth="1"/>
    <col min="6920" max="6920" width="14" style="32" customWidth="1"/>
    <col min="6921" max="6921" width="11.42578125" style="32" customWidth="1"/>
    <col min="6922" max="6922" width="21.140625" style="32" customWidth="1"/>
    <col min="6923" max="7168" width="9" style="32"/>
    <col min="7169" max="7169" width="9" style="32" hidden="1" customWidth="1"/>
    <col min="7170" max="7170" width="5.5703125" style="32" customWidth="1"/>
    <col min="7171" max="7171" width="34.140625" style="32" customWidth="1"/>
    <col min="7172" max="7172" width="9" style="32" hidden="1" customWidth="1"/>
    <col min="7173" max="7173" width="10.140625" style="32" customWidth="1"/>
    <col min="7174" max="7174" width="9.85546875" style="32" customWidth="1"/>
    <col min="7175" max="7175" width="11.42578125" style="32" customWidth="1"/>
    <col min="7176" max="7176" width="14" style="32" customWidth="1"/>
    <col min="7177" max="7177" width="11.42578125" style="32" customWidth="1"/>
    <col min="7178" max="7178" width="21.140625" style="32" customWidth="1"/>
    <col min="7179" max="7424" width="9" style="32"/>
    <col min="7425" max="7425" width="9" style="32" hidden="1" customWidth="1"/>
    <col min="7426" max="7426" width="5.5703125" style="32" customWidth="1"/>
    <col min="7427" max="7427" width="34.140625" style="32" customWidth="1"/>
    <col min="7428" max="7428" width="9" style="32" hidden="1" customWidth="1"/>
    <col min="7429" max="7429" width="10.140625" style="32" customWidth="1"/>
    <col min="7430" max="7430" width="9.85546875" style="32" customWidth="1"/>
    <col min="7431" max="7431" width="11.42578125" style="32" customWidth="1"/>
    <col min="7432" max="7432" width="14" style="32" customWidth="1"/>
    <col min="7433" max="7433" width="11.42578125" style="32" customWidth="1"/>
    <col min="7434" max="7434" width="21.140625" style="32" customWidth="1"/>
    <col min="7435" max="7680" width="9" style="32"/>
    <col min="7681" max="7681" width="9" style="32" hidden="1" customWidth="1"/>
    <col min="7682" max="7682" width="5.5703125" style="32" customWidth="1"/>
    <col min="7683" max="7683" width="34.140625" style="32" customWidth="1"/>
    <col min="7684" max="7684" width="9" style="32" hidden="1" customWidth="1"/>
    <col min="7685" max="7685" width="10.140625" style="32" customWidth="1"/>
    <col min="7686" max="7686" width="9.85546875" style="32" customWidth="1"/>
    <col min="7687" max="7687" width="11.42578125" style="32" customWidth="1"/>
    <col min="7688" max="7688" width="14" style="32" customWidth="1"/>
    <col min="7689" max="7689" width="11.42578125" style="32" customWidth="1"/>
    <col min="7690" max="7690" width="21.140625" style="32" customWidth="1"/>
    <col min="7691" max="7936" width="9" style="32"/>
    <col min="7937" max="7937" width="9" style="32" hidden="1" customWidth="1"/>
    <col min="7938" max="7938" width="5.5703125" style="32" customWidth="1"/>
    <col min="7939" max="7939" width="34.140625" style="32" customWidth="1"/>
    <col min="7940" max="7940" width="9" style="32" hidden="1" customWidth="1"/>
    <col min="7941" max="7941" width="10.140625" style="32" customWidth="1"/>
    <col min="7942" max="7942" width="9.85546875" style="32" customWidth="1"/>
    <col min="7943" max="7943" width="11.42578125" style="32" customWidth="1"/>
    <col min="7944" max="7944" width="14" style="32" customWidth="1"/>
    <col min="7945" max="7945" width="11.42578125" style="32" customWidth="1"/>
    <col min="7946" max="7946" width="21.140625" style="32" customWidth="1"/>
    <col min="7947" max="8192" width="9" style="32"/>
    <col min="8193" max="8193" width="9" style="32" hidden="1" customWidth="1"/>
    <col min="8194" max="8194" width="5.5703125" style="32" customWidth="1"/>
    <col min="8195" max="8195" width="34.140625" style="32" customWidth="1"/>
    <col min="8196" max="8196" width="9" style="32" hidden="1" customWidth="1"/>
    <col min="8197" max="8197" width="10.140625" style="32" customWidth="1"/>
    <col min="8198" max="8198" width="9.85546875" style="32" customWidth="1"/>
    <col min="8199" max="8199" width="11.42578125" style="32" customWidth="1"/>
    <col min="8200" max="8200" width="14" style="32" customWidth="1"/>
    <col min="8201" max="8201" width="11.42578125" style="32" customWidth="1"/>
    <col min="8202" max="8202" width="21.140625" style="32" customWidth="1"/>
    <col min="8203" max="8448" width="9" style="32"/>
    <col min="8449" max="8449" width="9" style="32" hidden="1" customWidth="1"/>
    <col min="8450" max="8450" width="5.5703125" style="32" customWidth="1"/>
    <col min="8451" max="8451" width="34.140625" style="32" customWidth="1"/>
    <col min="8452" max="8452" width="9" style="32" hidden="1" customWidth="1"/>
    <col min="8453" max="8453" width="10.140625" style="32" customWidth="1"/>
    <col min="8454" max="8454" width="9.85546875" style="32" customWidth="1"/>
    <col min="8455" max="8455" width="11.42578125" style="32" customWidth="1"/>
    <col min="8456" max="8456" width="14" style="32" customWidth="1"/>
    <col min="8457" max="8457" width="11.42578125" style="32" customWidth="1"/>
    <col min="8458" max="8458" width="21.140625" style="32" customWidth="1"/>
    <col min="8459" max="8704" width="9" style="32"/>
    <col min="8705" max="8705" width="9" style="32" hidden="1" customWidth="1"/>
    <col min="8706" max="8706" width="5.5703125" style="32" customWidth="1"/>
    <col min="8707" max="8707" width="34.140625" style="32" customWidth="1"/>
    <col min="8708" max="8708" width="9" style="32" hidden="1" customWidth="1"/>
    <col min="8709" max="8709" width="10.140625" style="32" customWidth="1"/>
    <col min="8710" max="8710" width="9.85546875" style="32" customWidth="1"/>
    <col min="8711" max="8711" width="11.42578125" style="32" customWidth="1"/>
    <col min="8712" max="8712" width="14" style="32" customWidth="1"/>
    <col min="8713" max="8713" width="11.42578125" style="32" customWidth="1"/>
    <col min="8714" max="8714" width="21.140625" style="32" customWidth="1"/>
    <col min="8715" max="8960" width="9" style="32"/>
    <col min="8961" max="8961" width="9" style="32" hidden="1" customWidth="1"/>
    <col min="8962" max="8962" width="5.5703125" style="32" customWidth="1"/>
    <col min="8963" max="8963" width="34.140625" style="32" customWidth="1"/>
    <col min="8964" max="8964" width="9" style="32" hidden="1" customWidth="1"/>
    <col min="8965" max="8965" width="10.140625" style="32" customWidth="1"/>
    <col min="8966" max="8966" width="9.85546875" style="32" customWidth="1"/>
    <col min="8967" max="8967" width="11.42578125" style="32" customWidth="1"/>
    <col min="8968" max="8968" width="14" style="32" customWidth="1"/>
    <col min="8969" max="8969" width="11.42578125" style="32" customWidth="1"/>
    <col min="8970" max="8970" width="21.140625" style="32" customWidth="1"/>
    <col min="8971" max="9216" width="9" style="32"/>
    <col min="9217" max="9217" width="9" style="32" hidden="1" customWidth="1"/>
    <col min="9218" max="9218" width="5.5703125" style="32" customWidth="1"/>
    <col min="9219" max="9219" width="34.140625" style="32" customWidth="1"/>
    <col min="9220" max="9220" width="9" style="32" hidden="1" customWidth="1"/>
    <col min="9221" max="9221" width="10.140625" style="32" customWidth="1"/>
    <col min="9222" max="9222" width="9.85546875" style="32" customWidth="1"/>
    <col min="9223" max="9223" width="11.42578125" style="32" customWidth="1"/>
    <col min="9224" max="9224" width="14" style="32" customWidth="1"/>
    <col min="9225" max="9225" width="11.42578125" style="32" customWidth="1"/>
    <col min="9226" max="9226" width="21.140625" style="32" customWidth="1"/>
    <col min="9227" max="9472" width="9" style="32"/>
    <col min="9473" max="9473" width="9" style="32" hidden="1" customWidth="1"/>
    <col min="9474" max="9474" width="5.5703125" style="32" customWidth="1"/>
    <col min="9475" max="9475" width="34.140625" style="32" customWidth="1"/>
    <col min="9476" max="9476" width="9" style="32" hidden="1" customWidth="1"/>
    <col min="9477" max="9477" width="10.140625" style="32" customWidth="1"/>
    <col min="9478" max="9478" width="9.85546875" style="32" customWidth="1"/>
    <col min="9479" max="9479" width="11.42578125" style="32" customWidth="1"/>
    <col min="9480" max="9480" width="14" style="32" customWidth="1"/>
    <col min="9481" max="9481" width="11.42578125" style="32" customWidth="1"/>
    <col min="9482" max="9482" width="21.140625" style="32" customWidth="1"/>
    <col min="9483" max="9728" width="9" style="32"/>
    <col min="9729" max="9729" width="9" style="32" hidden="1" customWidth="1"/>
    <col min="9730" max="9730" width="5.5703125" style="32" customWidth="1"/>
    <col min="9731" max="9731" width="34.140625" style="32" customWidth="1"/>
    <col min="9732" max="9732" width="9" style="32" hidden="1" customWidth="1"/>
    <col min="9733" max="9733" width="10.140625" style="32" customWidth="1"/>
    <col min="9734" max="9734" width="9.85546875" style="32" customWidth="1"/>
    <col min="9735" max="9735" width="11.42578125" style="32" customWidth="1"/>
    <col min="9736" max="9736" width="14" style="32" customWidth="1"/>
    <col min="9737" max="9737" width="11.42578125" style="32" customWidth="1"/>
    <col min="9738" max="9738" width="21.140625" style="32" customWidth="1"/>
    <col min="9739" max="9984" width="9" style="32"/>
    <col min="9985" max="9985" width="9" style="32" hidden="1" customWidth="1"/>
    <col min="9986" max="9986" width="5.5703125" style="32" customWidth="1"/>
    <col min="9987" max="9987" width="34.140625" style="32" customWidth="1"/>
    <col min="9988" max="9988" width="9" style="32" hidden="1" customWidth="1"/>
    <col min="9989" max="9989" width="10.140625" style="32" customWidth="1"/>
    <col min="9990" max="9990" width="9.85546875" style="32" customWidth="1"/>
    <col min="9991" max="9991" width="11.42578125" style="32" customWidth="1"/>
    <col min="9992" max="9992" width="14" style="32" customWidth="1"/>
    <col min="9993" max="9993" width="11.42578125" style="32" customWidth="1"/>
    <col min="9994" max="9994" width="21.140625" style="32" customWidth="1"/>
    <col min="9995" max="10240" width="9" style="32"/>
    <col min="10241" max="10241" width="9" style="32" hidden="1" customWidth="1"/>
    <col min="10242" max="10242" width="5.5703125" style="32" customWidth="1"/>
    <col min="10243" max="10243" width="34.140625" style="32" customWidth="1"/>
    <col min="10244" max="10244" width="9" style="32" hidden="1" customWidth="1"/>
    <col min="10245" max="10245" width="10.140625" style="32" customWidth="1"/>
    <col min="10246" max="10246" width="9.85546875" style="32" customWidth="1"/>
    <col min="10247" max="10247" width="11.42578125" style="32" customWidth="1"/>
    <col min="10248" max="10248" width="14" style="32" customWidth="1"/>
    <col min="10249" max="10249" width="11.42578125" style="32" customWidth="1"/>
    <col min="10250" max="10250" width="21.140625" style="32" customWidth="1"/>
    <col min="10251" max="10496" width="9" style="32"/>
    <col min="10497" max="10497" width="9" style="32" hidden="1" customWidth="1"/>
    <col min="10498" max="10498" width="5.5703125" style="32" customWidth="1"/>
    <col min="10499" max="10499" width="34.140625" style="32" customWidth="1"/>
    <col min="10500" max="10500" width="9" style="32" hidden="1" customWidth="1"/>
    <col min="10501" max="10501" width="10.140625" style="32" customWidth="1"/>
    <col min="10502" max="10502" width="9.85546875" style="32" customWidth="1"/>
    <col min="10503" max="10503" width="11.42578125" style="32" customWidth="1"/>
    <col min="10504" max="10504" width="14" style="32" customWidth="1"/>
    <col min="10505" max="10505" width="11.42578125" style="32" customWidth="1"/>
    <col min="10506" max="10506" width="21.140625" style="32" customWidth="1"/>
    <col min="10507" max="10752" width="9" style="32"/>
    <col min="10753" max="10753" width="9" style="32" hidden="1" customWidth="1"/>
    <col min="10754" max="10754" width="5.5703125" style="32" customWidth="1"/>
    <col min="10755" max="10755" width="34.140625" style="32" customWidth="1"/>
    <col min="10756" max="10756" width="9" style="32" hidden="1" customWidth="1"/>
    <col min="10757" max="10757" width="10.140625" style="32" customWidth="1"/>
    <col min="10758" max="10758" width="9.85546875" style="32" customWidth="1"/>
    <col min="10759" max="10759" width="11.42578125" style="32" customWidth="1"/>
    <col min="10760" max="10760" width="14" style="32" customWidth="1"/>
    <col min="10761" max="10761" width="11.42578125" style="32" customWidth="1"/>
    <col min="10762" max="10762" width="21.140625" style="32" customWidth="1"/>
    <col min="10763" max="11008" width="9" style="32"/>
    <col min="11009" max="11009" width="9" style="32" hidden="1" customWidth="1"/>
    <col min="11010" max="11010" width="5.5703125" style="32" customWidth="1"/>
    <col min="11011" max="11011" width="34.140625" style="32" customWidth="1"/>
    <col min="11012" max="11012" width="9" style="32" hidden="1" customWidth="1"/>
    <col min="11013" max="11013" width="10.140625" style="32" customWidth="1"/>
    <col min="11014" max="11014" width="9.85546875" style="32" customWidth="1"/>
    <col min="11015" max="11015" width="11.42578125" style="32" customWidth="1"/>
    <col min="11016" max="11016" width="14" style="32" customWidth="1"/>
    <col min="11017" max="11017" width="11.42578125" style="32" customWidth="1"/>
    <col min="11018" max="11018" width="21.140625" style="32" customWidth="1"/>
    <col min="11019" max="11264" width="9" style="32"/>
    <col min="11265" max="11265" width="9" style="32" hidden="1" customWidth="1"/>
    <col min="11266" max="11266" width="5.5703125" style="32" customWidth="1"/>
    <col min="11267" max="11267" width="34.140625" style="32" customWidth="1"/>
    <col min="11268" max="11268" width="9" style="32" hidden="1" customWidth="1"/>
    <col min="11269" max="11269" width="10.140625" style="32" customWidth="1"/>
    <col min="11270" max="11270" width="9.85546875" style="32" customWidth="1"/>
    <col min="11271" max="11271" width="11.42578125" style="32" customWidth="1"/>
    <col min="11272" max="11272" width="14" style="32" customWidth="1"/>
    <col min="11273" max="11273" width="11.42578125" style="32" customWidth="1"/>
    <col min="11274" max="11274" width="21.140625" style="32" customWidth="1"/>
    <col min="11275" max="11520" width="9" style="32"/>
    <col min="11521" max="11521" width="9" style="32" hidden="1" customWidth="1"/>
    <col min="11522" max="11522" width="5.5703125" style="32" customWidth="1"/>
    <col min="11523" max="11523" width="34.140625" style="32" customWidth="1"/>
    <col min="11524" max="11524" width="9" style="32" hidden="1" customWidth="1"/>
    <col min="11525" max="11525" width="10.140625" style="32" customWidth="1"/>
    <col min="11526" max="11526" width="9.85546875" style="32" customWidth="1"/>
    <col min="11527" max="11527" width="11.42578125" style="32" customWidth="1"/>
    <col min="11528" max="11528" width="14" style="32" customWidth="1"/>
    <col min="11529" max="11529" width="11.42578125" style="32" customWidth="1"/>
    <col min="11530" max="11530" width="21.140625" style="32" customWidth="1"/>
    <col min="11531" max="11776" width="9" style="32"/>
    <col min="11777" max="11777" width="9" style="32" hidden="1" customWidth="1"/>
    <col min="11778" max="11778" width="5.5703125" style="32" customWidth="1"/>
    <col min="11779" max="11779" width="34.140625" style="32" customWidth="1"/>
    <col min="11780" max="11780" width="9" style="32" hidden="1" customWidth="1"/>
    <col min="11781" max="11781" width="10.140625" style="32" customWidth="1"/>
    <col min="11782" max="11782" width="9.85546875" style="32" customWidth="1"/>
    <col min="11783" max="11783" width="11.42578125" style="32" customWidth="1"/>
    <col min="11784" max="11784" width="14" style="32" customWidth="1"/>
    <col min="11785" max="11785" width="11.42578125" style="32" customWidth="1"/>
    <col min="11786" max="11786" width="21.140625" style="32" customWidth="1"/>
    <col min="11787" max="12032" width="9" style="32"/>
    <col min="12033" max="12033" width="9" style="32" hidden="1" customWidth="1"/>
    <col min="12034" max="12034" width="5.5703125" style="32" customWidth="1"/>
    <col min="12035" max="12035" width="34.140625" style="32" customWidth="1"/>
    <col min="12036" max="12036" width="9" style="32" hidden="1" customWidth="1"/>
    <col min="12037" max="12037" width="10.140625" style="32" customWidth="1"/>
    <col min="12038" max="12038" width="9.85546875" style="32" customWidth="1"/>
    <col min="12039" max="12039" width="11.42578125" style="32" customWidth="1"/>
    <col min="12040" max="12040" width="14" style="32" customWidth="1"/>
    <col min="12041" max="12041" width="11.42578125" style="32" customWidth="1"/>
    <col min="12042" max="12042" width="21.140625" style="32" customWidth="1"/>
    <col min="12043" max="12288" width="9" style="32"/>
    <col min="12289" max="12289" width="9" style="32" hidden="1" customWidth="1"/>
    <col min="12290" max="12290" width="5.5703125" style="32" customWidth="1"/>
    <col min="12291" max="12291" width="34.140625" style="32" customWidth="1"/>
    <col min="12292" max="12292" width="9" style="32" hidden="1" customWidth="1"/>
    <col min="12293" max="12293" width="10.140625" style="32" customWidth="1"/>
    <col min="12294" max="12294" width="9.85546875" style="32" customWidth="1"/>
    <col min="12295" max="12295" width="11.42578125" style="32" customWidth="1"/>
    <col min="12296" max="12296" width="14" style="32" customWidth="1"/>
    <col min="12297" max="12297" width="11.42578125" style="32" customWidth="1"/>
    <col min="12298" max="12298" width="21.140625" style="32" customWidth="1"/>
    <col min="12299" max="12544" width="9" style="32"/>
    <col min="12545" max="12545" width="9" style="32" hidden="1" customWidth="1"/>
    <col min="12546" max="12546" width="5.5703125" style="32" customWidth="1"/>
    <col min="12547" max="12547" width="34.140625" style="32" customWidth="1"/>
    <col min="12548" max="12548" width="9" style="32" hidden="1" customWidth="1"/>
    <col min="12549" max="12549" width="10.140625" style="32" customWidth="1"/>
    <col min="12550" max="12550" width="9.85546875" style="32" customWidth="1"/>
    <col min="12551" max="12551" width="11.42578125" style="32" customWidth="1"/>
    <col min="12552" max="12552" width="14" style="32" customWidth="1"/>
    <col min="12553" max="12553" width="11.42578125" style="32" customWidth="1"/>
    <col min="12554" max="12554" width="21.140625" style="32" customWidth="1"/>
    <col min="12555" max="12800" width="9" style="32"/>
    <col min="12801" max="12801" width="9" style="32" hidden="1" customWidth="1"/>
    <col min="12802" max="12802" width="5.5703125" style="32" customWidth="1"/>
    <col min="12803" max="12803" width="34.140625" style="32" customWidth="1"/>
    <col min="12804" max="12804" width="9" style="32" hidden="1" customWidth="1"/>
    <col min="12805" max="12805" width="10.140625" style="32" customWidth="1"/>
    <col min="12806" max="12806" width="9.85546875" style="32" customWidth="1"/>
    <col min="12807" max="12807" width="11.42578125" style="32" customWidth="1"/>
    <col min="12808" max="12808" width="14" style="32" customWidth="1"/>
    <col min="12809" max="12809" width="11.42578125" style="32" customWidth="1"/>
    <col min="12810" max="12810" width="21.140625" style="32" customWidth="1"/>
    <col min="12811" max="13056" width="9" style="32"/>
    <col min="13057" max="13057" width="9" style="32" hidden="1" customWidth="1"/>
    <col min="13058" max="13058" width="5.5703125" style="32" customWidth="1"/>
    <col min="13059" max="13059" width="34.140625" style="32" customWidth="1"/>
    <col min="13060" max="13060" width="9" style="32" hidden="1" customWidth="1"/>
    <col min="13061" max="13061" width="10.140625" style="32" customWidth="1"/>
    <col min="13062" max="13062" width="9.85546875" style="32" customWidth="1"/>
    <col min="13063" max="13063" width="11.42578125" style="32" customWidth="1"/>
    <col min="13064" max="13064" width="14" style="32" customWidth="1"/>
    <col min="13065" max="13065" width="11.42578125" style="32" customWidth="1"/>
    <col min="13066" max="13066" width="21.140625" style="32" customWidth="1"/>
    <col min="13067" max="13312" width="9" style="32"/>
    <col min="13313" max="13313" width="9" style="32" hidden="1" customWidth="1"/>
    <col min="13314" max="13314" width="5.5703125" style="32" customWidth="1"/>
    <col min="13315" max="13315" width="34.140625" style="32" customWidth="1"/>
    <col min="13316" max="13316" width="9" style="32" hidden="1" customWidth="1"/>
    <col min="13317" max="13317" width="10.140625" style="32" customWidth="1"/>
    <col min="13318" max="13318" width="9.85546875" style="32" customWidth="1"/>
    <col min="13319" max="13319" width="11.42578125" style="32" customWidth="1"/>
    <col min="13320" max="13320" width="14" style="32" customWidth="1"/>
    <col min="13321" max="13321" width="11.42578125" style="32" customWidth="1"/>
    <col min="13322" max="13322" width="21.140625" style="32" customWidth="1"/>
    <col min="13323" max="13568" width="9" style="32"/>
    <col min="13569" max="13569" width="9" style="32" hidden="1" customWidth="1"/>
    <col min="13570" max="13570" width="5.5703125" style="32" customWidth="1"/>
    <col min="13571" max="13571" width="34.140625" style="32" customWidth="1"/>
    <col min="13572" max="13572" width="9" style="32" hidden="1" customWidth="1"/>
    <col min="13573" max="13573" width="10.140625" style="32" customWidth="1"/>
    <col min="13574" max="13574" width="9.85546875" style="32" customWidth="1"/>
    <col min="13575" max="13575" width="11.42578125" style="32" customWidth="1"/>
    <col min="13576" max="13576" width="14" style="32" customWidth="1"/>
    <col min="13577" max="13577" width="11.42578125" style="32" customWidth="1"/>
    <col min="13578" max="13578" width="21.140625" style="32" customWidth="1"/>
    <col min="13579" max="13824" width="9" style="32"/>
    <col min="13825" max="13825" width="9" style="32" hidden="1" customWidth="1"/>
    <col min="13826" max="13826" width="5.5703125" style="32" customWidth="1"/>
    <col min="13827" max="13827" width="34.140625" style="32" customWidth="1"/>
    <col min="13828" max="13828" width="9" style="32" hidden="1" customWidth="1"/>
    <col min="13829" max="13829" width="10.140625" style="32" customWidth="1"/>
    <col min="13830" max="13830" width="9.85546875" style="32" customWidth="1"/>
    <col min="13831" max="13831" width="11.42578125" style="32" customWidth="1"/>
    <col min="13832" max="13832" width="14" style="32" customWidth="1"/>
    <col min="13833" max="13833" width="11.42578125" style="32" customWidth="1"/>
    <col min="13834" max="13834" width="21.140625" style="32" customWidth="1"/>
    <col min="13835" max="14080" width="9" style="32"/>
    <col min="14081" max="14081" width="9" style="32" hidden="1" customWidth="1"/>
    <col min="14082" max="14082" width="5.5703125" style="32" customWidth="1"/>
    <col min="14083" max="14083" width="34.140625" style="32" customWidth="1"/>
    <col min="14084" max="14084" width="9" style="32" hidden="1" customWidth="1"/>
    <col min="14085" max="14085" width="10.140625" style="32" customWidth="1"/>
    <col min="14086" max="14086" width="9.85546875" style="32" customWidth="1"/>
    <col min="14087" max="14087" width="11.42578125" style="32" customWidth="1"/>
    <col min="14088" max="14088" width="14" style="32" customWidth="1"/>
    <col min="14089" max="14089" width="11.42578125" style="32" customWidth="1"/>
    <col min="14090" max="14090" width="21.140625" style="32" customWidth="1"/>
    <col min="14091" max="14336" width="9" style="32"/>
    <col min="14337" max="14337" width="9" style="32" hidden="1" customWidth="1"/>
    <col min="14338" max="14338" width="5.5703125" style="32" customWidth="1"/>
    <col min="14339" max="14339" width="34.140625" style="32" customWidth="1"/>
    <col min="14340" max="14340" width="9" style="32" hidden="1" customWidth="1"/>
    <col min="14341" max="14341" width="10.140625" style="32" customWidth="1"/>
    <col min="14342" max="14342" width="9.85546875" style="32" customWidth="1"/>
    <col min="14343" max="14343" width="11.42578125" style="32" customWidth="1"/>
    <col min="14344" max="14344" width="14" style="32" customWidth="1"/>
    <col min="14345" max="14345" width="11.42578125" style="32" customWidth="1"/>
    <col min="14346" max="14346" width="21.140625" style="32" customWidth="1"/>
    <col min="14347" max="14592" width="9" style="32"/>
    <col min="14593" max="14593" width="9" style="32" hidden="1" customWidth="1"/>
    <col min="14594" max="14594" width="5.5703125" style="32" customWidth="1"/>
    <col min="14595" max="14595" width="34.140625" style="32" customWidth="1"/>
    <col min="14596" max="14596" width="9" style="32" hidden="1" customWidth="1"/>
    <col min="14597" max="14597" width="10.140625" style="32" customWidth="1"/>
    <col min="14598" max="14598" width="9.85546875" style="32" customWidth="1"/>
    <col min="14599" max="14599" width="11.42578125" style="32" customWidth="1"/>
    <col min="14600" max="14600" width="14" style="32" customWidth="1"/>
    <col min="14601" max="14601" width="11.42578125" style="32" customWidth="1"/>
    <col min="14602" max="14602" width="21.140625" style="32" customWidth="1"/>
    <col min="14603" max="14848" width="9" style="32"/>
    <col min="14849" max="14849" width="9" style="32" hidden="1" customWidth="1"/>
    <col min="14850" max="14850" width="5.5703125" style="32" customWidth="1"/>
    <col min="14851" max="14851" width="34.140625" style="32" customWidth="1"/>
    <col min="14852" max="14852" width="9" style="32" hidden="1" customWidth="1"/>
    <col min="14853" max="14853" width="10.140625" style="32" customWidth="1"/>
    <col min="14854" max="14854" width="9.85546875" style="32" customWidth="1"/>
    <col min="14855" max="14855" width="11.42578125" style="32" customWidth="1"/>
    <col min="14856" max="14856" width="14" style="32" customWidth="1"/>
    <col min="14857" max="14857" width="11.42578125" style="32" customWidth="1"/>
    <col min="14858" max="14858" width="21.140625" style="32" customWidth="1"/>
    <col min="14859" max="15104" width="9" style="32"/>
    <col min="15105" max="15105" width="9" style="32" hidden="1" customWidth="1"/>
    <col min="15106" max="15106" width="5.5703125" style="32" customWidth="1"/>
    <col min="15107" max="15107" width="34.140625" style="32" customWidth="1"/>
    <col min="15108" max="15108" width="9" style="32" hidden="1" customWidth="1"/>
    <col min="15109" max="15109" width="10.140625" style="32" customWidth="1"/>
    <col min="15110" max="15110" width="9.85546875" style="32" customWidth="1"/>
    <col min="15111" max="15111" width="11.42578125" style="32" customWidth="1"/>
    <col min="15112" max="15112" width="14" style="32" customWidth="1"/>
    <col min="15113" max="15113" width="11.42578125" style="32" customWidth="1"/>
    <col min="15114" max="15114" width="21.140625" style="32" customWidth="1"/>
    <col min="15115" max="15360" width="9" style="32"/>
    <col min="15361" max="15361" width="9" style="32" hidden="1" customWidth="1"/>
    <col min="15362" max="15362" width="5.5703125" style="32" customWidth="1"/>
    <col min="15363" max="15363" width="34.140625" style="32" customWidth="1"/>
    <col min="15364" max="15364" width="9" style="32" hidden="1" customWidth="1"/>
    <col min="15365" max="15365" width="10.140625" style="32" customWidth="1"/>
    <col min="15366" max="15366" width="9.85546875" style="32" customWidth="1"/>
    <col min="15367" max="15367" width="11.42578125" style="32" customWidth="1"/>
    <col min="15368" max="15368" width="14" style="32" customWidth="1"/>
    <col min="15369" max="15369" width="11.42578125" style="32" customWidth="1"/>
    <col min="15370" max="15370" width="21.140625" style="32" customWidth="1"/>
    <col min="15371" max="15616" width="9" style="32"/>
    <col min="15617" max="15617" width="9" style="32" hidden="1" customWidth="1"/>
    <col min="15618" max="15618" width="5.5703125" style="32" customWidth="1"/>
    <col min="15619" max="15619" width="34.140625" style="32" customWidth="1"/>
    <col min="15620" max="15620" width="9" style="32" hidden="1" customWidth="1"/>
    <col min="15621" max="15621" width="10.140625" style="32" customWidth="1"/>
    <col min="15622" max="15622" width="9.85546875" style="32" customWidth="1"/>
    <col min="15623" max="15623" width="11.42578125" style="32" customWidth="1"/>
    <col min="15624" max="15624" width="14" style="32" customWidth="1"/>
    <col min="15625" max="15625" width="11.42578125" style="32" customWidth="1"/>
    <col min="15626" max="15626" width="21.140625" style="32" customWidth="1"/>
    <col min="15627" max="15872" width="9" style="32"/>
    <col min="15873" max="15873" width="9" style="32" hidden="1" customWidth="1"/>
    <col min="15874" max="15874" width="5.5703125" style="32" customWidth="1"/>
    <col min="15875" max="15875" width="34.140625" style="32" customWidth="1"/>
    <col min="15876" max="15876" width="9" style="32" hidden="1" customWidth="1"/>
    <col min="15877" max="15877" width="10.140625" style="32" customWidth="1"/>
    <col min="15878" max="15878" width="9.85546875" style="32" customWidth="1"/>
    <col min="15879" max="15879" width="11.42578125" style="32" customWidth="1"/>
    <col min="15880" max="15880" width="14" style="32" customWidth="1"/>
    <col min="15881" max="15881" width="11.42578125" style="32" customWidth="1"/>
    <col min="15882" max="15882" width="21.140625" style="32" customWidth="1"/>
    <col min="15883" max="16128" width="9" style="32"/>
    <col min="16129" max="16129" width="9" style="32" hidden="1" customWidth="1"/>
    <col min="16130" max="16130" width="5.5703125" style="32" customWidth="1"/>
    <col min="16131" max="16131" width="34.140625" style="32" customWidth="1"/>
    <col min="16132" max="16132" width="9" style="32" hidden="1" customWidth="1"/>
    <col min="16133" max="16133" width="10.140625" style="32" customWidth="1"/>
    <col min="16134" max="16134" width="9.85546875" style="32" customWidth="1"/>
    <col min="16135" max="16135" width="11.42578125" style="32" customWidth="1"/>
    <col min="16136" max="16136" width="14" style="32" customWidth="1"/>
    <col min="16137" max="16137" width="11.42578125" style="32" customWidth="1"/>
    <col min="16138" max="16138" width="21.140625" style="32" customWidth="1"/>
    <col min="16139" max="16384" width="9" style="32"/>
  </cols>
  <sheetData>
    <row r="1" spans="1:14" ht="15.75" customHeight="1" thickTop="1" x14ac:dyDescent="0.25">
      <c r="B1" s="248" t="s">
        <v>108</v>
      </c>
      <c r="C1" s="249"/>
      <c r="D1" s="249"/>
      <c r="E1" s="249"/>
      <c r="F1" s="249"/>
      <c r="G1" s="249"/>
      <c r="H1" s="250"/>
      <c r="K1" s="32"/>
    </row>
    <row r="2" spans="1:14" ht="15" x14ac:dyDescent="0.25">
      <c r="B2" s="151"/>
      <c r="C2" s="153"/>
      <c r="D2" s="153"/>
      <c r="E2" s="153"/>
      <c r="F2" s="149"/>
      <c r="G2" s="153"/>
      <c r="H2" s="218"/>
      <c r="K2" s="32"/>
    </row>
    <row r="3" spans="1:14" ht="15" x14ac:dyDescent="0.25">
      <c r="B3" s="151"/>
      <c r="C3" s="153"/>
      <c r="D3" s="153"/>
      <c r="E3" s="153"/>
      <c r="F3" s="153"/>
      <c r="G3" s="153"/>
      <c r="H3" s="219"/>
      <c r="K3" s="32"/>
    </row>
    <row r="4" spans="1:14" ht="15" x14ac:dyDescent="0.25">
      <c r="B4" s="151"/>
      <c r="C4" s="152" t="s">
        <v>129</v>
      </c>
      <c r="D4" s="153"/>
      <c r="E4" s="153"/>
      <c r="F4" s="153"/>
      <c r="G4" s="153"/>
      <c r="H4" s="219"/>
      <c r="K4" s="32"/>
    </row>
    <row r="5" spans="1:14" ht="21.95" customHeight="1" x14ac:dyDescent="0.25">
      <c r="B5" s="65"/>
      <c r="C5" s="215"/>
      <c r="E5" s="67"/>
      <c r="F5" s="68"/>
      <c r="H5" s="178"/>
    </row>
    <row r="6" spans="1:14" s="1" customFormat="1" ht="15" x14ac:dyDescent="0.25">
      <c r="A6" s="32"/>
      <c r="B6" s="65"/>
      <c r="C6" s="66" t="s">
        <v>62</v>
      </c>
      <c r="D6" s="213"/>
      <c r="E6" s="67"/>
      <c r="F6" s="68"/>
      <c r="G6" s="69"/>
      <c r="H6" s="178"/>
      <c r="L6" s="32"/>
      <c r="M6" s="32"/>
      <c r="N6" s="32"/>
    </row>
    <row r="7" spans="1:14" s="1" customFormat="1" ht="15" x14ac:dyDescent="0.25">
      <c r="A7" s="32"/>
      <c r="B7" s="65"/>
      <c r="C7" s="66"/>
      <c r="D7" s="213"/>
      <c r="E7" s="67"/>
      <c r="F7" s="68"/>
      <c r="G7" s="69"/>
      <c r="H7" s="178"/>
      <c r="L7" s="32"/>
      <c r="M7" s="32"/>
      <c r="N7" s="32"/>
    </row>
    <row r="8" spans="1:14" s="1" customFormat="1" ht="15" x14ac:dyDescent="0.25">
      <c r="A8" s="32"/>
      <c r="B8" s="65"/>
      <c r="C8" s="66"/>
      <c r="D8" s="213"/>
      <c r="E8" s="67"/>
      <c r="F8" s="68"/>
      <c r="G8" s="69"/>
      <c r="H8" s="178"/>
      <c r="L8" s="32"/>
      <c r="M8" s="32"/>
      <c r="N8" s="32"/>
    </row>
    <row r="9" spans="1:14" s="1" customFormat="1" ht="15" x14ac:dyDescent="0.25">
      <c r="A9" s="32"/>
      <c r="B9" s="214" t="s">
        <v>6</v>
      </c>
      <c r="C9" s="215" t="s">
        <v>63</v>
      </c>
      <c r="D9" s="213"/>
      <c r="E9" s="67"/>
      <c r="F9" s="68"/>
      <c r="G9" s="69"/>
      <c r="H9" s="178">
        <f>H54</f>
        <v>72666000</v>
      </c>
      <c r="L9" s="32"/>
      <c r="M9" s="32"/>
      <c r="N9" s="32"/>
    </row>
    <row r="10" spans="1:14" s="1" customFormat="1" ht="15" x14ac:dyDescent="0.25">
      <c r="A10" s="32"/>
      <c r="B10" s="214"/>
      <c r="C10" s="215"/>
      <c r="D10" s="213"/>
      <c r="E10" s="67"/>
      <c r="F10" s="68"/>
      <c r="G10" s="69"/>
      <c r="H10" s="178"/>
      <c r="L10" s="32"/>
      <c r="M10" s="32"/>
      <c r="N10" s="32"/>
    </row>
    <row r="11" spans="1:14" s="1" customFormat="1" ht="15" x14ac:dyDescent="0.25">
      <c r="A11" s="32"/>
      <c r="B11" s="214"/>
      <c r="C11" s="215"/>
      <c r="D11" s="213"/>
      <c r="E11" s="67"/>
      <c r="F11" s="68"/>
      <c r="G11" s="69"/>
      <c r="H11" s="178"/>
      <c r="L11" s="32"/>
      <c r="M11" s="32"/>
      <c r="N11" s="32"/>
    </row>
    <row r="12" spans="1:14" s="1" customFormat="1" ht="15" x14ac:dyDescent="0.25">
      <c r="A12" s="32"/>
      <c r="B12" s="214"/>
      <c r="C12" s="215"/>
      <c r="D12" s="213"/>
      <c r="E12" s="67"/>
      <c r="F12" s="68"/>
      <c r="G12" s="69"/>
      <c r="H12" s="178"/>
      <c r="L12" s="32"/>
      <c r="M12" s="32"/>
      <c r="N12" s="32"/>
    </row>
    <row r="13" spans="1:14" s="1" customFormat="1" ht="15" x14ac:dyDescent="0.25">
      <c r="A13" s="32"/>
      <c r="B13" s="214" t="s">
        <v>24</v>
      </c>
      <c r="C13" s="215" t="s">
        <v>81</v>
      </c>
      <c r="D13" s="213"/>
      <c r="E13" s="67"/>
      <c r="F13" s="68"/>
      <c r="G13" s="69"/>
      <c r="H13" s="178">
        <f>H76</f>
        <v>101790000</v>
      </c>
      <c r="L13" s="32"/>
      <c r="M13" s="32"/>
      <c r="N13" s="32"/>
    </row>
    <row r="14" spans="1:14" s="1" customFormat="1" ht="15" x14ac:dyDescent="0.25">
      <c r="A14" s="32"/>
      <c r="B14" s="214"/>
      <c r="C14" s="215"/>
      <c r="D14" s="213"/>
      <c r="E14" s="67"/>
      <c r="F14" s="68"/>
      <c r="G14" s="69"/>
      <c r="H14" s="178"/>
      <c r="L14" s="32"/>
      <c r="M14" s="32"/>
      <c r="N14" s="32"/>
    </row>
    <row r="15" spans="1:14" s="1" customFormat="1" ht="15" x14ac:dyDescent="0.25">
      <c r="A15" s="32"/>
      <c r="B15" s="214"/>
      <c r="C15" s="215"/>
      <c r="D15" s="213"/>
      <c r="E15" s="67"/>
      <c r="F15" s="68"/>
      <c r="G15" s="69"/>
      <c r="H15" s="178"/>
      <c r="L15" s="32"/>
      <c r="M15" s="32"/>
      <c r="N15" s="32"/>
    </row>
    <row r="16" spans="1:14" s="1" customFormat="1" ht="15" x14ac:dyDescent="0.25">
      <c r="A16" s="32"/>
      <c r="B16" s="214"/>
      <c r="C16" s="215"/>
      <c r="D16" s="213"/>
      <c r="E16" s="67"/>
      <c r="F16" s="68"/>
      <c r="G16" s="69"/>
      <c r="H16" s="178"/>
      <c r="L16" s="32"/>
      <c r="M16" s="32"/>
      <c r="N16" s="32"/>
    </row>
    <row r="17" spans="1:14" s="1" customFormat="1" ht="15" x14ac:dyDescent="0.25">
      <c r="A17" s="32"/>
      <c r="B17" s="214" t="s">
        <v>47</v>
      </c>
      <c r="C17" s="215" t="s">
        <v>82</v>
      </c>
      <c r="D17" s="213"/>
      <c r="E17" s="67"/>
      <c r="F17" s="68"/>
      <c r="G17" s="69"/>
      <c r="H17" s="178">
        <f>H94</f>
        <v>71900000</v>
      </c>
      <c r="L17" s="32"/>
      <c r="M17" s="32"/>
      <c r="N17" s="32"/>
    </row>
    <row r="18" spans="1:14" s="1" customFormat="1" ht="15" x14ac:dyDescent="0.25">
      <c r="A18" s="32"/>
      <c r="B18" s="214"/>
      <c r="C18" s="215"/>
      <c r="D18" s="213"/>
      <c r="E18" s="67"/>
      <c r="F18" s="68"/>
      <c r="G18" s="69"/>
      <c r="H18" s="178"/>
      <c r="L18" s="32"/>
      <c r="M18" s="32"/>
      <c r="N18" s="32"/>
    </row>
    <row r="19" spans="1:14" s="1" customFormat="1" ht="15" x14ac:dyDescent="0.25">
      <c r="A19" s="32"/>
      <c r="B19" s="214"/>
      <c r="C19" s="215"/>
      <c r="D19" s="213"/>
      <c r="E19" s="67"/>
      <c r="F19" s="68"/>
      <c r="G19" s="69"/>
      <c r="H19" s="178"/>
      <c r="L19" s="32"/>
      <c r="M19" s="32"/>
      <c r="N19" s="32"/>
    </row>
    <row r="20" spans="1:14" s="1" customFormat="1" ht="15" x14ac:dyDescent="0.25">
      <c r="A20" s="32"/>
      <c r="B20" s="214"/>
      <c r="C20" s="215"/>
      <c r="D20" s="213"/>
      <c r="E20" s="67"/>
      <c r="F20" s="68"/>
      <c r="G20" s="69"/>
      <c r="H20" s="178"/>
      <c r="L20" s="32"/>
      <c r="M20" s="32"/>
      <c r="N20" s="32"/>
    </row>
    <row r="21" spans="1:14" s="1" customFormat="1" ht="15" x14ac:dyDescent="0.25">
      <c r="A21" s="32"/>
      <c r="B21" s="214" t="s">
        <v>118</v>
      </c>
      <c r="C21" s="215" t="s">
        <v>127</v>
      </c>
      <c r="D21" s="213"/>
      <c r="E21" s="67"/>
      <c r="F21" s="68"/>
      <c r="G21" s="69"/>
      <c r="H21" s="178">
        <f>H110</f>
        <v>39352000</v>
      </c>
      <c r="L21" s="32"/>
      <c r="M21" s="32"/>
      <c r="N21" s="32"/>
    </row>
    <row r="22" spans="1:14" s="1" customFormat="1" ht="15" x14ac:dyDescent="0.25">
      <c r="A22" s="32"/>
      <c r="B22" s="214"/>
      <c r="C22" s="215"/>
      <c r="D22" s="213"/>
      <c r="E22" s="67"/>
      <c r="F22" s="68"/>
      <c r="G22" s="69"/>
      <c r="H22" s="178"/>
      <c r="L22" s="32"/>
      <c r="M22" s="32"/>
      <c r="N22" s="32"/>
    </row>
    <row r="23" spans="1:14" s="1" customFormat="1" ht="15" x14ac:dyDescent="0.25">
      <c r="A23" s="32"/>
      <c r="B23" s="214"/>
      <c r="C23" s="215"/>
      <c r="D23" s="213"/>
      <c r="E23" s="67"/>
      <c r="F23" s="68"/>
      <c r="G23" s="69"/>
      <c r="H23" s="178"/>
      <c r="L23" s="32"/>
      <c r="M23" s="32"/>
      <c r="N23" s="32"/>
    </row>
    <row r="24" spans="1:14" s="1" customFormat="1" ht="15" x14ac:dyDescent="0.25">
      <c r="A24" s="32"/>
      <c r="B24" s="214"/>
      <c r="C24" s="215"/>
      <c r="D24" s="213"/>
      <c r="E24" s="67"/>
      <c r="F24" s="68"/>
      <c r="G24" s="69"/>
      <c r="H24" s="178"/>
      <c r="L24" s="32"/>
      <c r="M24" s="32"/>
      <c r="N24" s="32"/>
    </row>
    <row r="25" spans="1:14" s="1" customFormat="1" ht="15" x14ac:dyDescent="0.25">
      <c r="A25" s="32"/>
      <c r="B25" s="214" t="s">
        <v>125</v>
      </c>
      <c r="C25" s="215" t="s">
        <v>57</v>
      </c>
      <c r="D25" s="213"/>
      <c r="E25" s="67"/>
      <c r="F25" s="68"/>
      <c r="G25" s="69"/>
      <c r="H25" s="178">
        <f>H126</f>
        <v>12272000</v>
      </c>
      <c r="L25" s="32"/>
      <c r="M25" s="32"/>
      <c r="N25" s="32"/>
    </row>
    <row r="26" spans="1:14" s="1" customFormat="1" ht="15" x14ac:dyDescent="0.25">
      <c r="A26" s="32"/>
      <c r="B26" s="214"/>
      <c r="C26" s="215"/>
      <c r="D26" s="213"/>
      <c r="E26" s="67"/>
      <c r="F26" s="68"/>
      <c r="G26" s="69"/>
      <c r="H26" s="178"/>
      <c r="L26" s="32"/>
      <c r="M26" s="32"/>
      <c r="N26" s="32"/>
    </row>
    <row r="27" spans="1:14" s="1" customFormat="1" ht="15" x14ac:dyDescent="0.25">
      <c r="A27" s="32"/>
      <c r="B27" s="65"/>
      <c r="C27" s="216"/>
      <c r="D27" s="213"/>
      <c r="E27" s="67"/>
      <c r="F27" s="68"/>
      <c r="G27" s="69"/>
      <c r="H27" s="178"/>
      <c r="L27" s="32"/>
      <c r="M27" s="32"/>
      <c r="N27" s="32"/>
    </row>
    <row r="28" spans="1:14" s="1" customFormat="1" ht="15" x14ac:dyDescent="0.25">
      <c r="A28" s="32"/>
      <c r="B28" s="65"/>
      <c r="C28" s="216"/>
      <c r="D28" s="213"/>
      <c r="E28" s="67"/>
      <c r="F28" s="68"/>
      <c r="G28" s="69"/>
      <c r="H28" s="178"/>
      <c r="L28" s="32"/>
      <c r="M28" s="32"/>
      <c r="N28" s="32"/>
    </row>
    <row r="29" spans="1:14" s="1" customFormat="1" ht="15" x14ac:dyDescent="0.25">
      <c r="A29" s="32"/>
      <c r="B29" s="65"/>
      <c r="C29" s="216"/>
      <c r="D29" s="213"/>
      <c r="E29" s="67"/>
      <c r="F29" s="68"/>
      <c r="G29" s="69"/>
      <c r="H29" s="178"/>
      <c r="L29" s="32"/>
      <c r="M29" s="32"/>
      <c r="N29" s="32"/>
    </row>
    <row r="30" spans="1:14" s="1" customFormat="1" ht="16.5" thickBot="1" x14ac:dyDescent="0.3">
      <c r="A30" s="32"/>
      <c r="B30" s="220"/>
      <c r="C30" s="221" t="s">
        <v>126</v>
      </c>
      <c r="D30" s="222"/>
      <c r="E30" s="223"/>
      <c r="F30" s="224"/>
      <c r="G30" s="225"/>
      <c r="H30" s="226">
        <f>SUM(H9:H26)</f>
        <v>297980000</v>
      </c>
      <c r="L30" s="32"/>
      <c r="M30" s="32"/>
      <c r="N30" s="32"/>
    </row>
    <row r="31" spans="1:14" s="9" customFormat="1" ht="15.75" thickTop="1" x14ac:dyDescent="0.25">
      <c r="B31" s="2" t="s">
        <v>0</v>
      </c>
      <c r="C31" s="3" t="s">
        <v>1</v>
      </c>
      <c r="D31" s="205"/>
      <c r="E31" s="4" t="s">
        <v>2</v>
      </c>
      <c r="F31" s="5" t="s">
        <v>3</v>
      </c>
      <c r="G31" s="6" t="s">
        <v>4</v>
      </c>
      <c r="H31" s="7" t="s">
        <v>5</v>
      </c>
      <c r="I31" s="8"/>
      <c r="J31" s="8"/>
      <c r="K31" s="8"/>
    </row>
    <row r="32" spans="1:14" ht="15" x14ac:dyDescent="0.25">
      <c r="B32" s="10"/>
      <c r="C32" s="29"/>
      <c r="D32" s="29"/>
      <c r="E32" s="19"/>
      <c r="F32" s="20"/>
      <c r="G32" s="30"/>
      <c r="H32" s="31"/>
    </row>
    <row r="33" spans="2:9" ht="15" x14ac:dyDescent="0.25">
      <c r="B33" s="10" t="s">
        <v>6</v>
      </c>
      <c r="C33" s="33" t="s">
        <v>112</v>
      </c>
      <c r="D33" s="206"/>
      <c r="G33" s="14"/>
      <c r="H33" s="15"/>
    </row>
    <row r="34" spans="2:9" ht="15" x14ac:dyDescent="0.25">
      <c r="B34" s="16"/>
      <c r="C34" s="36" t="s">
        <v>25</v>
      </c>
      <c r="D34" s="207"/>
      <c r="E34" s="12" t="s">
        <v>26</v>
      </c>
      <c r="F34" s="34">
        <v>50</v>
      </c>
      <c r="G34" s="14">
        <v>4500</v>
      </c>
      <c r="H34" s="15">
        <f>G34*F34</f>
        <v>225000</v>
      </c>
    </row>
    <row r="35" spans="2:9" ht="15" x14ac:dyDescent="0.25">
      <c r="B35" s="16"/>
      <c r="C35" s="36" t="s">
        <v>27</v>
      </c>
      <c r="D35" s="208"/>
      <c r="E35" s="37" t="s">
        <v>28</v>
      </c>
      <c r="F35" s="38">
        <v>25</v>
      </c>
      <c r="G35" s="39">
        <v>6000</v>
      </c>
      <c r="H35" s="40">
        <f>G35*F35</f>
        <v>150000</v>
      </c>
    </row>
    <row r="36" spans="2:9" ht="15" x14ac:dyDescent="0.25">
      <c r="B36" s="16"/>
      <c r="C36" s="36" t="s">
        <v>131</v>
      </c>
      <c r="D36" s="208"/>
      <c r="E36" s="37" t="s">
        <v>26</v>
      </c>
      <c r="F36" s="38">
        <v>32</v>
      </c>
      <c r="G36" s="39">
        <v>88000</v>
      </c>
      <c r="H36" s="40">
        <f>G36*F36</f>
        <v>2816000</v>
      </c>
    </row>
    <row r="37" spans="2:9" ht="15" x14ac:dyDescent="0.25">
      <c r="B37" s="16"/>
      <c r="C37" s="36" t="s">
        <v>113</v>
      </c>
      <c r="D37" s="208"/>
      <c r="E37" s="37" t="s">
        <v>26</v>
      </c>
      <c r="F37" s="38">
        <v>105</v>
      </c>
      <c r="G37" s="39">
        <v>65000</v>
      </c>
      <c r="H37" s="40">
        <f t="shared" ref="H37:H50" si="0">G37*F37</f>
        <v>6825000</v>
      </c>
    </row>
    <row r="38" spans="2:9" ht="15" x14ac:dyDescent="0.25">
      <c r="B38" s="16"/>
      <c r="C38" s="36" t="s">
        <v>49</v>
      </c>
      <c r="D38" s="208"/>
      <c r="E38" s="37" t="s">
        <v>26</v>
      </c>
      <c r="F38" s="38">
        <v>75</v>
      </c>
      <c r="G38" s="39">
        <v>18000</v>
      </c>
      <c r="H38" s="40">
        <f t="shared" si="0"/>
        <v>1350000</v>
      </c>
    </row>
    <row r="39" spans="2:9" ht="15" x14ac:dyDescent="0.25">
      <c r="B39" s="16"/>
      <c r="C39" s="36" t="s">
        <v>30</v>
      </c>
      <c r="D39" s="208"/>
      <c r="E39" s="37" t="s">
        <v>20</v>
      </c>
      <c r="F39" s="38">
        <v>3</v>
      </c>
      <c r="G39" s="39">
        <v>120000</v>
      </c>
      <c r="H39" s="40">
        <f t="shared" si="0"/>
        <v>360000</v>
      </c>
    </row>
    <row r="40" spans="2:9" ht="15" x14ac:dyDescent="0.25">
      <c r="B40" s="16"/>
      <c r="C40" s="41" t="s">
        <v>64</v>
      </c>
      <c r="D40" s="209"/>
      <c r="E40" s="37" t="s">
        <v>31</v>
      </c>
      <c r="F40" s="38">
        <v>2</v>
      </c>
      <c r="G40" s="39">
        <v>100000</v>
      </c>
      <c r="H40" s="42">
        <f t="shared" si="0"/>
        <v>200000</v>
      </c>
      <c r="I40" s="43"/>
    </row>
    <row r="41" spans="2:9" ht="15" x14ac:dyDescent="0.25">
      <c r="B41" s="16"/>
      <c r="C41" s="41" t="s">
        <v>32</v>
      </c>
      <c r="D41" s="209"/>
      <c r="E41" s="41" t="s">
        <v>33</v>
      </c>
      <c r="F41" s="38">
        <v>2</v>
      </c>
      <c r="G41" s="39">
        <v>2200000</v>
      </c>
      <c r="H41" s="44">
        <f t="shared" si="0"/>
        <v>4400000</v>
      </c>
    </row>
    <row r="42" spans="2:9" ht="15" x14ac:dyDescent="0.25">
      <c r="B42" s="16"/>
      <c r="C42" s="41" t="s">
        <v>34</v>
      </c>
      <c r="D42" s="209"/>
      <c r="E42" s="37" t="s">
        <v>35</v>
      </c>
      <c r="F42" s="38">
        <v>450</v>
      </c>
      <c r="G42" s="39">
        <v>35000</v>
      </c>
      <c r="H42" s="44">
        <f t="shared" si="0"/>
        <v>15750000</v>
      </c>
    </row>
    <row r="43" spans="2:9" ht="15" x14ac:dyDescent="0.25">
      <c r="B43" s="16"/>
      <c r="C43" s="41" t="s">
        <v>36</v>
      </c>
      <c r="D43" s="209"/>
      <c r="E43" s="41" t="s">
        <v>33</v>
      </c>
      <c r="F43" s="38">
        <v>2</v>
      </c>
      <c r="G43" s="39">
        <v>3800000</v>
      </c>
      <c r="H43" s="40">
        <f t="shared" si="0"/>
        <v>7600000</v>
      </c>
      <c r="I43" s="43"/>
    </row>
    <row r="44" spans="2:9" ht="15" x14ac:dyDescent="0.25">
      <c r="B44" s="16"/>
      <c r="C44" s="41" t="s">
        <v>65</v>
      </c>
      <c r="D44" s="210"/>
      <c r="E44" s="37" t="s">
        <v>26</v>
      </c>
      <c r="F44" s="38">
        <v>11200</v>
      </c>
      <c r="G44" s="39">
        <v>450</v>
      </c>
      <c r="H44" s="40">
        <f t="shared" si="0"/>
        <v>5040000</v>
      </c>
      <c r="I44" s="43"/>
    </row>
    <row r="45" spans="2:9" ht="15" x14ac:dyDescent="0.25">
      <c r="B45" s="16"/>
      <c r="C45" s="41" t="s">
        <v>37</v>
      </c>
      <c r="D45" s="210"/>
      <c r="E45" s="37" t="s">
        <v>38</v>
      </c>
      <c r="F45" s="38">
        <v>25</v>
      </c>
      <c r="G45" s="39">
        <v>250000</v>
      </c>
      <c r="H45" s="40">
        <f t="shared" si="0"/>
        <v>6250000</v>
      </c>
      <c r="I45" s="43"/>
    </row>
    <row r="46" spans="2:9" ht="15" x14ac:dyDescent="0.25">
      <c r="B46" s="16"/>
      <c r="C46" s="41" t="s">
        <v>39</v>
      </c>
      <c r="D46" s="210"/>
      <c r="E46" s="37" t="s">
        <v>20</v>
      </c>
      <c r="F46" s="227">
        <v>2</v>
      </c>
      <c r="G46" s="39">
        <v>900000</v>
      </c>
      <c r="H46" s="40">
        <f t="shared" si="0"/>
        <v>1800000</v>
      </c>
      <c r="I46" s="43"/>
    </row>
    <row r="47" spans="2:9" ht="15" x14ac:dyDescent="0.25">
      <c r="B47" s="16"/>
      <c r="C47" s="41" t="s">
        <v>40</v>
      </c>
      <c r="D47" s="210"/>
      <c r="E47" s="37" t="s">
        <v>41</v>
      </c>
      <c r="F47" s="38">
        <v>400</v>
      </c>
      <c r="G47" s="39">
        <v>8000</v>
      </c>
      <c r="H47" s="40">
        <f t="shared" si="0"/>
        <v>3200000</v>
      </c>
      <c r="I47" s="43"/>
    </row>
    <row r="48" spans="2:9" ht="15" x14ac:dyDescent="0.25">
      <c r="B48" s="16"/>
      <c r="C48" s="41" t="s">
        <v>42</v>
      </c>
      <c r="D48" s="210"/>
      <c r="E48" s="37" t="s">
        <v>41</v>
      </c>
      <c r="F48" s="38">
        <v>200</v>
      </c>
      <c r="G48" s="39">
        <v>5000</v>
      </c>
      <c r="H48" s="40">
        <f t="shared" si="0"/>
        <v>1000000</v>
      </c>
      <c r="I48" s="43"/>
    </row>
    <row r="49" spans="1:14" ht="15" x14ac:dyDescent="0.25">
      <c r="B49" s="16"/>
      <c r="C49" s="41" t="s">
        <v>43</v>
      </c>
      <c r="D49" s="210"/>
      <c r="E49" s="37" t="s">
        <v>20</v>
      </c>
      <c r="F49" s="38">
        <v>1</v>
      </c>
      <c r="G49" s="39">
        <v>300000</v>
      </c>
      <c r="H49" s="40">
        <f t="shared" si="0"/>
        <v>300000</v>
      </c>
      <c r="I49" s="43"/>
      <c r="J49" s="73">
        <f>SUM(H34:H50)</f>
        <v>57666000</v>
      </c>
    </row>
    <row r="50" spans="1:14" ht="15" x14ac:dyDescent="0.25">
      <c r="B50" s="16"/>
      <c r="C50" s="41" t="s">
        <v>44</v>
      </c>
      <c r="D50" s="210"/>
      <c r="E50" s="37" t="s">
        <v>20</v>
      </c>
      <c r="F50" s="38">
        <v>10</v>
      </c>
      <c r="G50" s="39">
        <v>40000</v>
      </c>
      <c r="H50" s="40">
        <f t="shared" si="0"/>
        <v>400000</v>
      </c>
      <c r="I50" s="43"/>
    </row>
    <row r="51" spans="1:14" ht="15" x14ac:dyDescent="0.25">
      <c r="B51" s="16"/>
      <c r="C51" s="41"/>
      <c r="D51" s="210"/>
      <c r="E51" s="37"/>
      <c r="F51" s="38"/>
      <c r="G51" s="39"/>
      <c r="H51" s="40"/>
      <c r="I51" s="43"/>
    </row>
    <row r="52" spans="1:14" ht="15" x14ac:dyDescent="0.25">
      <c r="B52" s="16"/>
      <c r="C52" s="45" t="s">
        <v>45</v>
      </c>
      <c r="D52" s="210"/>
      <c r="E52" s="37"/>
      <c r="F52" s="38"/>
      <c r="G52" s="39"/>
      <c r="H52" s="46">
        <v>15000000</v>
      </c>
      <c r="I52" s="43"/>
    </row>
    <row r="53" spans="1:14" ht="15" x14ac:dyDescent="0.25">
      <c r="B53" s="16"/>
      <c r="C53" s="41"/>
      <c r="D53" s="210"/>
      <c r="E53" s="37"/>
      <c r="F53" s="38"/>
      <c r="G53" s="39"/>
      <c r="H53" s="40"/>
      <c r="I53" s="43"/>
    </row>
    <row r="54" spans="1:14" ht="15.75" thickBot="1" x14ac:dyDescent="0.3">
      <c r="B54" s="23"/>
      <c r="C54" s="24" t="s">
        <v>46</v>
      </c>
      <c r="D54" s="24"/>
      <c r="E54" s="25"/>
      <c r="F54" s="47"/>
      <c r="G54" s="27"/>
      <c r="H54" s="28">
        <f>SUM(H34:H52)</f>
        <v>72666000</v>
      </c>
      <c r="I54" s="43"/>
    </row>
    <row r="55" spans="1:14" ht="15.75" thickTop="1" x14ac:dyDescent="0.25">
      <c r="B55" s="74"/>
      <c r="C55" s="75"/>
      <c r="D55" s="75"/>
      <c r="E55" s="76"/>
      <c r="F55" s="77"/>
      <c r="G55" s="78"/>
      <c r="H55" s="64"/>
      <c r="I55" s="43"/>
    </row>
    <row r="56" spans="1:14" s="1" customFormat="1" ht="15" x14ac:dyDescent="0.25">
      <c r="A56" s="32"/>
      <c r="B56" s="10" t="s">
        <v>24</v>
      </c>
      <c r="C56" s="33" t="s">
        <v>81</v>
      </c>
      <c r="D56" s="17"/>
      <c r="E56" s="12"/>
      <c r="F56" s="34"/>
      <c r="G56" s="14"/>
      <c r="H56" s="15"/>
      <c r="L56" s="32"/>
      <c r="M56" s="32"/>
      <c r="N56" s="32"/>
    </row>
    <row r="57" spans="1:14" s="1" customFormat="1" ht="15" x14ac:dyDescent="0.25">
      <c r="A57" s="32"/>
      <c r="B57" s="16"/>
      <c r="C57" s="17" t="s">
        <v>34</v>
      </c>
      <c r="D57" s="211"/>
      <c r="E57" s="48" t="s">
        <v>35</v>
      </c>
      <c r="F57" s="38">
        <v>350</v>
      </c>
      <c r="G57" s="14">
        <v>35000</v>
      </c>
      <c r="H57" s="15">
        <f>G57*F57</f>
        <v>12250000</v>
      </c>
      <c r="L57" s="32"/>
      <c r="M57" s="32"/>
      <c r="N57" s="32"/>
    </row>
    <row r="58" spans="1:14" s="1" customFormat="1" ht="15" x14ac:dyDescent="0.25">
      <c r="A58" s="32"/>
      <c r="B58" s="16"/>
      <c r="C58" s="17" t="s">
        <v>48</v>
      </c>
      <c r="D58" s="211"/>
      <c r="E58" s="48" t="s">
        <v>26</v>
      </c>
      <c r="F58" s="38">
        <v>115</v>
      </c>
      <c r="G58" s="14">
        <v>88000</v>
      </c>
      <c r="H58" s="15">
        <f t="shared" ref="H58:H72" si="1">G58*F58</f>
        <v>10120000</v>
      </c>
      <c r="L58" s="32"/>
      <c r="M58" s="32"/>
      <c r="N58" s="32"/>
    </row>
    <row r="59" spans="1:14" s="1" customFormat="1" ht="15" x14ac:dyDescent="0.25">
      <c r="A59" s="32"/>
      <c r="B59" s="16"/>
      <c r="C59" s="17" t="s">
        <v>114</v>
      </c>
      <c r="D59" s="211"/>
      <c r="E59" s="48" t="s">
        <v>26</v>
      </c>
      <c r="F59" s="38">
        <v>210</v>
      </c>
      <c r="G59" s="14">
        <v>65000</v>
      </c>
      <c r="H59" s="15">
        <f t="shared" si="1"/>
        <v>13650000</v>
      </c>
      <c r="L59" s="32"/>
      <c r="M59" s="32"/>
      <c r="N59" s="32"/>
    </row>
    <row r="60" spans="1:14" s="1" customFormat="1" ht="15" x14ac:dyDescent="0.25">
      <c r="A60" s="32"/>
      <c r="B60" s="16"/>
      <c r="C60" s="17" t="s">
        <v>49</v>
      </c>
      <c r="D60" s="211"/>
      <c r="E60" s="48" t="s">
        <v>26</v>
      </c>
      <c r="F60" s="38">
        <v>125</v>
      </c>
      <c r="G60" s="14">
        <v>20000</v>
      </c>
      <c r="H60" s="15">
        <f t="shared" si="1"/>
        <v>2500000</v>
      </c>
      <c r="L60" s="32"/>
      <c r="M60" s="32"/>
      <c r="N60" s="32"/>
    </row>
    <row r="61" spans="1:14" s="1" customFormat="1" ht="15" x14ac:dyDescent="0.25">
      <c r="A61" s="32"/>
      <c r="B61" s="16"/>
      <c r="C61" s="36" t="s">
        <v>30</v>
      </c>
      <c r="D61" s="211"/>
      <c r="E61" s="48" t="s">
        <v>20</v>
      </c>
      <c r="F61" s="49">
        <v>5</v>
      </c>
      <c r="G61" s="50">
        <v>120000</v>
      </c>
      <c r="H61" s="15">
        <f t="shared" si="1"/>
        <v>600000</v>
      </c>
      <c r="L61" s="32"/>
      <c r="M61" s="32"/>
      <c r="N61" s="32"/>
    </row>
    <row r="62" spans="1:14" s="1" customFormat="1" ht="15" x14ac:dyDescent="0.25">
      <c r="A62" s="32"/>
      <c r="B62" s="16"/>
      <c r="C62" s="36" t="s">
        <v>36</v>
      </c>
      <c r="D62" s="211"/>
      <c r="E62" s="51" t="s">
        <v>33</v>
      </c>
      <c r="F62" s="49">
        <v>2</v>
      </c>
      <c r="G62" s="50">
        <v>3800000</v>
      </c>
      <c r="H62" s="15">
        <f t="shared" si="1"/>
        <v>7600000</v>
      </c>
      <c r="L62" s="32"/>
      <c r="M62" s="32"/>
      <c r="N62" s="32"/>
    </row>
    <row r="63" spans="1:14" s="1" customFormat="1" ht="15" x14ac:dyDescent="0.25">
      <c r="A63" s="32"/>
      <c r="B63" s="16"/>
      <c r="C63" s="36" t="s">
        <v>32</v>
      </c>
      <c r="D63" s="211"/>
      <c r="E63" s="51" t="s">
        <v>33</v>
      </c>
      <c r="F63" s="49">
        <v>2</v>
      </c>
      <c r="G63" s="50">
        <v>2200000</v>
      </c>
      <c r="H63" s="15">
        <f t="shared" si="1"/>
        <v>4400000</v>
      </c>
      <c r="L63" s="32"/>
      <c r="M63" s="32"/>
      <c r="N63" s="32"/>
    </row>
    <row r="64" spans="1:14" s="1" customFormat="1" ht="15" x14ac:dyDescent="0.25">
      <c r="A64" s="32"/>
      <c r="B64" s="16"/>
      <c r="C64" s="36" t="s">
        <v>50</v>
      </c>
      <c r="D64" s="211"/>
      <c r="E64" s="48" t="s">
        <v>26</v>
      </c>
      <c r="F64" s="49">
        <v>800</v>
      </c>
      <c r="G64" s="50">
        <v>8000</v>
      </c>
      <c r="H64" s="15">
        <f t="shared" si="1"/>
        <v>6400000</v>
      </c>
      <c r="L64" s="32"/>
      <c r="M64" s="32"/>
      <c r="N64" s="32"/>
    </row>
    <row r="65" spans="1:14" s="1" customFormat="1" ht="15" x14ac:dyDescent="0.25">
      <c r="A65" s="32"/>
      <c r="B65" s="16"/>
      <c r="C65" s="36" t="s">
        <v>51</v>
      </c>
      <c r="D65" s="211"/>
      <c r="E65" s="48" t="s">
        <v>26</v>
      </c>
      <c r="F65" s="49">
        <v>500</v>
      </c>
      <c r="G65" s="50">
        <v>5000</v>
      </c>
      <c r="H65" s="15">
        <f t="shared" si="1"/>
        <v>2500000</v>
      </c>
      <c r="L65" s="32"/>
      <c r="M65" s="32"/>
      <c r="N65" s="32"/>
    </row>
    <row r="66" spans="1:14" s="1" customFormat="1" ht="15" x14ac:dyDescent="0.25">
      <c r="A66" s="32"/>
      <c r="B66" s="16"/>
      <c r="C66" s="36" t="s">
        <v>25</v>
      </c>
      <c r="D66" s="211"/>
      <c r="E66" s="48" t="s">
        <v>26</v>
      </c>
      <c r="F66" s="49">
        <v>500</v>
      </c>
      <c r="G66" s="50">
        <v>4500</v>
      </c>
      <c r="H66" s="15">
        <f t="shared" si="1"/>
        <v>2250000</v>
      </c>
      <c r="L66" s="32"/>
      <c r="M66" s="32"/>
      <c r="N66" s="32"/>
    </row>
    <row r="67" spans="1:14" s="1" customFormat="1" ht="15" x14ac:dyDescent="0.25">
      <c r="A67" s="32"/>
      <c r="B67" s="16"/>
      <c r="C67" s="36" t="s">
        <v>52</v>
      </c>
      <c r="D67" s="211"/>
      <c r="E67" s="48" t="s">
        <v>26</v>
      </c>
      <c r="F67" s="49">
        <v>4000</v>
      </c>
      <c r="G67" s="50">
        <v>3000</v>
      </c>
      <c r="H67" s="15">
        <f t="shared" si="1"/>
        <v>12000000</v>
      </c>
      <c r="L67" s="32"/>
      <c r="M67" s="32"/>
      <c r="N67" s="32"/>
    </row>
    <row r="68" spans="1:14" s="1" customFormat="1" ht="15" x14ac:dyDescent="0.25">
      <c r="A68" s="32"/>
      <c r="B68" s="16"/>
      <c r="C68" s="36" t="s">
        <v>53</v>
      </c>
      <c r="D68" s="211"/>
      <c r="E68" s="48" t="s">
        <v>20</v>
      </c>
      <c r="F68" s="49">
        <v>10</v>
      </c>
      <c r="G68" s="50">
        <v>35000</v>
      </c>
      <c r="H68" s="15">
        <f t="shared" si="1"/>
        <v>350000</v>
      </c>
      <c r="L68" s="32"/>
      <c r="M68" s="32"/>
      <c r="N68" s="32"/>
    </row>
    <row r="69" spans="1:14" s="1" customFormat="1" ht="15" x14ac:dyDescent="0.25">
      <c r="A69" s="32"/>
      <c r="B69" s="16"/>
      <c r="C69" s="36" t="s">
        <v>27</v>
      </c>
      <c r="D69" s="211"/>
      <c r="E69" s="48" t="s">
        <v>28</v>
      </c>
      <c r="F69" s="49">
        <v>150</v>
      </c>
      <c r="G69" s="50">
        <v>6000</v>
      </c>
      <c r="H69" s="15">
        <f t="shared" si="1"/>
        <v>900000</v>
      </c>
      <c r="L69" s="32"/>
      <c r="M69" s="32"/>
      <c r="N69" s="32"/>
    </row>
    <row r="70" spans="1:14" s="1" customFormat="1" ht="15" x14ac:dyDescent="0.25">
      <c r="A70" s="32"/>
      <c r="B70" s="16"/>
      <c r="C70" s="36" t="s">
        <v>54</v>
      </c>
      <c r="D70" s="211"/>
      <c r="E70" s="48" t="s">
        <v>41</v>
      </c>
      <c r="F70" s="49">
        <v>900</v>
      </c>
      <c r="G70" s="50">
        <v>4800</v>
      </c>
      <c r="H70" s="15">
        <f t="shared" si="1"/>
        <v>4320000</v>
      </c>
      <c r="L70" s="32"/>
      <c r="M70" s="32"/>
      <c r="N70" s="32"/>
    </row>
    <row r="71" spans="1:14" s="1" customFormat="1" ht="15" x14ac:dyDescent="0.25">
      <c r="A71" s="32"/>
      <c r="B71" s="16"/>
      <c r="C71" s="36" t="s">
        <v>39</v>
      </c>
      <c r="D71" s="211"/>
      <c r="E71" s="48" t="s">
        <v>55</v>
      </c>
      <c r="F71" s="251">
        <v>2</v>
      </c>
      <c r="G71" s="50">
        <v>900000</v>
      </c>
      <c r="H71" s="15">
        <f t="shared" si="1"/>
        <v>1800000</v>
      </c>
      <c r="J71" s="73">
        <f>SUM(H57:H72)</f>
        <v>81790000</v>
      </c>
      <c r="L71" s="32"/>
      <c r="M71" s="32"/>
      <c r="N71" s="32"/>
    </row>
    <row r="72" spans="1:14" s="1" customFormat="1" ht="15" x14ac:dyDescent="0.25">
      <c r="A72" s="32"/>
      <c r="B72" s="16"/>
      <c r="C72" s="36" t="s">
        <v>115</v>
      </c>
      <c r="D72" s="211"/>
      <c r="E72" s="48" t="s">
        <v>55</v>
      </c>
      <c r="F72" s="49">
        <v>0.5</v>
      </c>
      <c r="G72" s="50">
        <v>300000</v>
      </c>
      <c r="H72" s="15">
        <f t="shared" si="1"/>
        <v>150000</v>
      </c>
      <c r="I72" s="43"/>
      <c r="L72" s="32"/>
      <c r="M72" s="32"/>
      <c r="N72" s="32"/>
    </row>
    <row r="73" spans="1:14" s="1" customFormat="1" ht="15" x14ac:dyDescent="0.25">
      <c r="A73" s="32"/>
      <c r="B73" s="16"/>
      <c r="C73" s="36"/>
      <c r="D73" s="36"/>
      <c r="E73" s="48"/>
      <c r="F73" s="49"/>
      <c r="G73" s="50"/>
      <c r="H73" s="15"/>
      <c r="I73" s="43"/>
      <c r="L73" s="32"/>
      <c r="M73" s="32"/>
      <c r="N73" s="32"/>
    </row>
    <row r="74" spans="1:14" s="1" customFormat="1" ht="15" x14ac:dyDescent="0.25">
      <c r="A74" s="32"/>
      <c r="B74" s="16"/>
      <c r="C74" s="35" t="s">
        <v>56</v>
      </c>
      <c r="D74" s="36"/>
      <c r="E74" s="48"/>
      <c r="F74" s="49"/>
      <c r="G74" s="50"/>
      <c r="H74" s="31">
        <v>20000000</v>
      </c>
      <c r="I74" s="43"/>
      <c r="L74" s="32"/>
      <c r="M74" s="32"/>
      <c r="N74" s="32"/>
    </row>
    <row r="75" spans="1:14" s="1" customFormat="1" ht="15" x14ac:dyDescent="0.25">
      <c r="A75" s="32"/>
      <c r="B75" s="16"/>
      <c r="C75" s="36"/>
      <c r="D75" s="36"/>
      <c r="E75" s="48"/>
      <c r="F75" s="49"/>
      <c r="G75" s="50"/>
      <c r="H75" s="15"/>
      <c r="I75" s="43"/>
      <c r="L75" s="32"/>
      <c r="M75" s="32"/>
      <c r="N75" s="32"/>
    </row>
    <row r="76" spans="1:14" s="1" customFormat="1" ht="15.75" thickBot="1" x14ac:dyDescent="0.3">
      <c r="A76" s="32"/>
      <c r="B76" s="23"/>
      <c r="C76" s="24" t="s">
        <v>46</v>
      </c>
      <c r="D76" s="24"/>
      <c r="E76" s="25"/>
      <c r="F76" s="47"/>
      <c r="G76" s="27"/>
      <c r="H76" s="28">
        <f>SUM(H57:H74)</f>
        <v>101790000</v>
      </c>
      <c r="I76" s="43"/>
      <c r="L76" s="32"/>
      <c r="M76" s="32"/>
      <c r="N76" s="32"/>
    </row>
    <row r="77" spans="1:14" s="1" customFormat="1" ht="15.75" thickTop="1" x14ac:dyDescent="0.25">
      <c r="A77" s="32"/>
      <c r="B77" s="10" t="s">
        <v>47</v>
      </c>
      <c r="C77" s="33" t="s">
        <v>82</v>
      </c>
      <c r="D77" s="17"/>
      <c r="E77" s="12"/>
      <c r="F77" s="34"/>
      <c r="G77" s="14"/>
      <c r="H77" s="15"/>
      <c r="I77" s="43"/>
      <c r="L77" s="32"/>
      <c r="M77" s="32"/>
      <c r="N77" s="32"/>
    </row>
    <row r="78" spans="1:14" s="1" customFormat="1" ht="15" x14ac:dyDescent="0.25">
      <c r="A78" s="32"/>
      <c r="B78" s="16"/>
      <c r="C78" s="17" t="s">
        <v>34</v>
      </c>
      <c r="D78" s="211"/>
      <c r="E78" s="48" t="s">
        <v>35</v>
      </c>
      <c r="F78" s="38">
        <v>200</v>
      </c>
      <c r="G78" s="14">
        <v>35000</v>
      </c>
      <c r="H78" s="15">
        <f>G78*F78</f>
        <v>7000000</v>
      </c>
      <c r="I78" s="43"/>
      <c r="L78" s="32"/>
      <c r="M78" s="32"/>
      <c r="N78" s="32"/>
    </row>
    <row r="79" spans="1:14" s="1" customFormat="1" ht="15" x14ac:dyDescent="0.25">
      <c r="A79" s="32"/>
      <c r="B79" s="16"/>
      <c r="C79" s="17" t="s">
        <v>132</v>
      </c>
      <c r="D79" s="211"/>
      <c r="E79" s="48" t="s">
        <v>26</v>
      </c>
      <c r="F79" s="38">
        <v>65</v>
      </c>
      <c r="G79" s="14">
        <v>88000</v>
      </c>
      <c r="H79" s="15">
        <f t="shared" ref="H79:H91" si="2">G79*F79</f>
        <v>5720000</v>
      </c>
      <c r="I79" s="43"/>
      <c r="L79" s="32"/>
      <c r="M79" s="32"/>
      <c r="N79" s="32"/>
    </row>
    <row r="80" spans="1:14" s="1" customFormat="1" ht="15" x14ac:dyDescent="0.25">
      <c r="A80" s="32"/>
      <c r="B80" s="16"/>
      <c r="C80" s="17" t="s">
        <v>114</v>
      </c>
      <c r="D80" s="211"/>
      <c r="E80" s="48" t="s">
        <v>26</v>
      </c>
      <c r="F80" s="38">
        <v>178</v>
      </c>
      <c r="G80" s="14">
        <v>65000</v>
      </c>
      <c r="H80" s="15">
        <f t="shared" si="2"/>
        <v>11570000</v>
      </c>
      <c r="I80" s="43"/>
      <c r="L80" s="32"/>
      <c r="M80" s="32"/>
      <c r="N80" s="32"/>
    </row>
    <row r="81" spans="1:14" s="1" customFormat="1" ht="15" x14ac:dyDescent="0.25">
      <c r="A81" s="32"/>
      <c r="B81" s="16"/>
      <c r="C81" s="17" t="s">
        <v>49</v>
      </c>
      <c r="D81" s="211"/>
      <c r="E81" s="48" t="s">
        <v>26</v>
      </c>
      <c r="F81" s="38">
        <v>115</v>
      </c>
      <c r="G81" s="14">
        <v>20000</v>
      </c>
      <c r="H81" s="15">
        <f t="shared" si="2"/>
        <v>2300000</v>
      </c>
      <c r="I81" s="43"/>
      <c r="L81" s="32"/>
      <c r="M81" s="32"/>
      <c r="N81" s="32"/>
    </row>
    <row r="82" spans="1:14" s="1" customFormat="1" ht="15" x14ac:dyDescent="0.25">
      <c r="A82" s="32"/>
      <c r="B82" s="16"/>
      <c r="C82" s="36" t="s">
        <v>30</v>
      </c>
      <c r="D82" s="211"/>
      <c r="E82" s="48" t="s">
        <v>20</v>
      </c>
      <c r="F82" s="49">
        <v>3</v>
      </c>
      <c r="G82" s="50">
        <v>120000</v>
      </c>
      <c r="H82" s="15">
        <f t="shared" si="2"/>
        <v>360000</v>
      </c>
      <c r="I82" s="43"/>
      <c r="L82" s="32"/>
      <c r="M82" s="32"/>
      <c r="N82" s="32"/>
    </row>
    <row r="83" spans="1:14" s="1" customFormat="1" ht="15" x14ac:dyDescent="0.25">
      <c r="A83" s="32"/>
      <c r="B83" s="16"/>
      <c r="C83" s="36" t="s">
        <v>36</v>
      </c>
      <c r="D83" s="211"/>
      <c r="E83" s="51" t="s">
        <v>33</v>
      </c>
      <c r="F83" s="49">
        <v>1</v>
      </c>
      <c r="G83" s="50">
        <v>3800000</v>
      </c>
      <c r="H83" s="15">
        <f t="shared" si="2"/>
        <v>3800000</v>
      </c>
      <c r="I83" s="43"/>
      <c r="L83" s="32"/>
      <c r="M83" s="32"/>
      <c r="N83" s="32"/>
    </row>
    <row r="84" spans="1:14" s="1" customFormat="1" ht="15" x14ac:dyDescent="0.25">
      <c r="A84" s="32"/>
      <c r="B84" s="16"/>
      <c r="C84" s="36" t="s">
        <v>32</v>
      </c>
      <c r="D84" s="211"/>
      <c r="E84" s="51" t="s">
        <v>33</v>
      </c>
      <c r="F84" s="49">
        <v>2</v>
      </c>
      <c r="G84" s="50">
        <v>2200000</v>
      </c>
      <c r="H84" s="15">
        <f t="shared" si="2"/>
        <v>4400000</v>
      </c>
      <c r="I84" s="43"/>
      <c r="L84" s="32"/>
      <c r="M84" s="32"/>
      <c r="N84" s="32"/>
    </row>
    <row r="85" spans="1:14" s="1" customFormat="1" ht="15" x14ac:dyDescent="0.25">
      <c r="A85" s="32"/>
      <c r="B85" s="16"/>
      <c r="C85" s="36" t="s">
        <v>50</v>
      </c>
      <c r="D85" s="211"/>
      <c r="E85" s="48" t="s">
        <v>26</v>
      </c>
      <c r="F85" s="49">
        <v>400</v>
      </c>
      <c r="G85" s="50">
        <v>8000</v>
      </c>
      <c r="H85" s="15">
        <f t="shared" si="2"/>
        <v>3200000</v>
      </c>
      <c r="I85" s="43"/>
      <c r="L85" s="32"/>
      <c r="M85" s="32"/>
      <c r="N85" s="32"/>
    </row>
    <row r="86" spans="1:14" s="1" customFormat="1" ht="15" x14ac:dyDescent="0.25">
      <c r="A86" s="32"/>
      <c r="B86" s="16"/>
      <c r="C86" s="36" t="s">
        <v>51</v>
      </c>
      <c r="D86" s="211"/>
      <c r="E86" s="48" t="s">
        <v>26</v>
      </c>
      <c r="F86" s="49">
        <v>250</v>
      </c>
      <c r="G86" s="50">
        <v>5000</v>
      </c>
      <c r="H86" s="15">
        <f t="shared" si="2"/>
        <v>1250000</v>
      </c>
      <c r="I86" s="43"/>
      <c r="L86" s="32"/>
      <c r="M86" s="32"/>
      <c r="N86" s="32"/>
    </row>
    <row r="87" spans="1:14" s="1" customFormat="1" ht="15" x14ac:dyDescent="0.25">
      <c r="A87" s="32"/>
      <c r="B87" s="16"/>
      <c r="C87" s="36" t="s">
        <v>25</v>
      </c>
      <c r="D87" s="211"/>
      <c r="E87" s="48" t="s">
        <v>26</v>
      </c>
      <c r="F87" s="49">
        <v>300</v>
      </c>
      <c r="G87" s="50">
        <v>4000</v>
      </c>
      <c r="H87" s="15">
        <f t="shared" si="2"/>
        <v>1200000</v>
      </c>
      <c r="I87" s="43"/>
      <c r="L87" s="32"/>
      <c r="M87" s="32"/>
      <c r="N87" s="32"/>
    </row>
    <row r="88" spans="1:14" s="1" customFormat="1" ht="15" x14ac:dyDescent="0.25">
      <c r="A88" s="32"/>
      <c r="B88" s="16"/>
      <c r="C88" s="36" t="s">
        <v>52</v>
      </c>
      <c r="D88" s="211"/>
      <c r="E88" s="48" t="s">
        <v>26</v>
      </c>
      <c r="F88" s="49">
        <v>4000</v>
      </c>
      <c r="G88" s="50">
        <v>3000</v>
      </c>
      <c r="H88" s="15">
        <f t="shared" si="2"/>
        <v>12000000</v>
      </c>
      <c r="I88" s="43"/>
      <c r="L88" s="32"/>
      <c r="M88" s="32"/>
      <c r="N88" s="32"/>
    </row>
    <row r="89" spans="1:14" s="1" customFormat="1" ht="15" x14ac:dyDescent="0.25">
      <c r="A89" s="32"/>
      <c r="B89" s="16"/>
      <c r="C89" s="36" t="s">
        <v>53</v>
      </c>
      <c r="D89" s="211"/>
      <c r="E89" s="48" t="s">
        <v>20</v>
      </c>
      <c r="F89" s="49">
        <v>10</v>
      </c>
      <c r="G89" s="50">
        <v>35000</v>
      </c>
      <c r="H89" s="15">
        <f t="shared" si="2"/>
        <v>350000</v>
      </c>
      <c r="I89" s="43"/>
      <c r="L89" s="32"/>
      <c r="M89" s="32"/>
      <c r="N89" s="32"/>
    </row>
    <row r="90" spans="1:14" s="1" customFormat="1" ht="15" x14ac:dyDescent="0.25">
      <c r="A90" s="32"/>
      <c r="B90" s="16"/>
      <c r="C90" s="36" t="s">
        <v>27</v>
      </c>
      <c r="D90" s="211"/>
      <c r="E90" s="48" t="s">
        <v>28</v>
      </c>
      <c r="F90" s="49">
        <v>100</v>
      </c>
      <c r="G90" s="50">
        <v>6000</v>
      </c>
      <c r="H90" s="15">
        <f t="shared" si="2"/>
        <v>600000</v>
      </c>
      <c r="I90" s="43"/>
      <c r="J90" s="73">
        <f>SUM(H78:H91)</f>
        <v>53900000</v>
      </c>
      <c r="L90" s="32"/>
      <c r="M90" s="32"/>
      <c r="N90" s="32"/>
    </row>
    <row r="91" spans="1:14" s="1" customFormat="1" ht="15" x14ac:dyDescent="0.25">
      <c r="A91" s="32"/>
      <c r="B91" s="16"/>
      <c r="C91" s="36" t="s">
        <v>115</v>
      </c>
      <c r="D91" s="211"/>
      <c r="E91" s="48" t="s">
        <v>55</v>
      </c>
      <c r="F91" s="49">
        <v>0.5</v>
      </c>
      <c r="G91" s="50">
        <v>300000</v>
      </c>
      <c r="H91" s="15">
        <f t="shared" si="2"/>
        <v>150000</v>
      </c>
      <c r="I91" s="43"/>
      <c r="L91" s="32"/>
      <c r="M91" s="32"/>
      <c r="N91" s="32"/>
    </row>
    <row r="92" spans="1:14" s="1" customFormat="1" ht="15" x14ac:dyDescent="0.25">
      <c r="A92" s="32"/>
      <c r="B92" s="16"/>
      <c r="C92" s="35" t="s">
        <v>56</v>
      </c>
      <c r="D92" s="36"/>
      <c r="E92" s="48"/>
      <c r="F92" s="49"/>
      <c r="G92" s="50"/>
      <c r="H92" s="31">
        <v>18000000</v>
      </c>
      <c r="I92" s="43"/>
      <c r="L92" s="32"/>
      <c r="M92" s="32"/>
      <c r="N92" s="32"/>
    </row>
    <row r="93" spans="1:14" s="1" customFormat="1" ht="7.5" customHeight="1" x14ac:dyDescent="0.25">
      <c r="A93" s="32"/>
      <c r="B93" s="16"/>
      <c r="C93" s="36"/>
      <c r="D93" s="36"/>
      <c r="E93" s="48"/>
      <c r="F93" s="49"/>
      <c r="G93" s="50"/>
      <c r="H93" s="15"/>
      <c r="I93" s="43"/>
      <c r="L93" s="32"/>
      <c r="M93" s="32"/>
      <c r="N93" s="32"/>
    </row>
    <row r="94" spans="1:14" s="1" customFormat="1" ht="15.75" thickBot="1" x14ac:dyDescent="0.3">
      <c r="A94" s="32"/>
      <c r="B94" s="23"/>
      <c r="C94" s="24" t="s">
        <v>46</v>
      </c>
      <c r="D94" s="24"/>
      <c r="E94" s="25"/>
      <c r="F94" s="47"/>
      <c r="G94" s="27"/>
      <c r="H94" s="28">
        <f>SUM(H78:H92)</f>
        <v>71900000</v>
      </c>
      <c r="I94" s="43"/>
      <c r="L94" s="32"/>
      <c r="M94" s="32"/>
      <c r="N94" s="32"/>
    </row>
    <row r="95" spans="1:14" s="1" customFormat="1" ht="15.75" thickTop="1" x14ac:dyDescent="0.25">
      <c r="A95" s="32"/>
      <c r="B95" s="10" t="s">
        <v>118</v>
      </c>
      <c r="C95" s="33" t="s">
        <v>127</v>
      </c>
      <c r="D95" s="17"/>
      <c r="E95" s="12"/>
      <c r="F95" s="34"/>
      <c r="G95" s="14"/>
      <c r="H95" s="15"/>
      <c r="I95" s="43"/>
      <c r="L95" s="32"/>
      <c r="M95" s="32"/>
      <c r="N95" s="32"/>
    </row>
    <row r="96" spans="1:14" s="1" customFormat="1" ht="15" x14ac:dyDescent="0.25">
      <c r="A96" s="32"/>
      <c r="B96" s="16"/>
      <c r="C96" s="17" t="s">
        <v>34</v>
      </c>
      <c r="D96" s="211"/>
      <c r="E96" s="48" t="s">
        <v>35</v>
      </c>
      <c r="F96" s="38">
        <v>100</v>
      </c>
      <c r="G96" s="14">
        <v>35000</v>
      </c>
      <c r="H96" s="15">
        <f>G96*F96</f>
        <v>3500000</v>
      </c>
      <c r="I96" s="43"/>
      <c r="L96" s="32"/>
      <c r="M96" s="32"/>
      <c r="N96" s="32"/>
    </row>
    <row r="97" spans="1:14" s="1" customFormat="1" ht="15" x14ac:dyDescent="0.25">
      <c r="A97" s="32"/>
      <c r="B97" s="16"/>
      <c r="C97" s="17" t="s">
        <v>116</v>
      </c>
      <c r="D97" s="211"/>
      <c r="E97" s="48" t="s">
        <v>26</v>
      </c>
      <c r="F97" s="38">
        <v>24</v>
      </c>
      <c r="G97" s="14">
        <v>88000</v>
      </c>
      <c r="H97" s="15">
        <f t="shared" ref="H97:H106" si="3">G97*F97</f>
        <v>2112000</v>
      </c>
      <c r="I97" s="43"/>
      <c r="L97" s="32"/>
      <c r="M97" s="32"/>
      <c r="N97" s="32"/>
    </row>
    <row r="98" spans="1:14" s="1" customFormat="1" ht="15" x14ac:dyDescent="0.25">
      <c r="A98" s="32"/>
      <c r="B98" s="16"/>
      <c r="C98" s="17" t="s">
        <v>114</v>
      </c>
      <c r="D98" s="211"/>
      <c r="E98" s="48" t="s">
        <v>26</v>
      </c>
      <c r="F98" s="38">
        <v>52</v>
      </c>
      <c r="G98" s="14">
        <v>65000</v>
      </c>
      <c r="H98" s="15">
        <f t="shared" si="3"/>
        <v>3380000</v>
      </c>
      <c r="I98" s="43"/>
      <c r="L98" s="32"/>
      <c r="M98" s="32"/>
      <c r="N98" s="32"/>
    </row>
    <row r="99" spans="1:14" s="1" customFormat="1" ht="15" x14ac:dyDescent="0.25">
      <c r="A99" s="32"/>
      <c r="B99" s="16"/>
      <c r="C99" s="17" t="s">
        <v>117</v>
      </c>
      <c r="D99" s="211"/>
      <c r="E99" s="48" t="s">
        <v>26</v>
      </c>
      <c r="F99" s="38">
        <v>250</v>
      </c>
      <c r="G99" s="14">
        <v>40000</v>
      </c>
      <c r="H99" s="15">
        <f t="shared" si="3"/>
        <v>10000000</v>
      </c>
      <c r="I99" s="43"/>
      <c r="L99" s="32"/>
      <c r="M99" s="32"/>
      <c r="N99" s="32"/>
    </row>
    <row r="100" spans="1:14" s="1" customFormat="1" ht="15" x14ac:dyDescent="0.25">
      <c r="A100" s="32"/>
      <c r="B100" s="16"/>
      <c r="C100" s="17" t="s">
        <v>49</v>
      </c>
      <c r="D100" s="211"/>
      <c r="E100" s="48" t="s">
        <v>26</v>
      </c>
      <c r="F100" s="38">
        <v>55</v>
      </c>
      <c r="G100" s="14">
        <v>20000</v>
      </c>
      <c r="H100" s="15">
        <f t="shared" si="3"/>
        <v>1100000</v>
      </c>
      <c r="I100" s="43"/>
      <c r="L100" s="32"/>
      <c r="M100" s="32"/>
      <c r="N100" s="32"/>
    </row>
    <row r="101" spans="1:14" s="1" customFormat="1" ht="15" x14ac:dyDescent="0.25">
      <c r="A101" s="32"/>
      <c r="B101" s="16"/>
      <c r="C101" s="36" t="s">
        <v>30</v>
      </c>
      <c r="D101" s="211"/>
      <c r="E101" s="48" t="s">
        <v>20</v>
      </c>
      <c r="F101" s="49">
        <v>3</v>
      </c>
      <c r="G101" s="50">
        <v>120000</v>
      </c>
      <c r="H101" s="15">
        <f t="shared" si="3"/>
        <v>360000</v>
      </c>
      <c r="I101" s="43"/>
      <c r="J101" s="73">
        <f>SUM(H96:H106)</f>
        <v>29352000</v>
      </c>
      <c r="L101" s="32"/>
      <c r="M101" s="32"/>
      <c r="N101" s="32"/>
    </row>
    <row r="102" spans="1:14" s="1" customFormat="1" ht="15" x14ac:dyDescent="0.25">
      <c r="A102" s="32"/>
      <c r="B102" s="16"/>
      <c r="C102" s="36" t="s">
        <v>36</v>
      </c>
      <c r="D102" s="211"/>
      <c r="E102" s="51" t="s">
        <v>102</v>
      </c>
      <c r="F102" s="49">
        <v>4</v>
      </c>
      <c r="G102" s="50">
        <v>350000</v>
      </c>
      <c r="H102" s="15">
        <f t="shared" si="3"/>
        <v>1400000</v>
      </c>
      <c r="I102" s="43"/>
      <c r="L102" s="32"/>
      <c r="M102" s="32"/>
      <c r="N102" s="32"/>
    </row>
    <row r="103" spans="1:14" s="1" customFormat="1" ht="15" x14ac:dyDescent="0.25">
      <c r="A103" s="32"/>
      <c r="B103" s="16"/>
      <c r="C103" s="36" t="s">
        <v>32</v>
      </c>
      <c r="D103" s="211"/>
      <c r="E103" s="51" t="s">
        <v>102</v>
      </c>
      <c r="F103" s="49">
        <v>4</v>
      </c>
      <c r="G103" s="50">
        <v>250000</v>
      </c>
      <c r="H103" s="15">
        <f t="shared" si="3"/>
        <v>1000000</v>
      </c>
      <c r="I103" s="43"/>
      <c r="L103" s="32"/>
      <c r="M103" s="32"/>
      <c r="N103" s="32"/>
    </row>
    <row r="104" spans="1:14" s="1" customFormat="1" ht="15" x14ac:dyDescent="0.25">
      <c r="A104" s="32"/>
      <c r="B104" s="16"/>
      <c r="C104" s="36" t="s">
        <v>52</v>
      </c>
      <c r="D104" s="211"/>
      <c r="E104" s="48" t="s">
        <v>26</v>
      </c>
      <c r="F104" s="49">
        <v>2000</v>
      </c>
      <c r="G104" s="50">
        <v>3000</v>
      </c>
      <c r="H104" s="15">
        <f t="shared" si="3"/>
        <v>6000000</v>
      </c>
      <c r="I104" s="43"/>
      <c r="L104" s="32"/>
      <c r="M104" s="32"/>
      <c r="N104" s="32"/>
    </row>
    <row r="105" spans="1:14" s="1" customFormat="1" ht="15" x14ac:dyDescent="0.25">
      <c r="A105" s="32"/>
      <c r="B105" s="16"/>
      <c r="C105" s="36" t="s">
        <v>53</v>
      </c>
      <c r="D105" s="211"/>
      <c r="E105" s="48" t="s">
        <v>20</v>
      </c>
      <c r="F105" s="49">
        <v>5</v>
      </c>
      <c r="G105" s="50">
        <v>40000</v>
      </c>
      <c r="H105" s="15">
        <f t="shared" si="3"/>
        <v>200000</v>
      </c>
      <c r="I105" s="43"/>
      <c r="L105" s="32"/>
      <c r="M105" s="32"/>
      <c r="N105" s="32"/>
    </row>
    <row r="106" spans="1:14" s="1" customFormat="1" ht="15" x14ac:dyDescent="0.25">
      <c r="A106" s="32"/>
      <c r="B106" s="16"/>
      <c r="C106" s="36" t="s">
        <v>27</v>
      </c>
      <c r="D106" s="211"/>
      <c r="E106" s="48" t="s">
        <v>28</v>
      </c>
      <c r="F106" s="49">
        <v>50</v>
      </c>
      <c r="G106" s="50">
        <v>6000</v>
      </c>
      <c r="H106" s="15">
        <f t="shared" si="3"/>
        <v>300000</v>
      </c>
      <c r="I106" s="43"/>
      <c r="L106" s="32"/>
      <c r="M106" s="32"/>
      <c r="N106" s="32"/>
    </row>
    <row r="107" spans="1:14" s="1" customFormat="1" ht="9" customHeight="1" x14ac:dyDescent="0.25">
      <c r="A107" s="32"/>
      <c r="B107" s="16"/>
      <c r="C107" s="36"/>
      <c r="D107" s="36"/>
      <c r="E107" s="48"/>
      <c r="F107" s="49"/>
      <c r="G107" s="50"/>
      <c r="H107" s="15"/>
      <c r="I107" s="43"/>
      <c r="L107" s="32"/>
      <c r="M107" s="32"/>
      <c r="N107" s="32"/>
    </row>
    <row r="108" spans="1:14" s="1" customFormat="1" ht="15" x14ac:dyDescent="0.25">
      <c r="A108" s="32"/>
      <c r="B108" s="16"/>
      <c r="C108" s="35" t="s">
        <v>56</v>
      </c>
      <c r="D108" s="36"/>
      <c r="E108" s="48"/>
      <c r="F108" s="49"/>
      <c r="G108" s="50"/>
      <c r="H108" s="31">
        <v>10000000</v>
      </c>
      <c r="I108" s="43"/>
      <c r="L108" s="32"/>
      <c r="M108" s="32"/>
      <c r="N108" s="32"/>
    </row>
    <row r="109" spans="1:14" s="1" customFormat="1" ht="9.75" customHeight="1" x14ac:dyDescent="0.25">
      <c r="A109" s="32"/>
      <c r="B109" s="16"/>
      <c r="C109" s="35"/>
      <c r="D109" s="36"/>
      <c r="E109" s="48"/>
      <c r="F109" s="49"/>
      <c r="G109" s="50"/>
      <c r="H109" s="31"/>
      <c r="I109" s="43"/>
      <c r="L109" s="32"/>
      <c r="M109" s="32"/>
      <c r="N109" s="32"/>
    </row>
    <row r="110" spans="1:14" s="1" customFormat="1" ht="15.75" thickBot="1" x14ac:dyDescent="0.3">
      <c r="A110" s="32"/>
      <c r="B110" s="252"/>
      <c r="C110" s="253" t="s">
        <v>46</v>
      </c>
      <c r="D110" s="24"/>
      <c r="E110" s="25"/>
      <c r="F110" s="47"/>
      <c r="G110" s="27"/>
      <c r="H110" s="28">
        <f>SUM(H96:H108)</f>
        <v>39352000</v>
      </c>
      <c r="I110" s="43"/>
      <c r="L110" s="32"/>
      <c r="M110" s="32"/>
      <c r="N110" s="32"/>
    </row>
    <row r="111" spans="1:14" s="1" customFormat="1" ht="15.75" thickTop="1" x14ac:dyDescent="0.25">
      <c r="A111" s="32"/>
      <c r="B111" s="74"/>
      <c r="C111" s="75"/>
      <c r="D111" s="75"/>
      <c r="E111" s="76"/>
      <c r="F111" s="77"/>
      <c r="G111" s="78"/>
      <c r="H111" s="64"/>
      <c r="I111" s="43"/>
      <c r="L111" s="32"/>
      <c r="M111" s="32"/>
      <c r="N111" s="32"/>
    </row>
    <row r="112" spans="1:14" s="1" customFormat="1" ht="15.75" x14ac:dyDescent="0.25">
      <c r="A112" s="32"/>
      <c r="B112" s="10" t="s">
        <v>125</v>
      </c>
      <c r="C112" s="33" t="s">
        <v>57</v>
      </c>
      <c r="D112" s="29"/>
      <c r="E112" s="52"/>
      <c r="F112" s="20"/>
      <c r="G112" s="30"/>
      <c r="H112" s="31"/>
      <c r="I112" s="43"/>
      <c r="L112" s="32"/>
      <c r="M112" s="32"/>
      <c r="N112" s="32"/>
    </row>
    <row r="113" spans="1:14" s="1" customFormat="1" ht="15" x14ac:dyDescent="0.25">
      <c r="A113" s="32"/>
      <c r="B113" s="16"/>
      <c r="C113" s="53" t="s">
        <v>119</v>
      </c>
      <c r="D113" s="17"/>
      <c r="E113" s="12" t="s">
        <v>26</v>
      </c>
      <c r="F113" s="54">
        <v>24</v>
      </c>
      <c r="G113" s="14">
        <v>8000</v>
      </c>
      <c r="H113" s="15">
        <f>G113*F113</f>
        <v>192000</v>
      </c>
      <c r="I113" s="43"/>
      <c r="L113" s="32"/>
      <c r="M113" s="32"/>
      <c r="N113" s="32"/>
    </row>
    <row r="114" spans="1:14" s="1" customFormat="1" ht="15" x14ac:dyDescent="0.25">
      <c r="A114" s="32"/>
      <c r="B114" s="16"/>
      <c r="C114" s="53" t="s">
        <v>120</v>
      </c>
      <c r="D114" s="17"/>
      <c r="E114" s="12" t="s">
        <v>26</v>
      </c>
      <c r="F114" s="54">
        <v>80</v>
      </c>
      <c r="G114" s="14">
        <v>8000</v>
      </c>
      <c r="H114" s="15">
        <f>G114*F114</f>
        <v>640000</v>
      </c>
      <c r="I114" s="43"/>
      <c r="L114" s="32"/>
      <c r="M114" s="32"/>
      <c r="N114" s="32"/>
    </row>
    <row r="115" spans="1:14" s="1" customFormat="1" ht="15" x14ac:dyDescent="0.25">
      <c r="A115" s="32"/>
      <c r="B115" s="16"/>
      <c r="C115" s="53" t="s">
        <v>121</v>
      </c>
      <c r="D115" s="17"/>
      <c r="E115" s="12" t="s">
        <v>26</v>
      </c>
      <c r="F115" s="54">
        <v>326</v>
      </c>
      <c r="G115" s="14">
        <v>5000</v>
      </c>
      <c r="H115" s="15">
        <f>G115*F115</f>
        <v>1630000</v>
      </c>
      <c r="I115" s="43"/>
      <c r="L115" s="32"/>
      <c r="M115" s="32"/>
      <c r="N115" s="32"/>
    </row>
    <row r="116" spans="1:14" s="1" customFormat="1" ht="15" x14ac:dyDescent="0.25">
      <c r="A116" s="32"/>
      <c r="B116" s="16"/>
      <c r="C116" s="53" t="s">
        <v>130</v>
      </c>
      <c r="D116" s="17"/>
      <c r="E116" s="12" t="s">
        <v>26</v>
      </c>
      <c r="F116" s="54">
        <v>210</v>
      </c>
      <c r="G116" s="14">
        <v>4000</v>
      </c>
      <c r="H116" s="15">
        <f>G116*F116</f>
        <v>840000</v>
      </c>
      <c r="I116" s="43"/>
      <c r="L116" s="32"/>
      <c r="M116" s="32"/>
      <c r="N116" s="32"/>
    </row>
    <row r="117" spans="1:14" s="1" customFormat="1" ht="15" x14ac:dyDescent="0.25">
      <c r="A117" s="32"/>
      <c r="B117" s="16"/>
      <c r="C117" s="53" t="s">
        <v>58</v>
      </c>
      <c r="D117" s="17"/>
      <c r="E117" s="12" t="s">
        <v>122</v>
      </c>
      <c r="F117" s="54">
        <v>10</v>
      </c>
      <c r="G117" s="14">
        <v>45000</v>
      </c>
      <c r="H117" s="15">
        <f t="shared" ref="H117:H121" si="4">G117*F117</f>
        <v>450000</v>
      </c>
      <c r="I117" s="43"/>
      <c r="L117" s="32"/>
      <c r="M117" s="32"/>
      <c r="N117" s="32"/>
    </row>
    <row r="118" spans="1:14" s="1" customFormat="1" ht="15" x14ac:dyDescent="0.25">
      <c r="A118" s="32"/>
      <c r="B118" s="16"/>
      <c r="C118" s="53" t="s">
        <v>27</v>
      </c>
      <c r="D118" s="17"/>
      <c r="E118" s="12" t="s">
        <v>59</v>
      </c>
      <c r="F118" s="54">
        <v>120</v>
      </c>
      <c r="G118" s="14">
        <v>5000</v>
      </c>
      <c r="H118" s="15">
        <f t="shared" si="4"/>
        <v>600000</v>
      </c>
      <c r="I118" s="43"/>
      <c r="L118" s="32"/>
      <c r="M118" s="32"/>
      <c r="N118" s="32"/>
    </row>
    <row r="119" spans="1:14" s="1" customFormat="1" ht="15" x14ac:dyDescent="0.25">
      <c r="A119" s="32"/>
      <c r="B119" s="16"/>
      <c r="C119" s="53" t="s">
        <v>60</v>
      </c>
      <c r="D119" s="17"/>
      <c r="E119" s="12" t="s">
        <v>59</v>
      </c>
      <c r="F119" s="54">
        <v>35</v>
      </c>
      <c r="G119" s="14">
        <v>7000</v>
      </c>
      <c r="H119" s="15">
        <f t="shared" si="4"/>
        <v>245000</v>
      </c>
      <c r="I119" s="43"/>
      <c r="L119" s="32"/>
      <c r="M119" s="32"/>
      <c r="N119" s="32"/>
    </row>
    <row r="120" spans="1:14" s="1" customFormat="1" ht="15" x14ac:dyDescent="0.25">
      <c r="A120" s="32"/>
      <c r="B120" s="16"/>
      <c r="C120" s="53" t="s">
        <v>123</v>
      </c>
      <c r="D120" s="17"/>
      <c r="E120" s="12" t="s">
        <v>101</v>
      </c>
      <c r="F120" s="54">
        <v>10</v>
      </c>
      <c r="G120" s="14">
        <v>10000</v>
      </c>
      <c r="H120" s="15">
        <f t="shared" si="4"/>
        <v>100000</v>
      </c>
      <c r="I120" s="43"/>
      <c r="L120" s="32"/>
      <c r="M120" s="32"/>
      <c r="N120" s="32"/>
    </row>
    <row r="121" spans="1:14" s="1" customFormat="1" ht="15" x14ac:dyDescent="0.25">
      <c r="A121" s="32"/>
      <c r="B121" s="16"/>
      <c r="C121" s="53" t="s">
        <v>124</v>
      </c>
      <c r="D121" s="17"/>
      <c r="E121" s="12" t="s">
        <v>26</v>
      </c>
      <c r="F121" s="54">
        <v>55</v>
      </c>
      <c r="G121" s="14">
        <v>65000</v>
      </c>
      <c r="H121" s="15">
        <f t="shared" si="4"/>
        <v>3575000</v>
      </c>
      <c r="I121" s="43"/>
      <c r="L121" s="32"/>
      <c r="M121" s="32"/>
      <c r="N121" s="32"/>
    </row>
    <row r="122" spans="1:14" s="1" customFormat="1" ht="15" x14ac:dyDescent="0.25">
      <c r="A122" s="32"/>
      <c r="B122" s="16"/>
      <c r="C122" s="55"/>
      <c r="D122" s="55"/>
      <c r="E122" s="55"/>
      <c r="F122" s="55"/>
      <c r="H122" s="212"/>
      <c r="I122" s="43"/>
      <c r="L122" s="32"/>
      <c r="M122" s="32"/>
      <c r="N122" s="32"/>
    </row>
    <row r="123" spans="1:14" s="1" customFormat="1" ht="15" x14ac:dyDescent="0.25">
      <c r="A123" s="32"/>
      <c r="B123" s="16"/>
      <c r="C123" s="55"/>
      <c r="D123" s="55"/>
      <c r="E123" s="55"/>
      <c r="F123" s="55"/>
      <c r="H123" s="212"/>
      <c r="I123" s="43"/>
      <c r="J123" s="73">
        <f>SUM(H113:H121)</f>
        <v>8272000</v>
      </c>
      <c r="L123" s="32"/>
      <c r="M123" s="32"/>
      <c r="N123" s="32"/>
    </row>
    <row r="124" spans="1:14" s="1" customFormat="1" ht="15" x14ac:dyDescent="0.25">
      <c r="A124" s="32"/>
      <c r="B124" s="16"/>
      <c r="C124" s="56" t="s">
        <v>56</v>
      </c>
      <c r="D124" s="55"/>
      <c r="E124" s="55"/>
      <c r="F124" s="55"/>
      <c r="H124" s="57">
        <v>4000000</v>
      </c>
      <c r="I124" s="43"/>
      <c r="L124" s="32"/>
      <c r="M124" s="32"/>
      <c r="N124" s="32"/>
    </row>
    <row r="125" spans="1:14" s="1" customFormat="1" ht="15" x14ac:dyDescent="0.25">
      <c r="A125" s="32"/>
      <c r="B125" s="58"/>
      <c r="C125" s="59"/>
      <c r="D125" s="59"/>
      <c r="E125" s="60"/>
      <c r="F125" s="61"/>
      <c r="G125" s="62"/>
      <c r="H125" s="63"/>
      <c r="I125" s="43"/>
      <c r="L125" s="32"/>
      <c r="M125" s="32"/>
      <c r="N125" s="32"/>
    </row>
    <row r="126" spans="1:14" s="1" customFormat="1" ht="15.75" thickBot="1" x14ac:dyDescent="0.3">
      <c r="A126" s="32"/>
      <c r="B126" s="23"/>
      <c r="C126" s="24" t="s">
        <v>61</v>
      </c>
      <c r="D126" s="24"/>
      <c r="E126" s="25"/>
      <c r="F126" s="47"/>
      <c r="G126" s="27"/>
      <c r="H126" s="28">
        <f>SUM(H113:H125)</f>
        <v>12272000</v>
      </c>
      <c r="I126" s="43"/>
      <c r="L126" s="32"/>
      <c r="M126" s="32"/>
      <c r="N126" s="32"/>
    </row>
    <row r="127" spans="1:14" ht="21.95" customHeight="1" thickTop="1" x14ac:dyDescent="0.25"/>
  </sheetData>
  <mergeCells count="1">
    <mergeCell ref="B1:H1"/>
  </mergeCells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COVER PAGE</vt:lpstr>
      <vt:lpstr>MAIN SUMMARY</vt:lpstr>
      <vt:lpstr>FR-Pre</vt:lpstr>
      <vt:lpstr>PRELIMINARIES</vt:lpstr>
      <vt:lpstr>FR- Tools</vt:lpstr>
      <vt:lpstr>TOOLS &amp; EQUIPMENT</vt:lpstr>
      <vt:lpstr>FR-COMMERCIAL BLOCK</vt:lpstr>
      <vt:lpstr>COMMERCIAL BLOCK</vt:lpstr>
      <vt:lpstr>FR-RESIDENTIAL BLOCK</vt:lpstr>
      <vt:lpstr>RESIDENTIAL BLOCK</vt:lpstr>
      <vt:lpstr>'COMMERCIAL BLOCK'!Print_Area</vt:lpstr>
      <vt:lpstr>'MAIN SUMMARY'!Print_Area</vt:lpstr>
      <vt:lpstr>'RESIDENTIAL BLOCK'!Print_Area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2024-03-07T04:09:52Z</dcterms:modified>
</cp:coreProperties>
</file>